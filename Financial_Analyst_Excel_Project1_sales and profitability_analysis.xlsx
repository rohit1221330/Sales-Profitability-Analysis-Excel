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ROHIT\Financial analyst\Phase 1\Excel Project 1 (Sales &amp; Profitablity Analysis)\"/>
    </mc:Choice>
  </mc:AlternateContent>
  <xr:revisionPtr revIDLastSave="0" documentId="13_ncr:1_{FBE2287C-9E82-4072-86A0-0B3F5E2E448E}" xr6:coauthVersionLast="36" xr6:coauthVersionMax="36" xr10:uidLastSave="{00000000-0000-0000-0000-000000000000}"/>
  <bookViews>
    <workbookView xWindow="0" yWindow="0" windowWidth="20490" windowHeight="7425" xr2:uid="{00000000-000D-0000-FFFF-FFFF00000000}"/>
  </bookViews>
  <sheets>
    <sheet name="Dashboard" sheetId="9" r:id="rId1"/>
    <sheet name="Business_Analysis" sheetId="8" r:id="rId2"/>
    <sheet name="Cleaned_Sales_Data (Part A &amp; B)" sheetId="6" r:id="rId3"/>
    <sheet name="Raw_Sales_Data" sheetId="1" r:id="rId4"/>
    <sheet name="Raw_Product_Master" sheetId="2" r:id="rId5"/>
    <sheet name="Raw_Assumptions" sheetId="3" r:id="rId6"/>
  </sheets>
  <definedNames>
    <definedName name="ExternalData_1" localSheetId="2" hidden="1">'Cleaned_Sales_Data (Part A &amp; B)'!$A$1:$W$751</definedName>
    <definedName name="Slicer_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leaned_Sales_data_e1c584dc-0466-4093-96ae-d0dd047f5986" name="Cleaned_Sales_data" connection="Query - Cleaned_Sales_data(1)"/>
        </x15:modelTables>
      </x15:dataModel>
    </ext>
  </extLst>
</workbook>
</file>

<file path=xl/calcChain.xml><?xml version="1.0" encoding="utf-8"?>
<calcChain xmlns="http://schemas.openxmlformats.org/spreadsheetml/2006/main">
  <c r="P2" i="6" l="1"/>
  <c r="P3" i="6"/>
  <c r="V2" i="6"/>
  <c r="V3" i="6" l="1"/>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V502" i="6"/>
  <c r="V503" i="6"/>
  <c r="V504" i="6"/>
  <c r="V505" i="6"/>
  <c r="V506" i="6"/>
  <c r="V507" i="6"/>
  <c r="V508" i="6"/>
  <c r="V509" i="6"/>
  <c r="V510" i="6"/>
  <c r="V511" i="6"/>
  <c r="V512" i="6"/>
  <c r="V513" i="6"/>
  <c r="V514" i="6"/>
  <c r="V515" i="6"/>
  <c r="V516" i="6"/>
  <c r="V517" i="6"/>
  <c r="V518" i="6"/>
  <c r="V519" i="6"/>
  <c r="V520" i="6"/>
  <c r="V521" i="6"/>
  <c r="V522" i="6"/>
  <c r="V523" i="6"/>
  <c r="V524" i="6"/>
  <c r="V525" i="6"/>
  <c r="V526" i="6"/>
  <c r="V527" i="6"/>
  <c r="V528" i="6"/>
  <c r="V529" i="6"/>
  <c r="V530" i="6"/>
  <c r="V531" i="6"/>
  <c r="V532" i="6"/>
  <c r="V533" i="6"/>
  <c r="V534" i="6"/>
  <c r="V535" i="6"/>
  <c r="V536" i="6"/>
  <c r="V537" i="6"/>
  <c r="V538" i="6"/>
  <c r="V539" i="6"/>
  <c r="V540" i="6"/>
  <c r="V541" i="6"/>
  <c r="V542" i="6"/>
  <c r="V543" i="6"/>
  <c r="V544" i="6"/>
  <c r="V545" i="6"/>
  <c r="V546" i="6"/>
  <c r="V547" i="6"/>
  <c r="V548" i="6"/>
  <c r="V549" i="6"/>
  <c r="V550" i="6"/>
  <c r="V551" i="6"/>
  <c r="V552" i="6"/>
  <c r="V553" i="6"/>
  <c r="V554" i="6"/>
  <c r="V555" i="6"/>
  <c r="V556" i="6"/>
  <c r="V557" i="6"/>
  <c r="V558" i="6"/>
  <c r="V559" i="6"/>
  <c r="V560" i="6"/>
  <c r="V561" i="6"/>
  <c r="V562" i="6"/>
  <c r="V563" i="6"/>
  <c r="V564" i="6"/>
  <c r="V565" i="6"/>
  <c r="V566" i="6"/>
  <c r="V567" i="6"/>
  <c r="V568" i="6"/>
  <c r="V569" i="6"/>
  <c r="V570" i="6"/>
  <c r="V571" i="6"/>
  <c r="V572" i="6"/>
  <c r="V573" i="6"/>
  <c r="V574" i="6"/>
  <c r="V575" i="6"/>
  <c r="V576" i="6"/>
  <c r="V577" i="6"/>
  <c r="V578" i="6"/>
  <c r="V579" i="6"/>
  <c r="V580" i="6"/>
  <c r="V581" i="6"/>
  <c r="V582" i="6"/>
  <c r="V583" i="6"/>
  <c r="V584" i="6"/>
  <c r="V585" i="6"/>
  <c r="V586" i="6"/>
  <c r="V587" i="6"/>
  <c r="V588" i="6"/>
  <c r="V589" i="6"/>
  <c r="V590" i="6"/>
  <c r="V591" i="6"/>
  <c r="V592" i="6"/>
  <c r="V593" i="6"/>
  <c r="V594" i="6"/>
  <c r="V595" i="6"/>
  <c r="V596" i="6"/>
  <c r="V597" i="6"/>
  <c r="V598" i="6"/>
  <c r="V599" i="6"/>
  <c r="V600" i="6"/>
  <c r="V601" i="6"/>
  <c r="V602" i="6"/>
  <c r="V603" i="6"/>
  <c r="V604" i="6"/>
  <c r="V605" i="6"/>
  <c r="V606" i="6"/>
  <c r="V607" i="6"/>
  <c r="V608" i="6"/>
  <c r="V609" i="6"/>
  <c r="V610" i="6"/>
  <c r="V611" i="6"/>
  <c r="V612" i="6"/>
  <c r="V613" i="6"/>
  <c r="V614" i="6"/>
  <c r="V615" i="6"/>
  <c r="V616" i="6"/>
  <c r="V617" i="6"/>
  <c r="V618" i="6"/>
  <c r="V619" i="6"/>
  <c r="V620" i="6"/>
  <c r="V621" i="6"/>
  <c r="V622" i="6"/>
  <c r="V623" i="6"/>
  <c r="V624" i="6"/>
  <c r="V625" i="6"/>
  <c r="V626" i="6"/>
  <c r="V627" i="6"/>
  <c r="V628" i="6"/>
  <c r="V629" i="6"/>
  <c r="V630" i="6"/>
  <c r="V631" i="6"/>
  <c r="V632" i="6"/>
  <c r="V633" i="6"/>
  <c r="V634" i="6"/>
  <c r="V635" i="6"/>
  <c r="V636" i="6"/>
  <c r="V637" i="6"/>
  <c r="V638" i="6"/>
  <c r="V639" i="6"/>
  <c r="V640" i="6"/>
  <c r="V641" i="6"/>
  <c r="V642" i="6"/>
  <c r="V643" i="6"/>
  <c r="V644" i="6"/>
  <c r="V645" i="6"/>
  <c r="V646" i="6"/>
  <c r="V647" i="6"/>
  <c r="V648"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V702" i="6"/>
  <c r="V703" i="6"/>
  <c r="V704" i="6"/>
  <c r="V705" i="6"/>
  <c r="V706" i="6"/>
  <c r="V707" i="6"/>
  <c r="V708" i="6"/>
  <c r="V709" i="6"/>
  <c r="V710" i="6"/>
  <c r="V711" i="6"/>
  <c r="V712" i="6"/>
  <c r="V713" i="6"/>
  <c r="V714" i="6"/>
  <c r="V715" i="6"/>
  <c r="V716" i="6"/>
  <c r="V717" i="6"/>
  <c r="V718" i="6"/>
  <c r="V719" i="6"/>
  <c r="V720" i="6"/>
  <c r="V721" i="6"/>
  <c r="V722" i="6"/>
  <c r="V723" i="6"/>
  <c r="V724" i="6"/>
  <c r="V725" i="6"/>
  <c r="V726" i="6"/>
  <c r="V727" i="6"/>
  <c r="V728" i="6"/>
  <c r="V729" i="6"/>
  <c r="V730" i="6"/>
  <c r="V731" i="6"/>
  <c r="V732" i="6"/>
  <c r="V733" i="6"/>
  <c r="V734" i="6"/>
  <c r="V735" i="6"/>
  <c r="V736" i="6"/>
  <c r="V737" i="6"/>
  <c r="V738" i="6"/>
  <c r="V739" i="6"/>
  <c r="V740" i="6"/>
  <c r="V741" i="6"/>
  <c r="V742" i="6"/>
  <c r="V743" i="6"/>
  <c r="V744" i="6"/>
  <c r="V745" i="6"/>
  <c r="V746" i="6"/>
  <c r="V747" i="6"/>
  <c r="V748" i="6"/>
  <c r="V749" i="6"/>
  <c r="V750" i="6"/>
  <c r="V75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A9" i="8"/>
  <c r="K3" i="8"/>
  <c r="C6" i="8"/>
  <c r="H3" i="8"/>
  <c r="E3" i="8"/>
  <c r="B3" i="8"/>
  <c r="A3" i="8"/>
  <c r="A6" i="8" s="1"/>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U542" i="6"/>
  <c r="U543" i="6"/>
  <c r="U544" i="6"/>
  <c r="U545" i="6"/>
  <c r="U546" i="6"/>
  <c r="U547" i="6"/>
  <c r="U548" i="6"/>
  <c r="U549" i="6"/>
  <c r="U550" i="6"/>
  <c r="U551" i="6"/>
  <c r="U552" i="6"/>
  <c r="U553" i="6"/>
  <c r="U554" i="6"/>
  <c r="U555" i="6"/>
  <c r="U556" i="6"/>
  <c r="U557" i="6"/>
  <c r="U558" i="6"/>
  <c r="U559" i="6"/>
  <c r="U560" i="6"/>
  <c r="U561" i="6"/>
  <c r="U562" i="6"/>
  <c r="U563" i="6"/>
  <c r="U564" i="6"/>
  <c r="U565" i="6"/>
  <c r="U566" i="6"/>
  <c r="U567" i="6"/>
  <c r="U568" i="6"/>
  <c r="U569" i="6"/>
  <c r="U570" i="6"/>
  <c r="U571" i="6"/>
  <c r="U572" i="6"/>
  <c r="U573" i="6"/>
  <c r="U574" i="6"/>
  <c r="U575" i="6"/>
  <c r="U576" i="6"/>
  <c r="U577" i="6"/>
  <c r="U578" i="6"/>
  <c r="U579" i="6"/>
  <c r="U580" i="6"/>
  <c r="U581" i="6"/>
  <c r="U582" i="6"/>
  <c r="U583" i="6"/>
  <c r="U584" i="6"/>
  <c r="U585" i="6"/>
  <c r="U586" i="6"/>
  <c r="U587" i="6"/>
  <c r="U588" i="6"/>
  <c r="U589" i="6"/>
  <c r="U590" i="6"/>
  <c r="U591" i="6"/>
  <c r="U592" i="6"/>
  <c r="U593" i="6"/>
  <c r="U594" i="6"/>
  <c r="U595" i="6"/>
  <c r="U596" i="6"/>
  <c r="U597" i="6"/>
  <c r="U598" i="6"/>
  <c r="U599" i="6"/>
  <c r="U600" i="6"/>
  <c r="U601" i="6"/>
  <c r="U602" i="6"/>
  <c r="U603" i="6"/>
  <c r="U604" i="6"/>
  <c r="U605" i="6"/>
  <c r="U606" i="6"/>
  <c r="U607" i="6"/>
  <c r="U608" i="6"/>
  <c r="U609" i="6"/>
  <c r="U610" i="6"/>
  <c r="U611" i="6"/>
  <c r="U612" i="6"/>
  <c r="U613" i="6"/>
  <c r="U614" i="6"/>
  <c r="U615" i="6"/>
  <c r="U616" i="6"/>
  <c r="U617" i="6"/>
  <c r="U618" i="6"/>
  <c r="U619" i="6"/>
  <c r="U620" i="6"/>
  <c r="U621" i="6"/>
  <c r="U622" i="6"/>
  <c r="U623" i="6"/>
  <c r="U624" i="6"/>
  <c r="U625" i="6"/>
  <c r="U626" i="6"/>
  <c r="U627" i="6"/>
  <c r="U628" i="6"/>
  <c r="U629" i="6"/>
  <c r="U630" i="6"/>
  <c r="U631" i="6"/>
  <c r="U632" i="6"/>
  <c r="U633" i="6"/>
  <c r="U634" i="6"/>
  <c r="U635" i="6"/>
  <c r="U636" i="6"/>
  <c r="U637" i="6"/>
  <c r="U638" i="6"/>
  <c r="U639" i="6"/>
  <c r="U640" i="6"/>
  <c r="U641" i="6"/>
  <c r="U642" i="6"/>
  <c r="U643" i="6"/>
  <c r="U644" i="6"/>
  <c r="U645" i="6"/>
  <c r="U646" i="6"/>
  <c r="U647" i="6"/>
  <c r="U648" i="6"/>
  <c r="U649" i="6"/>
  <c r="U650" i="6"/>
  <c r="U651" i="6"/>
  <c r="U652" i="6"/>
  <c r="U653" i="6"/>
  <c r="U654" i="6"/>
  <c r="U655" i="6"/>
  <c r="U656" i="6"/>
  <c r="U657" i="6"/>
  <c r="U658" i="6"/>
  <c r="U659" i="6"/>
  <c r="U660" i="6"/>
  <c r="U661" i="6"/>
  <c r="U662" i="6"/>
  <c r="U663" i="6"/>
  <c r="U664" i="6"/>
  <c r="U665" i="6"/>
  <c r="U666" i="6"/>
  <c r="U667" i="6"/>
  <c r="U668" i="6"/>
  <c r="U669" i="6"/>
  <c r="U670" i="6"/>
  <c r="U671" i="6"/>
  <c r="U672" i="6"/>
  <c r="U673" i="6"/>
  <c r="U674" i="6"/>
  <c r="U675" i="6"/>
  <c r="U676" i="6"/>
  <c r="U677" i="6"/>
  <c r="U678" i="6"/>
  <c r="U679" i="6"/>
  <c r="U680" i="6"/>
  <c r="U681" i="6"/>
  <c r="U682" i="6"/>
  <c r="U683" i="6"/>
  <c r="U684" i="6"/>
  <c r="U685" i="6"/>
  <c r="U686" i="6"/>
  <c r="U687" i="6"/>
  <c r="U688" i="6"/>
  <c r="U689" i="6"/>
  <c r="U690" i="6"/>
  <c r="U691" i="6"/>
  <c r="U692" i="6"/>
  <c r="U693" i="6"/>
  <c r="U694" i="6"/>
  <c r="U695" i="6"/>
  <c r="U696" i="6"/>
  <c r="U697" i="6"/>
  <c r="U698" i="6"/>
  <c r="U699" i="6"/>
  <c r="U700" i="6"/>
  <c r="U701" i="6"/>
  <c r="U702" i="6"/>
  <c r="U703" i="6"/>
  <c r="U704" i="6"/>
  <c r="U705" i="6"/>
  <c r="U706" i="6"/>
  <c r="U707" i="6"/>
  <c r="U708" i="6"/>
  <c r="U709" i="6"/>
  <c r="U710" i="6"/>
  <c r="U711" i="6"/>
  <c r="U712" i="6"/>
  <c r="U713" i="6"/>
  <c r="U714" i="6"/>
  <c r="U715" i="6"/>
  <c r="U716" i="6"/>
  <c r="U717" i="6"/>
  <c r="U718" i="6"/>
  <c r="U719" i="6"/>
  <c r="U720" i="6"/>
  <c r="U721" i="6"/>
  <c r="U722" i="6"/>
  <c r="U723" i="6"/>
  <c r="U724" i="6"/>
  <c r="U725" i="6"/>
  <c r="U726" i="6"/>
  <c r="U727" i="6"/>
  <c r="U728" i="6"/>
  <c r="U729" i="6"/>
  <c r="U730" i="6"/>
  <c r="U731" i="6"/>
  <c r="U732" i="6"/>
  <c r="U733" i="6"/>
  <c r="U734" i="6"/>
  <c r="U735" i="6"/>
  <c r="U736" i="6"/>
  <c r="U737" i="6"/>
  <c r="U738" i="6"/>
  <c r="U739" i="6"/>
  <c r="U740" i="6"/>
  <c r="U741" i="6"/>
  <c r="U742" i="6"/>
  <c r="U743" i="6"/>
  <c r="U744" i="6"/>
  <c r="U745" i="6"/>
  <c r="U746" i="6"/>
  <c r="U747" i="6"/>
  <c r="U748" i="6"/>
  <c r="U749" i="6"/>
  <c r="U750" i="6"/>
  <c r="U751" i="6"/>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C3"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0A7C9C-1DFA-410F-98C9-F855D9B2321F}" keepAlive="1" name="ModelConnection_ExternalData_1" description="Data Model" type="5" refreshedVersion="6" minRefreshableVersion="5" saveData="1">
    <dbPr connection="Data Model Connection" command="Cleaned_Sales_data" commandType="3"/>
    <extLst>
      <ext xmlns:x15="http://schemas.microsoft.com/office/spreadsheetml/2010/11/main" uri="{DE250136-89BD-433C-8126-D09CA5730AF9}">
        <x15:connection id="" model="1"/>
      </ext>
    </extLst>
  </connection>
  <connection id="2" xr16:uid="{34ACA1E0-F111-4276-AD3F-A893A1BAE72D}" name="Query - Cleaned_Sales_data(1)" description="Connection to the 'Cleaned_Sales_data' query in the workbook." type="100" refreshedVersion="6" minRefreshableVersion="5">
    <extLst>
      <ext xmlns:x15="http://schemas.microsoft.com/office/spreadsheetml/2010/11/main" uri="{DE250136-89BD-433C-8126-D09CA5730AF9}">
        <x15:connection id="e1ef56f4-fa81-4c7d-b954-51f799414d8a"/>
      </ext>
    </extLst>
  </connection>
  <connection id="3" xr16:uid="{4EB9C434-84D8-4B88-8F2C-EB43C567FCB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<sst xmlns="http://schemas.openxmlformats.org/spreadsheetml/2006/main" count="8481" uniqueCount="874">
  <si>
    <t>Order_ID</t>
  </si>
  <si>
    <t>Date</t>
  </si>
  <si>
    <t>Product</t>
  </si>
  <si>
    <t>Region</t>
  </si>
  <si>
    <t>Channel</t>
  </si>
  <si>
    <t>Customer_Type</t>
  </si>
  <si>
    <t>Quantity</t>
  </si>
  <si>
    <t>Unit_Price</t>
  </si>
  <si>
    <t>Discount</t>
  </si>
  <si>
    <t>Gross_Sales</t>
  </si>
  <si>
    <t>Net_Sales</t>
  </si>
  <si>
    <t>Product_Cost</t>
  </si>
  <si>
    <t>Shipping_Cost</t>
  </si>
  <si>
    <t>Marketing_Cost</t>
  </si>
  <si>
    <t>Profit</t>
  </si>
  <si>
    <t>Profit_Margin</t>
  </si>
  <si>
    <t>Month</t>
  </si>
  <si>
    <t>ORD-00001</t>
  </si>
  <si>
    <t>Tablet</t>
  </si>
  <si>
    <t>Bangalore</t>
  </si>
  <si>
    <t>Online</t>
  </si>
  <si>
    <t>Returning</t>
  </si>
  <si>
    <t>2025-05</t>
  </si>
  <si>
    <t>ORD-00002</t>
  </si>
  <si>
    <t>Headphones</t>
  </si>
  <si>
    <t>Mumbai</t>
  </si>
  <si>
    <t>Retail</t>
  </si>
  <si>
    <t>Enterprise</t>
  </si>
  <si>
    <t>2025-11</t>
  </si>
  <si>
    <t>ORD-00003</t>
  </si>
  <si>
    <t>Monitor</t>
  </si>
  <si>
    <t>Hyderabad</t>
  </si>
  <si>
    <t>2025-09</t>
  </si>
  <si>
    <t>ORD-00004</t>
  </si>
  <si>
    <t>Chennai</t>
  </si>
  <si>
    <t>New</t>
  </si>
  <si>
    <t>2025-07</t>
  </si>
  <si>
    <t>ORD-00005</t>
  </si>
  <si>
    <t>Corporate</t>
  </si>
  <si>
    <t>2025-06</t>
  </si>
  <si>
    <t>ORD-00006</t>
  </si>
  <si>
    <t>2025-04</t>
  </si>
  <si>
    <t>ORD-00007</t>
  </si>
  <si>
    <t>2026-01</t>
  </si>
  <si>
    <t>ORD-00008</t>
  </si>
  <si>
    <t>ORD-00009</t>
  </si>
  <si>
    <t>Printer</t>
  </si>
  <si>
    <t>2025-02</t>
  </si>
  <si>
    <t>ORD-00010</t>
  </si>
  <si>
    <t>ORD-00011</t>
  </si>
  <si>
    <t>Keyboard</t>
  </si>
  <si>
    <t>Pune</t>
  </si>
  <si>
    <t>ORD-00012</t>
  </si>
  <si>
    <t>Mouse</t>
  </si>
  <si>
    <t>2026-02</t>
  </si>
  <si>
    <t>ORD-00013</t>
  </si>
  <si>
    <t>2025-01</t>
  </si>
  <si>
    <t>ORD-00014</t>
  </si>
  <si>
    <t>2025-08</t>
  </si>
  <si>
    <t>ORD-00015</t>
  </si>
  <si>
    <t>ORD-00016</t>
  </si>
  <si>
    <t>Webcam</t>
  </si>
  <si>
    <t>ORD-00017</t>
  </si>
  <si>
    <t>Delhi</t>
  </si>
  <si>
    <t>ORD-00018</t>
  </si>
  <si>
    <t>2026-04</t>
  </si>
  <si>
    <t>ORD-00019</t>
  </si>
  <si>
    <t>ORD-00020</t>
  </si>
  <si>
    <t>2025-03</t>
  </si>
  <si>
    <t>ORD-00021</t>
  </si>
  <si>
    <t>ORD-00022</t>
  </si>
  <si>
    <t>ORD-00023</t>
  </si>
  <si>
    <t>ORD-00024</t>
  </si>
  <si>
    <t>2026-05</t>
  </si>
  <si>
    <t>ORD-00025</t>
  </si>
  <si>
    <t>Laptop</t>
  </si>
  <si>
    <t>ORD-00026</t>
  </si>
  <si>
    <t>ORD-00027</t>
  </si>
  <si>
    <t>ORD-00028</t>
  </si>
  <si>
    <t>ORD-00029</t>
  </si>
  <si>
    <t>2025-12</t>
  </si>
  <si>
    <t>ORD-00030</t>
  </si>
  <si>
    <t>ORD-00031</t>
  </si>
  <si>
    <t>ORD-00032</t>
  </si>
  <si>
    <t>ORD-00033</t>
  </si>
  <si>
    <t>ORD-00034</t>
  </si>
  <si>
    <t>ORD-00035</t>
  </si>
  <si>
    <t>ORD-00036</t>
  </si>
  <si>
    <t>2025-10</t>
  </si>
  <si>
    <t>ORD-00037</t>
  </si>
  <si>
    <t>ORD-00038</t>
  </si>
  <si>
    <t>ORD-00039</t>
  </si>
  <si>
    <t>ORD-00040</t>
  </si>
  <si>
    <t>ORD-00041</t>
  </si>
  <si>
    <t>ORD-00042</t>
  </si>
  <si>
    <t>ORD-00043</t>
  </si>
  <si>
    <t>ORD-00044</t>
  </si>
  <si>
    <t>ORD-00045</t>
  </si>
  <si>
    <t>2026-03</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</si>
  <si>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</si>
  <si>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</si>
  <si>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</si>
  <si>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</si>
  <si>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</si>
  <si>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</si>
  <si>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</si>
  <si>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</si>
  <si>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</si>
  <si>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</si>
  <si>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</si>
  <si>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</si>
  <si>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</si>
  <si>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</si>
  <si>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</si>
  <si>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</si>
  <si>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</si>
  <si>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</si>
  <si>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</si>
  <si>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</si>
  <si>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</si>
  <si>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</si>
  <si>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</si>
  <si>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</si>
  <si>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</si>
  <si>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</si>
  <si>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</si>
  <si>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</si>
  <si>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</si>
  <si>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</si>
  <si>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</si>
  <si>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</si>
  <si>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</si>
  <si>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</si>
  <si>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</si>
  <si>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</si>
  <si>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2026-06</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</si>
  <si>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</si>
  <si>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</si>
  <si>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</si>
  <si>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</si>
  <si>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</si>
  <si>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</si>
  <si>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</si>
  <si>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</si>
  <si>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</si>
  <si>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</si>
  <si>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</si>
  <si>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</si>
  <si>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</si>
  <si>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</si>
  <si>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</si>
  <si>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</si>
  <si>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</si>
  <si>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</si>
  <si>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</si>
  <si>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</si>
  <si>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</si>
  <si>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</si>
  <si>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</si>
  <si>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</si>
  <si>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</si>
  <si>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</si>
  <si>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</si>
  <si>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</si>
  <si>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</si>
  <si>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</si>
  <si>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</si>
  <si>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</si>
  <si>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</si>
  <si>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</si>
  <si>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</si>
  <si>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</si>
  <si>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</si>
  <si>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</si>
  <si>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</si>
  <si>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</si>
  <si>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</si>
  <si>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</si>
  <si>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</si>
  <si>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</si>
  <si>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</si>
  <si>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</si>
  <si>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</si>
  <si>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</si>
  <si>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</si>
  <si>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</si>
  <si>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</si>
  <si>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</si>
  <si>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</si>
  <si>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</si>
  <si>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</si>
  <si>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</si>
  <si>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</si>
  <si>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</si>
  <si>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</si>
  <si>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</si>
  <si>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</si>
  <si>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</si>
  <si>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</si>
  <si>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</si>
  <si>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</si>
  <si>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</si>
  <si>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</si>
  <si>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</si>
  <si>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</si>
  <si>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</si>
  <si>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</si>
  <si>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</si>
  <si>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</si>
  <si>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</si>
  <si>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</si>
  <si>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</si>
  <si>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</si>
  <si>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</si>
  <si>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</si>
  <si>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</si>
  <si>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</si>
  <si>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</si>
  <si>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</si>
  <si>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</si>
  <si>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</si>
  <si>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</si>
  <si>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</si>
  <si>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</si>
  <si>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</si>
  <si>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</si>
  <si>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</si>
  <si>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</si>
  <si>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</si>
  <si>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</si>
  <si>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</si>
  <si>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</si>
  <si>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</si>
  <si>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</si>
  <si>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</si>
  <si>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</si>
  <si>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</si>
  <si>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</si>
  <si>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</si>
  <si>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</si>
  <si>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</si>
  <si>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</si>
  <si>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</si>
  <si>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</si>
  <si>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</si>
  <si>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</si>
  <si>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</si>
  <si>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</si>
  <si>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</si>
  <si>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</si>
  <si>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</si>
  <si>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</si>
  <si>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</si>
  <si>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</si>
  <si>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</si>
  <si>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</si>
  <si>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</si>
  <si>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</si>
  <si>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</si>
  <si>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</si>
  <si>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</si>
  <si>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</si>
  <si>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</si>
  <si>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</si>
  <si>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</si>
  <si>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</si>
  <si>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</si>
  <si>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</si>
  <si>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</si>
  <si>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</si>
  <si>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</si>
  <si>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</si>
  <si>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</si>
  <si>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</si>
  <si>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</si>
  <si>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</si>
  <si>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</si>
  <si>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</si>
  <si>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</si>
  <si>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</si>
  <si>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</si>
  <si>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</si>
  <si>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</si>
  <si>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</si>
  <si>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</si>
  <si>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</si>
  <si>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</si>
  <si>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</si>
  <si>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</si>
  <si>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</si>
  <si>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</si>
  <si>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</si>
  <si>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</si>
  <si>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</si>
  <si>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</si>
  <si>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</si>
  <si>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</si>
  <si>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</si>
  <si>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</si>
  <si>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</si>
  <si>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</si>
  <si>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</si>
  <si>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</si>
  <si>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</si>
  <si>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</si>
  <si>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</si>
  <si>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</si>
  <si>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</si>
  <si>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</si>
  <si>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</si>
  <si>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</si>
  <si>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</si>
  <si>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</si>
  <si>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</si>
  <si>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</si>
  <si>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</si>
  <si>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</si>
  <si>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</si>
  <si>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</si>
  <si>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</si>
  <si>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</si>
  <si>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</si>
  <si>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</si>
  <si>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</si>
  <si>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</si>
  <si>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</si>
  <si>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</si>
  <si>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</si>
  <si>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</si>
  <si>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</si>
  <si>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</si>
  <si>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</si>
  <si>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</si>
  <si>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</si>
  <si>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</si>
  <si>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</si>
  <si>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</si>
  <si>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</si>
  <si>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</si>
  <si>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</si>
  <si>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</si>
  <si>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</si>
  <si>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</si>
  <si>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</si>
  <si>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</si>
  <si>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</si>
  <si>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</si>
  <si>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</si>
  <si>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</si>
  <si>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</si>
  <si>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</si>
  <si>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</si>
  <si>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</si>
  <si>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</si>
  <si>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</si>
  <si>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</si>
  <si>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</si>
  <si>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</si>
  <si>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</si>
  <si>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</si>
  <si>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</si>
  <si>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</si>
  <si>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</si>
  <si>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</si>
  <si>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</si>
  <si>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</si>
  <si>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</si>
  <si>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</si>
  <si>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</si>
  <si>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</si>
  <si>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</si>
  <si>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</si>
  <si>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</si>
  <si>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</si>
  <si>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</si>
  <si>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</si>
  <si>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</si>
  <si>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</si>
  <si>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</si>
  <si>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</si>
  <si>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</si>
  <si>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</si>
  <si>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</si>
  <si>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</si>
  <si>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</si>
  <si>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</si>
  <si>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</si>
  <si>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</si>
  <si>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</si>
  <si>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</si>
  <si>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</si>
  <si>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</si>
  <si>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</si>
  <si>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</si>
  <si>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</si>
  <si>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</si>
  <si>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</si>
  <si>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</si>
  <si>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</si>
  <si>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</si>
  <si>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</si>
  <si>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</si>
  <si>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</si>
  <si>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</si>
  <si>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</si>
  <si>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</si>
  <si>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</si>
  <si>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</si>
  <si>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</si>
  <si>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</si>
  <si>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</si>
  <si>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</si>
  <si>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</si>
  <si>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</si>
  <si>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</si>
  <si>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</si>
  <si>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</si>
  <si>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</si>
  <si>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</si>
  <si>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</si>
  <si>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</si>
  <si>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</si>
  <si>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</si>
  <si>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</si>
  <si>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</si>
  <si>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</si>
  <si>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</si>
  <si>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</si>
  <si>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</si>
  <si>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</si>
  <si>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</si>
  <si>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</si>
  <si>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</si>
  <si>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</si>
  <si>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</si>
  <si>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</si>
  <si>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</si>
  <si>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</si>
  <si>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</si>
  <si>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</si>
  <si>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</si>
  <si>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</si>
  <si>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</si>
  <si>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</si>
  <si>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</si>
  <si>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</si>
  <si>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</si>
  <si>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</si>
  <si>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</si>
  <si>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</si>
  <si>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</si>
  <si>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</si>
  <si>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</si>
  <si>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</si>
  <si>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</si>
  <si>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</si>
  <si>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</si>
  <si>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</si>
  <si>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</si>
  <si>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</si>
  <si>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</si>
  <si>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</si>
  <si>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</si>
  <si>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</si>
  <si>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</si>
  <si>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</si>
  <si>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</si>
  <si>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</si>
  <si>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</si>
  <si>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</si>
  <si>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</si>
  <si>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</si>
  <si>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</si>
  <si>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</si>
  <si>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</si>
  <si>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</si>
  <si>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</si>
  <si>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</si>
  <si>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</si>
  <si>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</si>
  <si>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</si>
  <si>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</si>
  <si>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</si>
  <si>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</si>
  <si>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</si>
  <si>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</si>
  <si>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</si>
  <si>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</si>
  <si>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</si>
  <si>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</si>
  <si>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</si>
  <si>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</si>
  <si>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</si>
  <si>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</si>
  <si>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</si>
  <si>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</si>
  <si>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</si>
  <si>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</si>
  <si>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</si>
  <si>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</si>
  <si>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</si>
  <si>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</si>
  <si>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</si>
  <si>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</si>
  <si>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</si>
  <si>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</si>
  <si>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</si>
  <si>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</si>
  <si>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</si>
  <si>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</si>
  <si>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</si>
  <si>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</si>
  <si>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</si>
  <si>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</si>
  <si>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</si>
  <si>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</si>
  <si>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</si>
  <si>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</si>
  <si>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</si>
  <si>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</si>
  <si>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</si>
  <si>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</si>
  <si>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</si>
  <si>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</si>
  <si>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</si>
  <si>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</si>
  <si>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</si>
  <si>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</si>
  <si>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</si>
  <si>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</si>
  <si>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</si>
  <si>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</si>
  <si>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</si>
  <si>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</si>
  <si>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</si>
  <si>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</si>
  <si>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</si>
  <si>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</si>
  <si>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</si>
  <si>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</si>
  <si>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</si>
  <si>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</si>
  <si>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</si>
  <si>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</si>
  <si>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</si>
  <si>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</si>
  <si>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</si>
  <si>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</si>
  <si>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</si>
  <si>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</si>
  <si>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</si>
  <si>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</si>
  <si>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</si>
  <si>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</si>
  <si>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</si>
  <si>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</si>
  <si>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</si>
  <si>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</si>
  <si>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</si>
  <si>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</si>
  <si>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</si>
  <si>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</si>
  <si>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</si>
  <si>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</si>
  <si>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</si>
  <si>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</si>
  <si>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</si>
  <si>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</si>
  <si>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</si>
  <si>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</si>
  <si>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</si>
  <si>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</si>
  <si>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</si>
  <si>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</si>
  <si>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</si>
  <si>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</si>
  <si>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</si>
  <si>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</si>
  <si>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</si>
  <si>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</si>
  <si>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</si>
  <si>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</si>
  <si>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</si>
  <si>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</si>
  <si>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</si>
  <si>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</si>
  <si>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</si>
  <si>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</si>
  <si>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</si>
  <si>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</si>
  <si>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</si>
  <si>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</si>
  <si>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</si>
  <si>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</si>
  <si>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</si>
  <si>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</si>
  <si>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</si>
  <si>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</si>
  <si>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</si>
  <si>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</si>
  <si>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</si>
  <si>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</si>
  <si>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</si>
  <si>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</si>
  <si>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</si>
  <si>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</si>
  <si>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</si>
  <si>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</si>
  <si>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</si>
  <si>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</si>
  <si>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</si>
  <si>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</si>
  <si>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</si>
  <si>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</si>
  <si>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</si>
  <si>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</si>
  <si>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</si>
  <si>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</si>
  <si>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</si>
  <si>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</si>
  <si>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</si>
  <si>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</si>
  <si>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</si>
  <si>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</si>
  <si>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</si>
  <si>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</si>
  <si>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</si>
  <si>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</si>
  <si>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</si>
  <si>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</si>
  <si>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</si>
  <si>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</si>
  <si>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</si>
  <si>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</si>
  <si>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</si>
  <si>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</si>
  <si>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</si>
  <si>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</si>
  <si>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</si>
  <si>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</si>
  <si>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</si>
  <si>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</si>
  <si>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</si>
  <si>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</si>
  <si>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</si>
  <si>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</si>
  <si>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</si>
  <si>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</si>
  <si>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</si>
  <si>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</si>
  <si>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</si>
  <si>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</si>
  <si>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</si>
  <si>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</si>
  <si>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</si>
  <si>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</si>
  <si>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</si>
  <si>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</si>
  <si>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</si>
  <si>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</si>
  <si>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</si>
  <si>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</si>
  <si>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</si>
  <si>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</si>
  <si>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</si>
  <si>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</si>
  <si>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</si>
  <si>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</si>
  <si>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</si>
  <si>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</si>
  <si>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</si>
  <si>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</si>
  <si>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</si>
  <si>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</si>
  <si>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</si>
  <si>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</si>
  <si>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</si>
  <si>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</si>
  <si>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</si>
  <si>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</si>
  <si>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</si>
  <si>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</si>
  <si>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</si>
  <si>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</si>
  <si>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</si>
  <si>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</si>
  <si>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</si>
  <si>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</si>
  <si>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</si>
  <si>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</si>
  <si>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</si>
  <si>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</si>
  <si>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</si>
  <si>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</si>
  <si>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</si>
  <si>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</si>
  <si>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</si>
  <si>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</si>
  <si>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</si>
  <si>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</si>
  <si>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</si>
  <si>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</si>
  <si>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</si>
  <si>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</si>
  <si>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</si>
  <si>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</si>
  <si>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</si>
  <si>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</si>
  <si>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</si>
  <si>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</si>
  <si>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</si>
  <si>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</si>
  <si>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</si>
  <si>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</si>
  <si>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</si>
  <si>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</si>
  <si>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</si>
  <si>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</si>
  <si>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</si>
  <si>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</si>
  <si>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</si>
  <si>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</si>
  <si>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</si>
  <si>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</si>
  <si>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</si>
  <si>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</si>
  <si>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</si>
  <si>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</si>
  <si>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</si>
  <si>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</si>
  <si>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</si>
  <si>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</si>
  <si>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</si>
  <si>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</si>
  <si>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</si>
  <si>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</si>
  <si>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</si>
  <si>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</si>
  <si>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</si>
  <si>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</si>
  <si>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</si>
  <si>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</si>
  <si>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</si>
  <si>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</si>
  <si>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</si>
  <si>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</si>
  <si>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</si>
  <si>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</si>
  <si>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</si>
  <si>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</si>
  <si>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</si>
  <si>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</si>
  <si>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</si>
  <si>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</si>
  <si>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</si>
  <si>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</si>
  <si>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</si>
  <si>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</si>
  <si>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</si>
  <si>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</si>
  <si>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</si>
  <si>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</si>
  <si>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</si>
  <si>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</si>
  <si>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</si>
  <si>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</si>
  <si>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</si>
  <si>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</si>
  <si>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</si>
  <si>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</si>
  <si>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</si>
  <si>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</si>
  <si>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</si>
  <si>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</si>
  <si>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</si>
  <si>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</si>
  <si>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</si>
  <si>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</si>
  <si>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</si>
  <si>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</si>
  <si>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</si>
  <si>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</si>
  <si>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</si>
  <si>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</si>
  <si>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</si>
  <si>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</si>
  <si>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</si>
  <si>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</si>
  <si>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</si>
  <si>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</si>
  <si>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</si>
  <si>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</si>
  <si>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</si>
  <si>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</si>
  <si>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</si>
  <si>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</si>
  <si>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</si>
  <si>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</si>
  <si>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</si>
  <si>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</si>
  <si>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</si>
  <si>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</si>
  <si>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</si>
  <si>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</si>
  <si>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</si>
  <si>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Category</t>
  </si>
  <si>
    <t>Standard_Cost_Per_Unit</t>
  </si>
  <si>
    <t>Target_Margin</t>
  </si>
  <si>
    <t>Computers</t>
  </si>
  <si>
    <t>Displays</t>
  </si>
  <si>
    <t>Accessories</t>
  </si>
  <si>
    <t>Office Equipment</t>
  </si>
  <si>
    <t>Assumption</t>
  </si>
  <si>
    <t>Value</t>
  </si>
  <si>
    <t>Tax_Rate</t>
  </si>
  <si>
    <t>Target_Profit_Margin</t>
  </si>
  <si>
    <t>High_Discount_Threshold</t>
  </si>
  <si>
    <t>Standard Cost</t>
  </si>
  <si>
    <t>Profit Status</t>
  </si>
  <si>
    <t>Profit Level</t>
  </si>
  <si>
    <t>Grand Total</t>
  </si>
  <si>
    <t>Total Sales By Channel</t>
  </si>
  <si>
    <t>KPIs (Key Performance Indicators)</t>
  </si>
  <si>
    <t>1. Total Net Sales</t>
  </si>
  <si>
    <t>2. Total Profit</t>
  </si>
  <si>
    <t>3. Overall Profit Margin</t>
  </si>
  <si>
    <t>4. Count of loss-making Orders</t>
  </si>
  <si>
    <t>5. Total loss from loss-making orders</t>
  </si>
  <si>
    <t>6. Avg. Order Value</t>
  </si>
  <si>
    <t>7. Highest Order Value</t>
  </si>
  <si>
    <t>Product with highest revenue</t>
  </si>
  <si>
    <t>Region with highest profit</t>
  </si>
  <si>
    <t>Profit margin</t>
  </si>
  <si>
    <t>Region With Profit Margin</t>
  </si>
  <si>
    <t>Region with lowest profit margin</t>
  </si>
  <si>
    <t>Net Sales</t>
  </si>
  <si>
    <t>Net Profit</t>
  </si>
  <si>
    <t>Delhi's Laptop Sales</t>
  </si>
  <si>
    <t>Corporate Loss Orders (Count)</t>
  </si>
  <si>
    <t>Margin_status</t>
  </si>
  <si>
    <t>Profit and  Sales By Product</t>
  </si>
  <si>
    <t>Average order Value</t>
  </si>
  <si>
    <t>Avg Order Value and  Sales By Customer Type</t>
  </si>
  <si>
    <t>Products</t>
  </si>
  <si>
    <t xml:space="preserve">Net_sales </t>
  </si>
  <si>
    <t xml:space="preserve">Region and product wise net sales </t>
  </si>
  <si>
    <t>Region And channel wise Net sales</t>
  </si>
  <si>
    <t>2025</t>
  </si>
  <si>
    <t>Jan</t>
  </si>
  <si>
    <t>Feb</t>
  </si>
  <si>
    <t>Mar</t>
  </si>
  <si>
    <t>Apr</t>
  </si>
  <si>
    <t>May</t>
  </si>
  <si>
    <t>Jun</t>
  </si>
  <si>
    <t>Jul</t>
  </si>
  <si>
    <t>Aug</t>
  </si>
  <si>
    <t>Sep</t>
  </si>
  <si>
    <t>Oct</t>
  </si>
  <si>
    <t>Nov</t>
  </si>
  <si>
    <t>Dec</t>
  </si>
  <si>
    <t>2026</t>
  </si>
  <si>
    <t>Year</t>
  </si>
  <si>
    <t xml:space="preserve">Total Net_sales </t>
  </si>
  <si>
    <t xml:space="preserve">Total Profit </t>
  </si>
  <si>
    <t xml:space="preserve">Profit </t>
  </si>
  <si>
    <t>Revenue and profit by year and month</t>
  </si>
  <si>
    <t xml:space="preserve">Tables  For Charts </t>
  </si>
  <si>
    <t>Months</t>
  </si>
  <si>
    <t>Revenue</t>
  </si>
  <si>
    <t>Monthly revenue</t>
  </si>
  <si>
    <t>Revenue By Region</t>
  </si>
  <si>
    <t>Profit By Product</t>
  </si>
  <si>
    <t>Revenue By Channel</t>
  </si>
  <si>
    <t>Performance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</si>
</sst>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10">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sz val="10"/>
      <color theme="1"/>
      <name val="Arial Unicode MS"/>
    </font>
    <font>
      <b/>
      <i/>
      <sz val="11"/>
      <color theme="1"/>
      <name val="Calibri"/>
      <family val="2"/>
      <scheme val="minor"/>
    </font>
    <font>
      <i/>
      <sz val="11"/>
      <color theme="1"/>
      <name val="Calibri"/>
      <family val="2"/>
      <scheme val="minor"/>
    </font>
    <font>
      <b/>
      <i/>
      <sz val="16"/>
      <color theme="1"/>
      <name val="Calibri"/>
      <family val="2"/>
      <scheme val="minor"/>
    </font>
    <font>
      <b/>
      <i/>
      <sz val="14"/>
      <color theme="1"/>
      <name val="Calibri"/>
      <family val="2"/>
      <scheme val="minor"/>
    </font>
    <font>
      <b/>
      <i/>
      <u/>
      <sz val="2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164" fontId="0" fillId="0" borderId="0" xfId="0" applyNumberFormat="1"/>
    <xf numFmtId="0" fontId="1" fillId="0" borderId="1" xfId="0" applyFont="1" applyBorder="1" applyAlignment="1">
      <alignment horizontal="center" vertical="top"/>
    </xf>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
    </xf>
    <xf numFmtId="0" fontId="4" fillId="0" borderId="0" xfId="0" applyFont="1"/>
    <xf numFmtId="10" fontId="0" fillId="0" borderId="0" xfId="0" applyNumberFormat="1"/>
    <xf numFmtId="9" fontId="0" fillId="0" borderId="0" xfId="1" applyFont="1"/>
    <xf numFmtId="10" fontId="0" fillId="0" borderId="0" xfId="1" applyNumberFormat="1" applyFont="1"/>
    <xf numFmtId="164" fontId="0" fillId="0" borderId="0" xfId="0" applyNumberFormat="1" applyAlignment="1">
      <alignment horizontal="left"/>
    </xf>
    <xf numFmtId="0" fontId="9" fillId="0" borderId="0" xfId="0" applyFont="1" applyAlignment="1">
      <alignment horizontal="center"/>
    </xf>
    <xf numFmtId="0" fontId="3" fillId="0" borderId="0" xfId="0" applyFont="1" applyAlignment="1">
      <alignment horizontal="center"/>
    </xf>
    <xf numFmtId="0" fontId="8" fillId="0" borderId="0" xfId="0" applyFont="1" applyAlignment="1">
      <alignment horizontal="center"/>
    </xf>
    <xf numFmtId="0" fontId="6" fillId="0" borderId="0" xfId="0" applyFont="1" applyAlignment="1">
      <alignment horizontal="center"/>
    </xf>
    <xf numFmtId="0" fontId="0" fillId="0" borderId="0" xfId="0" applyAlignment="1">
      <alignment horizontal="center"/>
    </xf>
    <xf numFmtId="10" fontId="0" fillId="0" borderId="0" xfId="0" applyNumberFormat="1" applyAlignment="1">
      <alignment horizontal="center"/>
    </xf>
    <xf numFmtId="0" fontId="7" fillId="0" borderId="0" xfId="0" applyFont="1" applyAlignment="1">
      <alignment horizontal="center"/>
    </xf>
    <xf numFmtId="0" fontId="5" fillId="0" borderId="0" xfId="0" applyFont="1" applyAlignment="1">
      <alignment horizontal="center"/>
    </xf>
    <xf numFmtId="165" fontId="6" fillId="0" borderId="0" xfId="0" applyNumberFormat="1" applyFont="1" applyAlignment="1">
      <alignment horizontal="center"/>
    </xf>
    <xf numFmtId="165" fontId="0" fillId="0" borderId="0" xfId="0" applyNumberFormat="1" applyAlignment="1">
      <alignment horizontal="center"/>
    </xf>
  </cellXfs>
  <cellStyles count="2">
    <cellStyle name="Normal" xfId="0" builtinId="0"/>
    <cellStyle name="Percent" xfId="1" builtinId="5"/>
  </cellStyles>
  <dxfs count="21">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4" formatCode="0.00%"/>
    </dxf>
    <dxf>
      <numFmt numFmtId="14" formatCode="0.00%"/>
    </dxf>
    <dxf>
      <numFmt numFmtId="0" formatCode="General"/>
    </dxf>
    <dxf>
      <numFmt numFmtId="0" formatCode="General"/>
    </dxf>
    <dxf>
      <numFmt numFmtId="19" formatCode="dd/mm/yyyy"/>
    </dxf>
    <dxf>
      <fill>
        <patternFill>
          <bgColor theme="9" tint="0.39994506668294322"/>
        </patternFill>
      </fill>
    </dxf>
    <dxf>
      <font>
        <color rgb="FF9C0006"/>
      </font>
      <fill>
        <patternFill>
          <bgColor rgb="FFFFC7CE"/>
        </patternFill>
      </fill>
    </dxf>
  </dxfs>
  <tableStyles count="0" defaultTableStyle="TableStyleMedium9" defaultPivotStyle="PivotStyleLight16"/>
  <colors>
    <mruColors>
      <color rgb="FFFF8F8F"/>
      <color rgb="FFD773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[Financial_Analyst_Excel_Project1_sales and profitability_analysis.xlsx]Business_Analysis!PivotTable5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Business_Analysis!$B$61:$B$62</c:f>
              <c:strCache>
                <c:ptCount val="1"/>
                <c:pt idx="0">
                  <c:v>2025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Business_Analysis!$A$63:$A$75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Business_Analysis!$B$63:$B$75</c:f>
              <c:numCache>
                <c:formatCode>"₹"\ #,##0.00</c:formatCode>
                <c:ptCount val="12"/>
                <c:pt idx="0">
                  <c:v>950465</c:v>
                </c:pt>
                <c:pt idx="1">
                  <c:v>1223865</c:v>
                </c:pt>
                <c:pt idx="2">
                  <c:v>1584070</c:v>
                </c:pt>
                <c:pt idx="3">
                  <c:v>2614960</c:v>
                </c:pt>
                <c:pt idx="4">
                  <c:v>1409255</c:v>
                </c:pt>
                <c:pt idx="5">
                  <c:v>1736865</c:v>
                </c:pt>
                <c:pt idx="6">
                  <c:v>1302050</c:v>
                </c:pt>
                <c:pt idx="7">
                  <c:v>1886910</c:v>
                </c:pt>
                <c:pt idx="8">
                  <c:v>921155</c:v>
                </c:pt>
                <c:pt idx="9">
                  <c:v>1881365</c:v>
                </c:pt>
                <c:pt idx="10">
                  <c:v>1065115</c:v>
                </c:pt>
                <c:pt idx="11">
                  <c:v>1866150</c:v>
                </c:pt>
              </c:numCache>
            </c:numRef>
          </c:val>
          <c:smooth val="0"/>
          <c:extLst>
            <c:ext xmlns:c16="http://schemas.microsoft.com/office/drawing/2014/chart" uri="{C3380CC4-5D6E-409C-BE32-E72D297353CC}">
              <c16:uniqueId val="{00000000-F5C5-488E-A0C6-041541AA9A40}"/>
            </c:ext>
          </c:extLst>
        </c:ser>
        <c:ser>
          <c:idx val="1"/>
          <c:order val="1"/>
          <c:tx>
            <c:strRef>
              <c:f>Business_Analysis!$C$61:$C$62</c:f>
              <c:strCache>
                <c:ptCount val="1"/>
                <c:pt idx="0">
                  <c:v>2026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Business_Analysis!$A$63:$A$75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Business_Analysis!$C$63:$C$75</c:f>
              <c:numCache>
                <c:formatCode>"₹"\ #,##0.00</c:formatCode>
                <c:ptCount val="12"/>
                <c:pt idx="0">
                  <c:v>1721690</c:v>
                </c:pt>
                <c:pt idx="1">
                  <c:v>1277860</c:v>
                </c:pt>
                <c:pt idx="2">
                  <c:v>1720715</c:v>
                </c:pt>
                <c:pt idx="3">
                  <c:v>1471285</c:v>
                </c:pt>
                <c:pt idx="4">
                  <c:v>2097615</c:v>
                </c:pt>
                <c:pt idx="5">
                  <c:v>1155355</c:v>
                </c:pt>
              </c:numCache>
            </c:numRef>
          </c:val>
          <c:smooth val="0"/>
          <c:extLst>
            <c:ext xmlns:c16="http://schemas.microsoft.com/office/drawing/2014/chart" uri="{C3380CC4-5D6E-409C-BE32-E72D297353CC}">
              <c16:uniqueId val="{00000003-F5C5-488E-A0C6-041541AA9A40}"/>
            </c:ext>
          </c:extLst>
        </c:ser>
        <c:dLbls>
          <c:showLegendKey val="0"/>
          <c:showVal val="0"/>
          <c:showCatName val="0"/>
          <c:showSerName val="0"/>
          <c:showPercent val="0"/>
          <c:showBubbleSize val="0"/>
        </c:dLbls>
        <c:marker val="1"/>
        <c:smooth val="0"/>
        <c:axId val="444582016"/>
        <c:axId val="930540944"/>
      </c:lineChart>
      <c:catAx>
        <c:axId val="4445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40944"/>
        <c:crosses val="autoZero"/>
        <c:auto val="1"/>
        <c:lblAlgn val="ctr"/>
        <c:lblOffset val="100"/>
        <c:noMultiLvlLbl val="0"/>
      </c:catAx>
      <c:valAx>
        <c:axId val="930540944"/>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8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[Financial_Analyst_Excel_Project1_sales and profitability_analysis.xlsx]Business_Analysis!PivotTable7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Business_Analysis!$G$61</c:f>
              <c:strCache>
                <c:ptCount val="1"/>
                <c:pt idx="0">
                  <c:v>Total</c:v>
                </c:pt>
              </c:strCache>
            </c:strRef>
          </c:tx>
          <c:spPr>
            <a:solidFill>
              <a:schemeClr val="accent1"/>
            </a:solidFill>
            <a:ln>
              <a:noFill/>
            </a:ln>
            <a:effectLst/>
          </c:spPr>
          <c:invertIfNegative val="0"/>
          <c:cat>
            <c:strRef>
              <c:f>Business_Analysis!$F$62:$F$68</c:f>
              <c:strCache>
                <c:ptCount val="6"/>
                <c:pt idx="0">
                  <c:v>Chennai</c:v>
                </c:pt>
                <c:pt idx="1">
                  <c:v>Mumbai</c:v>
                </c:pt>
                <c:pt idx="2">
                  <c:v>Bangalore</c:v>
                </c:pt>
                <c:pt idx="3">
                  <c:v>Delhi</c:v>
                </c:pt>
                <c:pt idx="4">
                  <c:v>Pune</c:v>
                </c:pt>
                <c:pt idx="5">
                  <c:v>Hyderabad</c:v>
                </c:pt>
              </c:strCache>
            </c:strRef>
          </c:cat>
          <c:val>
            <c:numRef>
              <c:f>Business_Analysis!$G$62:$G$68</c:f>
              <c:numCache>
                <c:formatCode>"₹"\ #,##0.00</c:formatCode>
                <c:ptCount val="6"/>
                <c:pt idx="0">
                  <c:v>5808410</c:v>
                </c:pt>
                <c:pt idx="1">
                  <c:v>4716460</c:v>
                </c:pt>
                <c:pt idx="2">
                  <c:v>4645485</c:v>
                </c:pt>
                <c:pt idx="3">
                  <c:v>4535600</c:v>
                </c:pt>
                <c:pt idx="4">
                  <c:v>4203480</c:v>
                </c:pt>
                <c:pt idx="5">
                  <c:v>3977310</c:v>
                </c:pt>
              </c:numCache>
            </c:numRef>
          </c:val>
          <c:extLst>
            <c:ext xmlns:c16="http://schemas.microsoft.com/office/drawing/2014/chart" uri="{C3380CC4-5D6E-409C-BE32-E72D297353CC}">
              <c16:uniqueId val="{00000000-2FEC-4DEE-AB49-5BCA13933FD9}"/>
            </c:ext>
          </c:extLst>
        </c:ser>
        <c:dLbls>
          <c:showLegendKey val="0"/>
          <c:showVal val="0"/>
          <c:showCatName val="0"/>
          <c:showSerName val="0"/>
          <c:showPercent val="0"/>
          <c:showBubbleSize val="0"/>
        </c:dLbls>
        <c:gapWidth val="219"/>
        <c:overlap val="-27"/>
        <c:axId val="935686624"/>
        <c:axId val="1954807408"/>
      </c:barChart>
      <c:catAx>
        <c:axId val="9356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807408"/>
        <c:crosses val="autoZero"/>
        <c:auto val="1"/>
        <c:lblAlgn val="ctr"/>
        <c:lblOffset val="100"/>
        <c:noMultiLvlLbl val="0"/>
      </c:catAx>
      <c:valAx>
        <c:axId val="1954807408"/>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8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[Financial_Analyst_Excel_Project1_sales and profitability_analysis.xlsx]Business_Analysis!PivotTable10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3312902896479303"/>
              <c:y val="0"/>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Business_Analysis!$J$61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768A-458F-9E9F-3B732A6C8129}"/>
              </c:ext>
            </c:extLst>
          </c:dPt>
          <c:dLbls>
            <c:dLbl>
              <c:idx val="0"/>
              <c:layout>
                <c:manualLayout>
                  <c:x val="-0.1331290289647930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8A-458F-9E9F-3B732A6C8129}"/>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Business_Analysis!$I$62:$I$70</c:f>
              <c:strCache>
                <c:ptCount val="8"/>
                <c:pt idx="0">
                  <c:v>Mouse</c:v>
                </c:pt>
                <c:pt idx="1">
                  <c:v>Headphones</c:v>
                </c:pt>
                <c:pt idx="2">
                  <c:v>Keyboard</c:v>
                </c:pt>
                <c:pt idx="3">
                  <c:v>Printer</c:v>
                </c:pt>
                <c:pt idx="4">
                  <c:v>Webcam</c:v>
                </c:pt>
                <c:pt idx="5">
                  <c:v>Monitor</c:v>
                </c:pt>
                <c:pt idx="6">
                  <c:v>Tablet</c:v>
                </c:pt>
                <c:pt idx="7">
                  <c:v>Laptop</c:v>
                </c:pt>
              </c:strCache>
            </c:strRef>
          </c:cat>
          <c:val>
            <c:numRef>
              <c:f>Business_Analysis!$J$62:$J$70</c:f>
              <c:numCache>
                <c:formatCode>"₹"\ #,##0.00</c:formatCode>
                <c:ptCount val="8"/>
                <c:pt idx="0">
                  <c:v>-8182.0000000000127</c:v>
                </c:pt>
                <c:pt idx="1">
                  <c:v>99896</c:v>
                </c:pt>
                <c:pt idx="2">
                  <c:v>103585</c:v>
                </c:pt>
                <c:pt idx="3">
                  <c:v>261992</c:v>
                </c:pt>
                <c:pt idx="4">
                  <c:v>279418</c:v>
                </c:pt>
                <c:pt idx="5">
                  <c:v>435595</c:v>
                </c:pt>
                <c:pt idx="6">
                  <c:v>494094</c:v>
                </c:pt>
                <c:pt idx="7">
                  <c:v>728705</c:v>
                </c:pt>
              </c:numCache>
            </c:numRef>
          </c:val>
          <c:extLst>
            <c:ext xmlns:c16="http://schemas.microsoft.com/office/drawing/2014/chart" uri="{C3380CC4-5D6E-409C-BE32-E72D297353CC}">
              <c16:uniqueId val="{00000000-768A-458F-9E9F-3B732A6C8129}"/>
            </c:ext>
          </c:extLst>
        </c:ser>
        <c:dLbls>
          <c:dLblPos val="outEnd"/>
          <c:showLegendKey val="0"/>
          <c:showVal val="1"/>
          <c:showCatName val="0"/>
          <c:showSerName val="0"/>
          <c:showPercent val="0"/>
          <c:showBubbleSize val="0"/>
        </c:dLbls>
        <c:gapWidth val="182"/>
        <c:axId val="360516688"/>
        <c:axId val="447133552"/>
      </c:barChart>
      <c:catAx>
        <c:axId val="360516688"/>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33552"/>
        <c:crosses val="autoZero"/>
        <c:auto val="1"/>
        <c:lblAlgn val="ctr"/>
        <c:lblOffset val="100"/>
        <c:noMultiLvlLbl val="0"/>
      </c:catAx>
      <c:valAx>
        <c:axId val="447133552"/>
        <c:scaling>
          <c:orientation val="minMax"/>
        </c:scaling>
        <c:delete val="1"/>
        <c:axPos val="b"/>
        <c:numFmt formatCode="&quot;₹&quot;\ #,##0.00" sourceLinked="1"/>
        <c:majorTickMark val="out"/>
        <c:minorTickMark val="none"/>
        <c:tickLblPos val="nextTo"/>
        <c:crossAx val="36051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[Financial_Analyst_Excel_Project1_sales and profitability_analysis.xlsx]Business_Analysis!PivotTable12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Channel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Business_Analysis!$G$72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A5-430D-A4F6-4D7F3F24FB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A5-430D-A4F6-4D7F3F24FB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A5-430D-A4F6-4D7F3F24FBB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Business_Analysis!$F$73:$F$76</c:f>
              <c:strCache>
                <c:ptCount val="3"/>
                <c:pt idx="0">
                  <c:v>Corporate</c:v>
                </c:pt>
                <c:pt idx="1">
                  <c:v>Online</c:v>
                </c:pt>
                <c:pt idx="2">
                  <c:v>Retail</c:v>
                </c:pt>
              </c:strCache>
            </c:strRef>
          </c:cat>
          <c:val>
            <c:numRef>
              <c:f>Business_Analysis!$G$73:$G$76</c:f>
              <c:numCache>
                <c:formatCode>"₹"\ #,##0.00</c:formatCode>
                <c:ptCount val="3"/>
                <c:pt idx="0">
                  <c:v>5363095</c:v>
                </c:pt>
                <c:pt idx="1">
                  <c:v>13564080</c:v>
                </c:pt>
                <c:pt idx="2">
                  <c:v>8959570</c:v>
                </c:pt>
              </c:numCache>
            </c:numRef>
          </c:val>
          <c:extLst>
            <c:ext xmlns:c16="http://schemas.microsoft.com/office/drawing/2014/chart" uri="{C3380CC4-5D6E-409C-BE32-E72D297353CC}">
              <c16:uniqueId val="{00000006-08A5-430D-A4F6-4D7F3F24FBB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280143</xdr:colOff>
      <xdr:row>5</xdr:row>
      <xdr:rowOff>179295</xdr:rowOff>
    </xdr:from>
    <xdr:to>
      <xdr:col>9</xdr:col>
      <xdr:colOff>442068</xdr:colOff>
      <xdr:row>18</xdr:row>
      <xdr:rowOff>93570</xdr:rowOff>
    </xdr:to>
    <xdr:graphicFrame macro="">
      <xdr:nvGraphicFramePr>
        <xdr:cNvPr id="6" name="Chart 5">
          <a:extLst>
            <a:ext uri="{FF2B5EF4-FFF2-40B4-BE49-F238E27FC236}">
              <a16:creationId xmlns:a16="http://schemas.microsoft.com/office/drawing/2014/main" id="{58196BC6-E728-4EA7-B63C-8FF98CE57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451593</xdr:colOff>
      <xdr:row>5</xdr:row>
      <xdr:rowOff>179295</xdr:rowOff>
    </xdr:from>
    <xdr:to>
      <xdr:col>17</xdr:col>
      <xdr:colOff>56025</xdr:colOff>
      <xdr:row>18</xdr:row>
      <xdr:rowOff>93570</xdr:rowOff>
    </xdr:to>
    <xdr:graphicFrame macro="">
      <xdr:nvGraphicFramePr>
        <xdr:cNvPr id="7" name="Chart 6">
          <a:extLst>
            <a:ext uri="{FF2B5EF4-FFF2-40B4-BE49-F238E27FC236}">
              <a16:creationId xmlns:a16="http://schemas.microsoft.com/office/drawing/2014/main" id="{2D249333-5774-4CC3-B468-078AFE21D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280143</xdr:colOff>
      <xdr:row>18</xdr:row>
      <xdr:rowOff>93570</xdr:rowOff>
    </xdr:from>
    <xdr:to>
      <xdr:col>9</xdr:col>
      <xdr:colOff>432543</xdr:colOff>
      <xdr:row>30</xdr:row>
      <xdr:rowOff>55470</xdr:rowOff>
    </xdr:to>
    <xdr:graphicFrame macro="">
      <xdr:nvGraphicFramePr>
        <xdr:cNvPr id="8" name="Chart 7">
          <a:extLst>
            <a:ext uri="{FF2B5EF4-FFF2-40B4-BE49-F238E27FC236}">
              <a16:creationId xmlns:a16="http://schemas.microsoft.com/office/drawing/2014/main" id="{10C1631F-D37C-4F59-95A5-19CEFFC16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451594</xdr:colOff>
      <xdr:row>18</xdr:row>
      <xdr:rowOff>90208</xdr:rowOff>
    </xdr:from>
    <xdr:to>
      <xdr:col>17</xdr:col>
      <xdr:colOff>65549</xdr:colOff>
      <xdr:row>30</xdr:row>
      <xdr:rowOff>42583</xdr:rowOff>
    </xdr:to>
    <xdr:graphicFrame macro="">
      <xdr:nvGraphicFramePr>
        <xdr:cNvPr id="9" name="Chart 8">
          <a:extLst>
            <a:ext uri="{FF2B5EF4-FFF2-40B4-BE49-F238E27FC236}">
              <a16:creationId xmlns:a16="http://schemas.microsoft.com/office/drawing/2014/main" id="{39948CAB-2B3B-47DE-B5AA-3556E1636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56027</xdr:colOff>
      <xdr:row>1</xdr:row>
      <xdr:rowOff>141193</xdr:rowOff>
    </xdr:from>
    <xdr:to>
      <xdr:col>6</xdr:col>
      <xdr:colOff>233080</xdr:colOff>
      <xdr:row>5</xdr:row>
      <xdr:rowOff>98612</xdr:rowOff>
    </xdr:to>
    <xdr:sp macro="" textlink="Business_Analysis!A3">
      <xdr:nvSpPr>
        <xdr:cNvPr id="11" name="Rectangle: Rounded Corners 10">
          <a:extLst>
            <a:ext uri="{FF2B5EF4-FFF2-40B4-BE49-F238E27FC236}">
              <a16:creationId xmlns:a16="http://schemas.microsoft.com/office/drawing/2014/main" id="{5B12DB3E-604E-41AD-87C9-B58D7C0C541B}"/>
            </a:ext>
          </a:extLst>
        </xdr:cNvPr>
        <xdr:cNvSpPr/>
      </xdr:nvSpPr>
      <xdr:spPr>
        <a:xfrm>
          <a:off x="1892991" y="508586"/>
          <a:ext cx="2014018" cy="7194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Total Net Sales</a:t>
          </a:r>
          <a:endParaRPr lang="en-US" sz="1100" b="0" i="0" u="none" strike="noStrike">
            <a:solidFill>
              <a:schemeClr val="bg1"/>
            </a:solidFill>
            <a:latin typeface="Calibri"/>
            <a:ea typeface="Calibri"/>
            <a:cs typeface="Calibri"/>
          </a:endParaRPr>
        </a:p>
        <a:p>
          <a:pPr algn="ctr"/>
          <a:fld id="{91DEC90D-0FA5-49F2-B27A-5EF66D3D93E9}" type="TxLink">
            <a:rPr lang="en-US" sz="1400" b="0" i="0" u="none" strike="noStrike">
              <a:solidFill>
                <a:schemeClr val="bg1"/>
              </a:solidFill>
              <a:latin typeface="Calibri"/>
              <a:ea typeface="Calibri"/>
              <a:cs typeface="Calibri"/>
            </a:rPr>
            <a:pPr algn="ctr"/>
            <a:t>₹ 2,78,86,745.00</a:t>
          </a:fld>
          <a:endParaRPr lang="en-IN" sz="1100">
            <a:solidFill>
              <a:schemeClr val="bg1"/>
            </a:solidFill>
          </a:endParaRPr>
        </a:p>
      </xdr:txBody>
    </xdr:sp>
    <xdr:clientData/>
  </xdr:twoCellAnchor>
  <xdr:twoCellAnchor>
    <xdr:from>
      <xdr:col>6</xdr:col>
      <xdr:colOff>341297</xdr:colOff>
      <xdr:row>1</xdr:row>
      <xdr:rowOff>141193</xdr:rowOff>
    </xdr:from>
    <xdr:to>
      <xdr:col>9</xdr:col>
      <xdr:colOff>511147</xdr:colOff>
      <xdr:row>5</xdr:row>
      <xdr:rowOff>98612</xdr:rowOff>
    </xdr:to>
    <xdr:sp macro="" textlink="Business_Analysis!B3">
      <xdr:nvSpPr>
        <xdr:cNvPr id="12" name="Rectangle: Rounded Corners 11">
          <a:extLst>
            <a:ext uri="{FF2B5EF4-FFF2-40B4-BE49-F238E27FC236}">
              <a16:creationId xmlns:a16="http://schemas.microsoft.com/office/drawing/2014/main" id="{D2226612-93D8-4DC4-B46E-5D1D33AF3B27}"/>
            </a:ext>
          </a:extLst>
        </xdr:cNvPr>
        <xdr:cNvSpPr/>
      </xdr:nvSpPr>
      <xdr:spPr>
        <a:xfrm>
          <a:off x="4015226" y="508586"/>
          <a:ext cx="2006814" cy="7194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Total Profit</a:t>
          </a:r>
          <a:endParaRPr lang="en-US" sz="1100" b="1" i="0" u="none" strike="noStrike">
            <a:solidFill>
              <a:schemeClr val="bg1"/>
            </a:solidFill>
            <a:latin typeface="Calibri"/>
            <a:ea typeface="Calibri"/>
            <a:cs typeface="Calibri"/>
          </a:endParaRPr>
        </a:p>
        <a:p>
          <a:pPr algn="ctr"/>
          <a:fld id="{EF9E4B43-13C0-4871-9C81-EE0300FAADD0}" type="TxLink">
            <a:rPr lang="en-US" sz="1400" b="0" i="0" u="none" strike="noStrike">
              <a:solidFill>
                <a:schemeClr val="bg1"/>
              </a:solidFill>
              <a:latin typeface="Calibri"/>
              <a:ea typeface="Calibri"/>
              <a:cs typeface="Calibri"/>
            </a:rPr>
            <a:pPr algn="ctr"/>
            <a:t>₹ 23,95,103.00</a:t>
          </a:fld>
          <a:endParaRPr lang="en-IN" sz="1400">
            <a:solidFill>
              <a:schemeClr val="bg1"/>
            </a:solidFill>
          </a:endParaRPr>
        </a:p>
      </xdr:txBody>
    </xdr:sp>
    <xdr:clientData/>
  </xdr:twoCellAnchor>
  <xdr:twoCellAnchor>
    <xdr:from>
      <xdr:col>10</xdr:col>
      <xdr:colOff>7043</xdr:colOff>
      <xdr:row>1</xdr:row>
      <xdr:rowOff>141193</xdr:rowOff>
    </xdr:from>
    <xdr:to>
      <xdr:col>13</xdr:col>
      <xdr:colOff>176892</xdr:colOff>
      <xdr:row>5</xdr:row>
      <xdr:rowOff>98612</xdr:rowOff>
    </xdr:to>
    <xdr:sp macro="" textlink="Business_Analysis!C3">
      <xdr:nvSpPr>
        <xdr:cNvPr id="13" name="Rectangle: Rounded Corners 12">
          <a:extLst>
            <a:ext uri="{FF2B5EF4-FFF2-40B4-BE49-F238E27FC236}">
              <a16:creationId xmlns:a16="http://schemas.microsoft.com/office/drawing/2014/main" id="{3A681549-7BEC-4F89-B113-E4FA5D50ECD3}"/>
            </a:ext>
          </a:extLst>
        </xdr:cNvPr>
        <xdr:cNvSpPr/>
      </xdr:nvSpPr>
      <xdr:spPr>
        <a:xfrm>
          <a:off x="6130257" y="508586"/>
          <a:ext cx="2006814" cy="7194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Profit Margin</a:t>
          </a:r>
          <a:endParaRPr lang="en-US" sz="1100" b="1" i="0" u="none" strike="noStrike">
            <a:solidFill>
              <a:schemeClr val="bg1"/>
            </a:solidFill>
            <a:latin typeface="Calibri"/>
            <a:ea typeface="Calibri"/>
            <a:cs typeface="Calibri"/>
          </a:endParaRPr>
        </a:p>
        <a:p>
          <a:pPr algn="ctr"/>
          <a:fld id="{A955B706-E5BA-48DC-A094-8BA7CDF3AE7C}" type="TxLink">
            <a:rPr lang="en-US" sz="1400" b="0" i="0" u="none" strike="noStrike">
              <a:solidFill>
                <a:schemeClr val="bg1"/>
              </a:solidFill>
              <a:latin typeface="Calibri"/>
              <a:ea typeface="Calibri"/>
              <a:cs typeface="Calibri"/>
            </a:rPr>
            <a:pPr algn="ctr"/>
            <a:t>8.59%</a:t>
          </a:fld>
          <a:endParaRPr lang="en-IN" sz="1400">
            <a:solidFill>
              <a:schemeClr val="bg1"/>
            </a:solidFill>
          </a:endParaRPr>
        </a:p>
      </xdr:txBody>
    </xdr:sp>
    <xdr:clientData/>
  </xdr:twoCellAnchor>
  <xdr:twoCellAnchor>
    <xdr:from>
      <xdr:col>13</xdr:col>
      <xdr:colOff>285108</xdr:colOff>
      <xdr:row>1</xdr:row>
      <xdr:rowOff>141193</xdr:rowOff>
    </xdr:from>
    <xdr:to>
      <xdr:col>17</xdr:col>
      <xdr:colOff>33616</xdr:colOff>
      <xdr:row>5</xdr:row>
      <xdr:rowOff>98612</xdr:rowOff>
    </xdr:to>
    <xdr:sp macro="" textlink="Business_Analysis!E3">
      <xdr:nvSpPr>
        <xdr:cNvPr id="14" name="Rectangle: Rounded Corners 13">
          <a:extLst>
            <a:ext uri="{FF2B5EF4-FFF2-40B4-BE49-F238E27FC236}">
              <a16:creationId xmlns:a16="http://schemas.microsoft.com/office/drawing/2014/main" id="{54ABDB2B-0A29-4497-9C08-88901CE684B3}"/>
            </a:ext>
          </a:extLst>
        </xdr:cNvPr>
        <xdr:cNvSpPr/>
      </xdr:nvSpPr>
      <xdr:spPr>
        <a:xfrm>
          <a:off x="8245287" y="508586"/>
          <a:ext cx="2197793" cy="7194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Loss Order Count</a:t>
          </a:r>
          <a:endParaRPr lang="en-US" sz="1100" b="1" i="0" u="none" strike="noStrike">
            <a:solidFill>
              <a:schemeClr val="bg1"/>
            </a:solidFill>
            <a:latin typeface="Calibri"/>
            <a:ea typeface="Calibri"/>
            <a:cs typeface="Calibri"/>
          </a:endParaRPr>
        </a:p>
        <a:p>
          <a:pPr algn="ctr"/>
          <a:fld id="{230AE937-790D-4081-BA40-D1D553D07D40}" type="TxLink">
            <a:rPr lang="en-US" sz="1400" b="0" i="0" u="none" strike="noStrike">
              <a:solidFill>
                <a:schemeClr val="bg1"/>
              </a:solidFill>
              <a:latin typeface="Calibri"/>
              <a:ea typeface="Calibri"/>
              <a:cs typeface="Calibri"/>
            </a:rPr>
            <a:pPr algn="ctr"/>
            <a:t>177</a:t>
          </a:fld>
          <a:endParaRPr lang="en-IN" sz="1400" b="0">
            <a:solidFill>
              <a:schemeClr val="bg1"/>
            </a:solidFill>
          </a:endParaRPr>
        </a:p>
      </xdr:txBody>
    </xdr:sp>
    <xdr:clientData/>
  </xdr:twoCellAnchor>
  <xdr:twoCellAnchor editAs="oneCell">
    <xdr:from>
      <xdr:col>0</xdr:col>
      <xdr:colOff>0</xdr:colOff>
      <xdr:row>2</xdr:row>
      <xdr:rowOff>59951</xdr:rowOff>
    </xdr:from>
    <xdr:to>
      <xdr:col>2</xdr:col>
      <xdr:colOff>179294</xdr:colOff>
      <xdr:row>20</xdr:row>
      <xdr:rowOff>33618</xdr:rowOff>
    </xdr:to>
    <mc:AlternateContent xmlns:mc="http://schemas.openxmlformats.org/markup-compatibility/2006" xmlns:a14="http://schemas.microsoft.com/office/drawing/2010/main">
      <mc:Choice Requires="a14">
        <xdr:graphicFrame macro="">
          <xdr:nvGraphicFramePr>
            <xdr:cNvPr id="15" name="Date">
              <a:extLst>
                <a:ext uri="{FF2B5EF4-FFF2-40B4-BE49-F238E27FC236}">
                  <a16:creationId xmlns:a16="http://schemas.microsoft.com/office/drawing/2014/main" id="{54D1D82A-D62C-4B07-A71E-22209829F20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614133"/>
              <a:ext cx="1391567" cy="3402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31937</xdr:rowOff>
    </xdr:from>
    <xdr:to>
      <xdr:col>2</xdr:col>
      <xdr:colOff>179294</xdr:colOff>
      <xdr:row>30</xdr:row>
      <xdr:rowOff>78441</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6F683222-BBB6-4FCB-97C1-C5490DDD41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015119"/>
              <a:ext cx="1391567" cy="1951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40820</xdr:colOff>
      <xdr:row>1</xdr:row>
      <xdr:rowOff>141193</xdr:rowOff>
    </xdr:from>
    <xdr:to>
      <xdr:col>26</xdr:col>
      <xdr:colOff>367393</xdr:colOff>
      <xdr:row>18</xdr:row>
      <xdr:rowOff>176893</xdr:rowOff>
    </xdr:to>
    <xdr:sp macro="" textlink="">
      <xdr:nvSpPr>
        <xdr:cNvPr id="17" name="Rectangle: Rounded Corners 16">
          <a:extLst>
            <a:ext uri="{FF2B5EF4-FFF2-40B4-BE49-F238E27FC236}">
              <a16:creationId xmlns:a16="http://schemas.microsoft.com/office/drawing/2014/main" id="{3C17EEC1-48A4-4971-AD34-F8A01D845744}"/>
            </a:ext>
          </a:extLst>
        </xdr:cNvPr>
        <xdr:cNvSpPr/>
      </xdr:nvSpPr>
      <xdr:spPr>
        <a:xfrm>
          <a:off x="11062606" y="508586"/>
          <a:ext cx="5225144" cy="3274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Executive</a:t>
          </a:r>
          <a:r>
            <a:rPr lang="en-IN" sz="2000" b="1" baseline="0"/>
            <a:t> Insights &amp; Key Concerns.</a:t>
          </a:r>
        </a:p>
        <a:p>
          <a:pPr algn="ctr"/>
          <a:endParaRPr lang="en-IN" sz="2000" b="1" baseline="0"/>
        </a:p>
        <a:p>
          <a:pPr algn="l"/>
          <a:r>
            <a:rPr lang="en-IN" sz="1600" b="1" baseline="0"/>
            <a:t>1. Mouse is a loss making product: </a:t>
          </a:r>
          <a:r>
            <a:rPr lang="en-IN" sz="1600" b="0" baseline="0"/>
            <a:t>mouse sales are generating a loss of  Rs. 8182, making it the biggest concern in product profitability.</a:t>
          </a:r>
        </a:p>
        <a:p>
          <a:pPr algn="l"/>
          <a:r>
            <a:rPr lang="en-IN" sz="1600" b="1" baseline="0"/>
            <a:t>2.  High Discounts are Reducing Profits: </a:t>
          </a:r>
          <a:r>
            <a:rPr lang="en-IN" sz="1600" b="0" baseline="0"/>
            <a:t>177 orders  are loss making , with a large no. of losses occuring at 15%-20% discount level.</a:t>
          </a:r>
        </a:p>
        <a:p>
          <a:pPr algn="l"/>
          <a:r>
            <a:rPr lang="en-IN" sz="1600" b="1" baseline="0"/>
            <a:t>3. Discounts are directly impacting Profit Margin. </a:t>
          </a:r>
          <a:r>
            <a:rPr lang="en-IN" sz="1600" b="0" baseline="0"/>
            <a:t>Higher discounts</a:t>
          </a:r>
          <a:r>
            <a:rPr lang="en-IN" sz="1600"/>
            <a:t>Channet</a:t>
          </a:r>
          <a:r>
            <a:rPr lang="en-IN" sz="1600" b="0" baseline="0"/>
            <a:t> may increase sales , but they are also causing more orders to became unprofitable.</a:t>
          </a:r>
          <a:endParaRPr lang="en-IN" sz="1600" b="1" baseline="0"/>
        </a:p>
        <a:p>
          <a:pPr algn="ctr"/>
          <a:endParaRPr lang="en-IN" sz="2000" b="1" baseline="0"/>
        </a:p>
        <a:p>
          <a:pPr algn="ctr"/>
          <a:endParaRPr lang="en-IN"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refreshedDate="46253.487886226852" createdVersion="6" refreshedVersion="6" minRefreshableVersion="3" recordCount="750" xr:uid="{E9F4DC00-0843-47A5-809D-6A2F8DE46738}">
  <cacheSource type="worksheet">
    <worksheetSource name="Raw_Sales_Data"/>
  </cacheSource>
  <cacheFields count="20">
    <cacheField name="Order_ID" numFmtId="0">
      <sharedItems/>
    </cacheField>
    <cacheField name="Date" numFmtId="164">
      <sharedItems containsSemiMixedTypes="0" containsNonDate="0" containsDate="1" containsString="0" minDate="2025-01-01T00:00:00" maxDate="2026-07-01T00:00:00" count="407">
        <d v="2025-05-02T00:00:00"/>
        <d v="2025-11-05T00:00:00"/>
        <d v="2025-09-10T00:00:00"/>
        <d v="2025-07-09T00:00:00"/>
        <d v="2025-06-16T00:00:00"/>
        <d v="2025-04-02T00:00:00"/>
        <d v="2026-01-25T00:00:00"/>
        <d v="2025-09-27T00:00:00"/>
        <d v="2025-02-22T00:00:00"/>
        <d v="2025-05-09T00:00:00"/>
        <d v="2026-01-14T00:00:00"/>
        <d v="2026-02-11T00:00:00"/>
        <d v="2025-01-05T00:00:00"/>
        <d v="2025-08-29T00:00:00"/>
        <d v="2025-02-05T00:00:00"/>
        <d v="2025-01-28T00:00:00"/>
        <d v="2025-08-13T00:00:00"/>
        <d v="2026-04-01T00:00:00"/>
        <d v="2026-04-17T00:00:00"/>
        <d v="2025-03-22T00:00:00"/>
        <d v="2025-05-10T00:00:00"/>
        <d v="2026-02-05T00:00:00"/>
        <d v="2025-07-20T00:00:00"/>
        <d v="2026-05-26T00:00:00"/>
        <d v="2026-04-18T00:00:00"/>
        <d v="2025-01-02T00:00:00"/>
        <d v="2025-07-27T00:00:00"/>
        <d v="2025-04-14T00:00:00"/>
        <d v="2025-12-04T00:00:00"/>
        <d v="2026-05-19T00:00:00"/>
        <d v="2025-02-07T00:00:00"/>
        <d v="2026-04-26T00:00:00"/>
        <d v="2025-06-21T00:00:00"/>
        <d v="2025-12-15T00:00:00"/>
        <d v="2025-06-10T00:00:00"/>
        <d v="2025-10-15T00:00:00"/>
        <d v="2025-06-25T00:00:00"/>
        <d v="2025-05-30T00:00:00"/>
        <d v="2025-09-26T00:00:00"/>
        <d v="2025-12-12T00:00:00"/>
        <d v="2026-05-28T00:00:00"/>
        <d v="2026-03-23T00:00:00"/>
        <d v="2025-03-10T00:00:00"/>
        <d v="2025-10-16T00:00:00"/>
        <d v="2025-11-21T00:00:00"/>
        <d v="2026-04-20T00:00:00"/>
        <d v="2025-09-25T00:00:00"/>
        <d v="2025-10-29T00:00:00"/>
        <d v="2026-02-22T00:00:00"/>
        <d v="2025-10-04T00:00:00"/>
        <d v="2025-04-06T00:00:00"/>
        <d v="2025-09-30T00:00:00"/>
        <d v="2026-01-31T00:00:00"/>
        <d v="2026-05-21T00:00:00"/>
        <d v="2025-02-08T00:00:00"/>
        <d v="2025-08-23T00:00:00"/>
        <d v="2025-06-23T00:00:00"/>
        <d v="2025-12-05T00:00:00"/>
        <d v="2025-03-11T00:00:00"/>
        <d v="2025-05-06T00:00:00"/>
        <d v="2025-12-27T00:00:00"/>
        <d v="2025-04-27T00:00:00"/>
        <d v="2025-08-17T00:00:00"/>
        <d v="2026-02-19T00:00:00"/>
        <d v="2025-12-24T00:00:00"/>
        <d v="2025-02-10T00:00:00"/>
        <d v="2025-08-30T00:00:00"/>
        <d v="2025-06-26T00:00:00"/>
        <d v="2025-04-15T00:00:00"/>
        <d v="2026-03-13T00:00:00"/>
        <d v="2025-01-01T00:00:00"/>
        <d v="2025-03-13T00:00:00"/>
        <d v="2026-01-24T00:00:00"/>
        <d v="2025-03-16T00:00:00"/>
        <d v="2026-03-11T00:00:00"/>
        <d v="2025-05-13T00:00:00"/>
        <d v="2026-06-30T00:00:00"/>
        <d v="2025-07-02T00:00:00"/>
        <d v="2025-04-03T00:00:00"/>
        <d v="2025-02-16T00:00:00"/>
        <d v="2025-09-14T00:00:00"/>
        <d v="2025-12-29T00:00:00"/>
        <d v="2026-01-29T00:00:00"/>
        <d v="2025-10-09T00:00:00"/>
        <d v="2026-05-18T00:00:00"/>
        <d v="2025-08-31T00:00:00"/>
        <d v="2025-10-27T00:00:00"/>
        <d v="2025-09-16T00:00:00"/>
        <d v="2025-06-17T00:00:00"/>
        <d v="2026-02-23T00:00:00"/>
        <d v="2025-06-14T00:00:00"/>
        <d v="2026-02-06T00:00:00"/>
        <d v="2026-03-24T00:00:00"/>
        <d v="2026-03-17T00:00:00"/>
        <d v="2025-04-28T00:00:00"/>
        <d v="2025-11-20T00:00:00"/>
        <d v="2025-10-10T00:00:00"/>
        <d v="2026-04-05T00:00:00"/>
        <d v="2026-01-13T00:00:00"/>
        <d v="2026-02-09T00:00:00"/>
        <d v="2026-03-07T00:00:00"/>
        <d v="2026-06-21T00:00:00"/>
        <d v="2025-06-28T00:00:00"/>
        <d v="2025-03-04T00:00:00"/>
        <d v="2025-05-28T00:00:00"/>
        <d v="2025-08-03T00:00:00"/>
        <d v="2025-10-13T00:00:00"/>
        <d v="2025-04-24T00:00:00"/>
        <d v="2026-04-03T00:00:00"/>
        <d v="2025-11-09T00:00:00"/>
        <d v="2025-03-26T00:00:00"/>
        <d v="2026-06-07T00:00:00"/>
        <d v="2025-08-14T00:00:00"/>
        <d v="2025-05-08T00:00:00"/>
        <d v="2025-10-05T00:00:00"/>
        <d v="2025-05-26T00:00:00"/>
        <d v="2025-12-08T00:00:00"/>
        <d v="2025-10-19T00:00:00"/>
        <d v="2025-08-15T00:00:00"/>
        <d v="2025-06-03T00:00:00"/>
        <d v="2025-02-11T00:00:00"/>
        <d v="2026-06-08T00:00:00"/>
        <d v="2025-01-12T00:00:00"/>
        <d v="2025-07-19T00:00:00"/>
        <d v="2026-06-03T00:00:00"/>
        <d v="2026-01-07T00:00:00"/>
        <d v="2025-04-08T00:00:00"/>
        <d v="2026-02-01T00:00:00"/>
        <d v="2026-02-18T00:00:00"/>
        <d v="2026-04-22T00:00:00"/>
        <d v="2025-12-25T00:00:00"/>
        <d v="2025-10-20T00:00:00"/>
        <d v="2025-05-20T00:00:00"/>
        <d v="2025-12-10T00:00:00"/>
        <d v="2026-06-01T00:00:00"/>
        <d v="2026-05-05T00:00:00"/>
        <d v="2025-03-30T00:00:00"/>
        <d v="2026-06-25T00:00:00"/>
        <d v="2025-01-31T00:00:00"/>
        <d v="2026-02-16T00:00:00"/>
        <d v="2025-04-30T00:00:00"/>
        <d v="2026-01-16T00:00:00"/>
        <d v="2026-06-22T00:00:00"/>
        <d v="2025-06-06T00:00:00"/>
        <d v="2025-01-21T00:00:00"/>
        <d v="2026-06-11T00:00:00"/>
        <d v="2025-03-01T00:00:00"/>
        <d v="2025-07-18T00:00:00"/>
        <d v="2025-06-02T00:00:00"/>
        <d v="2026-05-16T00:00:00"/>
        <d v="2025-11-16T00:00:00"/>
        <d v="2025-04-12T00:00:00"/>
        <d v="2026-04-08T00:00:00"/>
        <d v="2025-04-26T00:00:00"/>
        <d v="2026-03-04T00:00:00"/>
        <d v="2026-02-20T00:00:00"/>
        <d v="2026-01-18T00:00:00"/>
        <d v="2025-01-14T00:00:00"/>
        <d v="2025-05-27T00:00:00"/>
        <d v="2025-12-18T00:00:00"/>
        <d v="2025-11-28T00:00:00"/>
        <d v="2026-01-17T00:00:00"/>
        <d v="2025-12-01T00:00:00"/>
        <d v="2025-08-25T00:00:00"/>
        <d v="2025-10-25T00:00:00"/>
        <d v="2026-05-17T00:00:00"/>
        <d v="2025-10-11T00:00:00"/>
        <d v="2025-06-05T00:00:00"/>
        <d v="2025-01-20T00:00:00"/>
        <d v="2025-07-25T00:00:00"/>
        <d v="2026-01-10T00:00:00"/>
        <d v="2025-07-12T00:00:00"/>
        <d v="2025-12-11T00:00:00"/>
        <d v="2025-12-31T00:00:00"/>
        <d v="2025-05-23T00:00:00"/>
        <d v="2025-11-24T00:00:00"/>
        <d v="2025-02-12T00:00:00"/>
        <d v="2025-12-02T00:00:00"/>
        <d v="2026-04-15T00:00:00"/>
        <d v="2026-01-11T00:00:00"/>
        <d v="2025-01-26T00:00:00"/>
        <d v="2025-02-18T00:00:00"/>
        <d v="2026-03-15T00:00:00"/>
        <d v="2026-03-08T00:00:00"/>
        <d v="2026-05-24T00:00:00"/>
        <d v="2025-10-07T00:00:00"/>
        <d v="2026-06-26T00:00:00"/>
        <d v="2025-11-17T00:00:00"/>
        <d v="2025-07-15T00:00:00"/>
        <d v="2026-04-07T00:00:00"/>
        <d v="2026-04-11T00:00:00"/>
        <d v="2025-06-13T00:00:00"/>
        <d v="2025-01-25T00:00:00"/>
        <d v="2025-11-25T00:00:00"/>
        <d v="2026-04-28T00:00:00"/>
        <d v="2026-01-21T00:00:00"/>
        <d v="2025-03-06T00:00:00"/>
        <d v="2026-05-25T00:00:00"/>
        <d v="2026-02-26T00:00:00"/>
        <d v="2025-06-22T00:00:00"/>
        <d v="2026-01-01T00:00:00"/>
        <d v="2025-12-16T00:00:00"/>
        <d v="2025-12-26T00:00:00"/>
        <d v="2025-06-18T00:00:00"/>
        <d v="2026-05-03T00:00:00"/>
        <d v="2025-08-21T00:00:00"/>
        <d v="2025-08-24T00:00:00"/>
        <d v="2026-04-06T00:00:00"/>
        <d v="2026-02-17T00:00:00"/>
        <d v="2025-09-18T00:00:00"/>
        <d v="2025-11-10T00:00:00"/>
        <d v="2025-07-07T00:00:00"/>
        <d v="2026-05-15T00:00:00"/>
        <d v="2025-11-15T00:00:00"/>
        <d v="2025-01-19T00:00:00"/>
        <d v="2025-10-30T00:00:00"/>
        <d v="2026-05-20T00:00:00"/>
        <d v="2026-03-02T00:00:00"/>
        <d v="2025-07-01T00:00:00"/>
        <d v="2025-07-24T00:00:00"/>
        <d v="2025-03-23T00:00:00"/>
        <d v="2026-03-21T00:00:00"/>
        <d v="2025-12-20T00:00:00"/>
        <d v="2025-07-17T00:00:00"/>
        <d v="2025-05-24T00:00:00"/>
        <d v="2025-08-26T00:00:00"/>
        <d v="2025-09-17T00:00:00"/>
        <d v="2025-04-19T00:00:00"/>
        <d v="2026-04-21T00:00:00"/>
        <d v="2026-03-26T00:00:00"/>
        <d v="2025-05-04T00:00:00"/>
        <d v="2025-07-26T00:00:00"/>
        <d v="2025-10-02T00:00:00"/>
        <d v="2026-05-23T00:00:00"/>
        <d v="2025-09-22T00:00:00"/>
        <d v="2025-01-16T00:00:00"/>
        <d v="2026-04-14T00:00:00"/>
        <d v="2026-03-14T00:00:00"/>
        <d v="2026-06-17T00:00:00"/>
        <d v="2026-02-10T00:00:00"/>
        <d v="2025-03-28T00:00:00"/>
        <d v="2026-04-12T00:00:00"/>
        <d v="2025-05-16T00:00:00"/>
        <d v="2025-10-28T00:00:00"/>
        <d v="2025-04-23T00:00:00"/>
        <d v="2025-03-25T00:00:00"/>
        <d v="2025-08-01T00:00:00"/>
        <d v="2025-04-17T00:00:00"/>
        <d v="2026-03-27T00:00:00"/>
        <d v="2026-01-30T00:00:00"/>
        <d v="2026-03-06T00:00:00"/>
        <d v="2025-09-02T00:00:00"/>
        <d v="2025-03-09T00:00:00"/>
        <d v="2026-06-04T00:00:00"/>
        <d v="2025-09-24T00:00:00"/>
        <d v="2025-07-03T00:00:00"/>
        <d v="2025-08-16T00:00:00"/>
        <d v="2026-05-09T00:00:00"/>
        <d v="2026-01-05T00:00:00"/>
        <d v="2025-04-21T00:00:00"/>
        <d v="2025-08-19T00:00:00"/>
        <d v="2025-06-09T00:00:00"/>
        <d v="2025-05-21T00:00:00"/>
        <d v="2025-06-24T00:00:00"/>
        <d v="2025-12-21T00:00:00"/>
        <d v="2025-04-10T00:00:00"/>
        <d v="2025-05-29T00:00:00"/>
        <d v="2026-02-02T00:00:00"/>
        <d v="2025-06-20T00:00:00"/>
        <d v="2026-01-08T00:00:00"/>
        <d v="2026-03-10T00:00:00"/>
        <d v="2026-05-04T00:00:00"/>
        <d v="2025-09-09T00:00:00"/>
        <d v="2025-11-07T00:00:00"/>
        <d v="2026-04-23T00:00:00"/>
        <d v="2025-06-19T00:00:00"/>
        <d v="2026-02-08T00:00:00"/>
        <d v="2025-04-09T00:00:00"/>
        <d v="2026-01-02T00:00:00"/>
        <d v="2026-03-09T00:00:00"/>
        <d v="2026-05-30T00:00:00"/>
        <d v="2025-12-09T00:00:00"/>
        <d v="2025-07-21T00:00:00"/>
        <d v="2026-03-12T00:00:00"/>
        <d v="2025-09-19T00:00:00"/>
        <d v="2025-02-19T00:00:00"/>
        <d v="2026-03-01T00:00:00"/>
        <d v="2026-05-10T00:00:00"/>
        <d v="2025-11-22T00:00:00"/>
        <d v="2025-09-23T00:00:00"/>
        <d v="2026-02-24T00:00:00"/>
        <d v="2025-07-31T00:00:00"/>
        <d v="2025-11-27T00:00:00"/>
        <d v="2025-07-06T00:00:00"/>
        <d v="2025-05-15T00:00:00"/>
        <d v="2025-05-01T00:00:00"/>
        <d v="2026-03-20T00:00:00"/>
        <d v="2025-04-07T00:00:00"/>
        <d v="2025-08-27T00:00:00"/>
        <d v="2025-09-04T00:00:00"/>
        <d v="2025-05-17T00:00:00"/>
        <d v="2026-05-14T00:00:00"/>
        <d v="2025-11-13T00:00:00"/>
        <d v="2026-01-22T00:00:00"/>
        <d v="2025-02-26T00:00:00"/>
        <d v="2025-08-09T00:00:00"/>
        <d v="2026-05-22T00:00:00"/>
        <d v="2025-09-13T00:00:00"/>
        <d v="2025-02-13T00:00:00"/>
        <d v="2026-06-12T00:00:00"/>
        <d v="2026-01-19T00:00:00"/>
        <d v="2026-06-24T00:00:00"/>
        <d v="2025-08-05T00:00:00"/>
        <d v="2025-09-15T00:00:00"/>
        <d v="2025-04-01T00:00:00"/>
        <d v="2026-04-04T00:00:00"/>
        <d v="2025-10-03T00:00:00"/>
        <d v="2026-04-16T00:00:00"/>
        <d v="2025-10-23T00:00:00"/>
        <d v="2025-12-06T00:00:00"/>
        <d v="2025-06-04T00:00:00"/>
        <d v="2025-08-11T00:00:00"/>
        <d v="2025-03-12T00:00:00"/>
        <d v="2026-04-30T00:00:00"/>
        <d v="2025-04-11T00:00:00"/>
        <d v="2026-02-03T00:00:00"/>
        <d v="2025-08-06T00:00:00"/>
        <d v="2026-05-02T00:00:00"/>
        <d v="2025-11-11T00:00:00"/>
        <d v="2025-05-19T00:00:00"/>
        <d v="2025-10-26T00:00:00"/>
        <d v="2025-03-24T00:00:00"/>
        <d v="2025-06-11T00:00:00"/>
        <d v="2025-10-21T00:00:00"/>
        <d v="2025-07-11T00:00:00"/>
        <d v="2026-05-29T00:00:00"/>
        <d v="2025-06-15T00:00:00"/>
        <d v="2026-05-06T00:00:00"/>
        <d v="2026-03-05T00:00:00"/>
        <d v="2025-06-08T00:00:00"/>
        <d v="2025-08-18T00:00:00"/>
        <d v="2025-04-16T00:00:00"/>
        <d v="2026-01-28T00:00:00"/>
        <d v="2026-04-10T00:00:00"/>
        <d v="2026-02-04T00:00:00"/>
        <d v="2025-10-08T00:00:00"/>
        <d v="2025-05-18T00:00:00"/>
        <d v="2025-12-07T00:00:00"/>
        <d v="2025-06-30T00:00:00"/>
        <d v="2025-11-12T00:00:00"/>
        <d v="2026-03-28T00:00:00"/>
        <d v="2025-05-22T00:00:00"/>
        <d v="2025-10-14T00:00:00"/>
        <d v="2025-10-18T00:00:00"/>
        <d v="2026-03-16T00:00:00"/>
        <d v="2026-02-15T00:00:00"/>
        <d v="2025-08-08T00:00:00"/>
        <d v="2026-02-25T00:00:00"/>
        <d v="2026-05-13T00:00:00"/>
        <d v="2025-12-14T00:00:00"/>
        <d v="2025-11-02T00:00:00"/>
        <d v="2026-03-03T00:00:00"/>
        <d v="2026-06-14T00:00:00"/>
        <d v="2025-02-02T00:00:00"/>
        <d v="2025-05-03T00:00:00"/>
        <d v="2026-01-04T00:00:00"/>
        <d v="2025-09-06T00:00:00"/>
        <d v="2025-03-17T00:00:00"/>
        <d v="2025-02-06T00:00:00"/>
        <d v="2025-11-06T00:00:00"/>
        <d v="2025-08-02T00:00:00"/>
        <d v="2025-04-22T00:00:00"/>
        <d v="2026-04-27T00:00:00"/>
        <d v="2025-10-01T00:00:00"/>
        <d v="2026-06-09T00:00:00"/>
        <d v="2025-08-20T00:00:00"/>
        <d v="2025-01-07T00:00:00"/>
        <d v="2026-04-09T00:00:00"/>
        <d v="2026-03-22T00:00:00"/>
        <d v="2025-04-04T00:00:00"/>
        <d v="2025-02-28T00:00:00"/>
        <d v="2026-06-27T00:00:00"/>
        <d v="2025-04-20T00:00:00"/>
        <d v="2025-02-23T00:00:00"/>
        <d v="2025-11-30T00:00:00"/>
        <d v="2025-02-01T00:00:00"/>
        <d v="2025-03-15T00:00:00"/>
        <d v="2025-06-01T00:00:00"/>
        <d v="2025-05-14T00:00:00"/>
        <d v="2026-04-02T00:00:00"/>
        <d v="2026-04-25T00:00:00"/>
        <d v="2026-06-13T00:00:00"/>
        <d v="2026-06-10T00:00:00"/>
        <d v="2026-05-31T00:00:00"/>
        <d v="2025-09-12T00:00:00"/>
        <d v="2025-02-09T00:00:00"/>
        <d v="2025-12-23T00:00:00"/>
        <d v="2025-07-16T00:00:00"/>
        <d v="2025-02-20T00:00:00"/>
        <d v="2026-06-23T00:00:00"/>
        <d v="2025-05-31T00:00:00"/>
        <d v="2025-02-14T00:00:00"/>
        <d v="2025-03-19T00:00:00"/>
        <d v="2025-11-19T00:00:00"/>
        <d v="2026-01-23T00:00:00"/>
        <d v="2025-07-28T00:00:00"/>
        <d v="2025-04-13T00:00:00"/>
      </sharedItems>
      <fieldGroup par="19" base="1">
        <rangePr groupBy="months" startDate="2025-01-01T00:00:00" endDate="2026-07-01T00:00:00"/>
        <groupItems count="14">
          <s v="&lt;01-01-2025"/>
          <s v="Jan"/>
          <s v="Feb"/>
          <s v="Mar"/>
          <s v="Apr"/>
          <s v="May"/>
          <s v="Jun"/>
          <s v="Jul"/>
          <s v="Aug"/>
          <s v="Sep"/>
          <s v="Oct"/>
          <s v="Nov"/>
          <s v="Dec"/>
          <s v="&gt;01-07-2026"/>
        </groupItems>
      </fieldGroup>
    </cacheField>
    <cacheField name="Product" numFmtId="0">
      <sharedItems count="8">
        <s v="Tablet"/>
        <s v="Headphones"/>
        <s v="Monitor"/>
        <s v="Printer"/>
        <s v="Keyboard"/>
        <s v="Mouse"/>
        <s v="Webcam"/>
        <s v="Laptop"/>
      </sharedItems>
    </cacheField>
    <cacheField name="Region" numFmtId="0">
      <sharedItems count="6">
        <s v="Bangalore"/>
        <s v="Mumbai"/>
        <s v="Hyderabad"/>
        <s v="Chennai"/>
        <s v="Pune"/>
        <s v="Delhi"/>
      </sharedItems>
    </cacheField>
    <cacheField name="Channel" numFmtId="0">
      <sharedItems count="3">
        <s v="Online"/>
        <s v="Retail"/>
        <s v="Corporate"/>
      </sharedItems>
    </cacheField>
    <cacheField name="Customer_Type" numFmtId="0">
      <sharedItems count="3">
        <s v="Returning"/>
        <s v="Enterprise"/>
        <s v="New"/>
      </sharedItems>
    </cacheField>
    <cacheField name="Quantity" numFmtId="0">
      <sharedItems containsSemiMixedTypes="0" containsString="0" containsNumber="1" containsInteger="1" minValue="1" maxValue="7"/>
    </cacheField>
    <cacheField name="Unit_Price" numFmtId="0">
      <sharedItems containsSemiMixedTypes="0" containsString="0" containsNumber="1" containsInteger="1" minValue="1500" maxValue="65000"/>
    </cacheField>
    <cacheField name="Discount" numFmtId="0">
      <sharedItems containsSemiMixedTypes="0" containsString="0" containsNumber="1" minValue="0" maxValue="0.2"/>
    </cacheField>
    <cacheField name="Gross_Sales" numFmtId="0">
      <sharedItems containsSemiMixedTypes="0" containsString="0" containsNumber="1" containsInteger="1" minValue="1500" maxValue="195000"/>
    </cacheField>
    <cacheField name="Net_Sales" numFmtId="0">
      <sharedItems containsSemiMixedTypes="0" containsString="0" containsNumber="1" containsInteger="1" minValue="1350" maxValue="195000"/>
    </cacheField>
    <cacheField name="Product_Cost" numFmtId="0">
      <sharedItems containsSemiMixedTypes="0" containsString="0" containsNumber="1" minValue="825.00000000000011" maxValue="163800"/>
    </cacheField>
    <cacheField name="Shipping_Cost" numFmtId="0">
      <sharedItems containsSemiMixedTypes="0" containsString="0" containsNumber="1" containsInteger="1" minValue="201" maxValue="1798"/>
    </cacheField>
    <cacheField name="Marketing_Cost" numFmtId="0">
      <sharedItems containsSemiMixedTypes="0" containsString="0" containsNumber="1" containsInteger="1" minValue="100" maxValue="2492"/>
    </cacheField>
    <cacheField name="Profit" numFmtId="0">
      <sharedItems containsSemiMixedTypes="0" containsString="0" containsNumber="1" minValue="-10932" maxValue="29566"/>
    </cacheField>
    <cacheField name="Profit_Margin" numFmtId="0">
      <sharedItems containsSemiMixedTypes="0" containsString="0" containsNumber="1" minValue="-2.1927536231884059" maxValue="0.31985964912280701"/>
    </cacheField>
    <cacheField name="Month" numFmtId="0">
      <sharedItems/>
    </cacheField>
    <cacheField name="Profit margin by region" numFmtId="0" formula="Profit/Net_Sales" databaseField="0"/>
    <cacheField name="Quarters" numFmtId="0" databaseField="0">
      <fieldGroup base="1">
        <rangePr groupBy="quarters" startDate="2025-01-01T00:00:00" endDate="2026-07-01T00:00:00"/>
        <groupItems count="6">
          <s v="&lt;01-01-2025"/>
          <s v="Qtr1"/>
          <s v="Qtr2"/>
          <s v="Qtr3"/>
          <s v="Qtr4"/>
          <s v="&gt;01-07-2026"/>
        </groupItems>
      </fieldGroup>
    </cacheField>
    <cacheField name="Years" numFmtId="0" databaseField="0">
      <fieldGroup base="1">
        <rangePr groupBy="years" startDate="2025-01-01T00:00:00" endDate="2026-07-01T00:00:00"/>
        <groupItems count="4">
          <s v="&lt;01-01-2025"/>
          <s v="2025"/>
          <s v="2026"/>
          <s v="&gt;01-07-2026"/>
        </groupItems>
      </fieldGroup>
    </cacheField>
  </cacheFields>
  <extLst>
    <ext xmlns:x14="http://schemas.microsoft.com/office/spreadsheetml/2009/9/main" uri="{725AE2AE-9491-48be-B2B4-4EB974FC3084}">
      <x14:pivotCacheDefinition pivotCacheId="1270412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ORD-00001"/>
    <x v="0"/>
    <x v="0"/>
    <x v="0"/>
    <x v="0"/>
    <x v="0"/>
    <n v="1"/>
    <n v="32000"/>
    <n v="0.03"/>
    <n v="32000"/>
    <n v="31040"/>
    <n v="26240"/>
    <n v="1295"/>
    <n v="1738"/>
    <n v="1767"/>
    <n v="5.6926546391752583E-2"/>
    <s v="2025-05"/>
  </r>
  <r>
    <s v="ORD-00002"/>
    <x v="1"/>
    <x v="1"/>
    <x v="1"/>
    <x v="1"/>
    <x v="1"/>
    <n v="4"/>
    <n v="3500"/>
    <n v="0"/>
    <n v="14000"/>
    <n v="14000"/>
    <n v="9520"/>
    <n v="330"/>
    <n v="1785"/>
    <n v="2365"/>
    <n v="0.1689285714285714"/>
    <s v="2025-11"/>
  </r>
  <r>
    <s v="ORD-00003"/>
    <x v="2"/>
    <x v="2"/>
    <x v="2"/>
    <x v="0"/>
    <x v="0"/>
    <n v="1"/>
    <n v="28000"/>
    <n v="0.08"/>
    <n v="28000"/>
    <n v="25760"/>
    <n v="21840"/>
    <n v="1537"/>
    <n v="121"/>
    <n v="2262"/>
    <n v="8.7810559006211181E-2"/>
    <s v="2025-09"/>
  </r>
  <r>
    <s v="ORD-00004"/>
    <x v="3"/>
    <x v="0"/>
    <x v="3"/>
    <x v="1"/>
    <x v="2"/>
    <n v="2"/>
    <n v="32000"/>
    <n v="0"/>
    <n v="64000"/>
    <n v="64000"/>
    <n v="52480"/>
    <n v="899"/>
    <n v="1075"/>
    <n v="9546"/>
    <n v="0.14915624999999999"/>
    <s v="2025-07"/>
  </r>
  <r>
    <s v="ORD-00005"/>
    <x v="4"/>
    <x v="0"/>
    <x v="1"/>
    <x v="2"/>
    <x v="1"/>
    <n v="1"/>
    <n v="32000"/>
    <n v="0"/>
    <n v="32000"/>
    <n v="32000"/>
    <n v="26240"/>
    <n v="846"/>
    <n v="2168"/>
    <n v="2746"/>
    <n v="8.58125E-2"/>
    <s v="2025-06"/>
  </r>
  <r>
    <s v="ORD-00006"/>
    <x v="5"/>
    <x v="2"/>
    <x v="2"/>
    <x v="0"/>
    <x v="0"/>
    <n v="2"/>
    <n v="28000"/>
    <n v="0.05"/>
    <n v="56000"/>
    <n v="53200"/>
    <n v="43680"/>
    <n v="764"/>
    <n v="1463"/>
    <n v="7293"/>
    <n v="0.13708646616541351"/>
    <s v="2025-04"/>
  </r>
  <r>
    <s v="ORD-00007"/>
    <x v="6"/>
    <x v="0"/>
    <x v="3"/>
    <x v="1"/>
    <x v="2"/>
    <n v="3"/>
    <n v="32000"/>
    <n v="0.15"/>
    <n v="96000"/>
    <n v="81600"/>
    <n v="78720"/>
    <n v="1785"/>
    <n v="1121"/>
    <n v="-26"/>
    <n v="-3.1862745098039217E-4"/>
    <s v="2026-01"/>
  </r>
  <r>
    <s v="ORD-00008"/>
    <x v="7"/>
    <x v="0"/>
    <x v="3"/>
    <x v="0"/>
    <x v="2"/>
    <n v="2"/>
    <n v="32000"/>
    <n v="0.1"/>
    <n v="64000"/>
    <n v="57600"/>
    <n v="52480"/>
    <n v="361"/>
    <n v="301"/>
    <n v="4458"/>
    <n v="7.739583333333333E-2"/>
    <s v="2025-09"/>
  </r>
  <r>
    <s v="ORD-00009"/>
    <x v="8"/>
    <x v="3"/>
    <x v="1"/>
    <x v="2"/>
    <x v="0"/>
    <n v="1"/>
    <n v="18000"/>
    <n v="0.05"/>
    <n v="18000"/>
    <n v="17100"/>
    <n v="14400"/>
    <n v="537"/>
    <n v="978"/>
    <n v="1185"/>
    <n v="6.9298245614035081E-2"/>
    <s v="2025-02"/>
  </r>
  <r>
    <s v="ORD-00010"/>
    <x v="9"/>
    <x v="1"/>
    <x v="2"/>
    <x v="0"/>
    <x v="2"/>
    <n v="1"/>
    <n v="3500"/>
    <n v="0.05"/>
    <n v="3500"/>
    <n v="3325"/>
    <n v="2380"/>
    <n v="264"/>
    <n v="1467"/>
    <n v="-786"/>
    <n v="-0.23639097744360901"/>
    <s v="2025-05"/>
  </r>
  <r>
    <s v="ORD-00011"/>
    <x v="10"/>
    <x v="4"/>
    <x v="4"/>
    <x v="2"/>
    <x v="0"/>
    <n v="1"/>
    <n v="2500"/>
    <n v="0.1"/>
    <n v="2500"/>
    <n v="2250"/>
    <n v="1550"/>
    <n v="618"/>
    <n v="2436"/>
    <n v="-2354"/>
    <n v="-1.0462222222222219"/>
    <s v="2026-01"/>
  </r>
  <r>
    <s v="ORD-00012"/>
    <x v="11"/>
    <x v="5"/>
    <x v="3"/>
    <x v="0"/>
    <x v="0"/>
    <n v="7"/>
    <n v="1500"/>
    <n v="0.15"/>
    <n v="10500"/>
    <n v="8925"/>
    <n v="5775.0000000000009"/>
    <n v="979"/>
    <n v="602"/>
    <n v="1568.9999999999991"/>
    <n v="0.17579831932773099"/>
    <s v="2026-02"/>
  </r>
  <r>
    <s v="ORD-00013"/>
    <x v="12"/>
    <x v="3"/>
    <x v="1"/>
    <x v="0"/>
    <x v="2"/>
    <n v="2"/>
    <n v="18000"/>
    <n v="0.15"/>
    <n v="36000"/>
    <n v="30600"/>
    <n v="28800"/>
    <n v="1160"/>
    <n v="1585"/>
    <n v="-945"/>
    <n v="-3.0882352941176468E-2"/>
    <s v="2025-01"/>
  </r>
  <r>
    <s v="ORD-00014"/>
    <x v="13"/>
    <x v="4"/>
    <x v="2"/>
    <x v="1"/>
    <x v="0"/>
    <n v="1"/>
    <n v="2500"/>
    <n v="0.1"/>
    <n v="2500"/>
    <n v="2250"/>
    <n v="1550"/>
    <n v="1777"/>
    <n v="1584"/>
    <n v="-2661"/>
    <n v="-1.182666666666667"/>
    <s v="2025-08"/>
  </r>
  <r>
    <s v="ORD-00015"/>
    <x v="14"/>
    <x v="1"/>
    <x v="4"/>
    <x v="0"/>
    <x v="2"/>
    <n v="7"/>
    <n v="3500"/>
    <n v="0.08"/>
    <n v="24500"/>
    <n v="22540"/>
    <n v="16660"/>
    <n v="1394"/>
    <n v="640"/>
    <n v="3846"/>
    <n v="0.17062999112688551"/>
    <s v="2025-02"/>
  </r>
  <r>
    <s v="ORD-00016"/>
    <x v="15"/>
    <x v="6"/>
    <x v="2"/>
    <x v="0"/>
    <x v="1"/>
    <n v="4"/>
    <n v="4500"/>
    <n v="0.15"/>
    <n v="18000"/>
    <n v="15300"/>
    <n v="11700"/>
    <n v="756"/>
    <n v="1697"/>
    <n v="1147"/>
    <n v="7.4967320261437903E-2"/>
    <s v="2025-01"/>
  </r>
  <r>
    <s v="ORD-00017"/>
    <x v="16"/>
    <x v="4"/>
    <x v="5"/>
    <x v="0"/>
    <x v="2"/>
    <n v="2"/>
    <n v="2500"/>
    <n v="0"/>
    <n v="5000"/>
    <n v="5000"/>
    <n v="3100"/>
    <n v="1696"/>
    <n v="2337"/>
    <n v="-2133"/>
    <n v="-0.42659999999999998"/>
    <s v="2025-08"/>
  </r>
  <r>
    <s v="ORD-00018"/>
    <x v="17"/>
    <x v="5"/>
    <x v="0"/>
    <x v="0"/>
    <x v="2"/>
    <n v="5"/>
    <n v="1500"/>
    <n v="0.15"/>
    <n v="7500"/>
    <n v="6375"/>
    <n v="4125"/>
    <n v="1582"/>
    <n v="809"/>
    <n v="-141"/>
    <n v="-2.211764705882353E-2"/>
    <s v="2026-04"/>
  </r>
  <r>
    <s v="ORD-00019"/>
    <x v="18"/>
    <x v="4"/>
    <x v="5"/>
    <x v="0"/>
    <x v="2"/>
    <n v="2"/>
    <n v="2500"/>
    <n v="0.05"/>
    <n v="5000"/>
    <n v="4750"/>
    <n v="3100"/>
    <n v="1597"/>
    <n v="1731"/>
    <n v="-1678"/>
    <n v="-0.35326315789473678"/>
    <s v="2026-04"/>
  </r>
  <r>
    <s v="ORD-00020"/>
    <x v="19"/>
    <x v="2"/>
    <x v="0"/>
    <x v="1"/>
    <x v="0"/>
    <n v="2"/>
    <n v="28000"/>
    <n v="0.1"/>
    <n v="56000"/>
    <n v="50400"/>
    <n v="43680"/>
    <n v="1610"/>
    <n v="1736"/>
    <n v="3374"/>
    <n v="6.6944444444444445E-2"/>
    <s v="2025-03"/>
  </r>
  <r>
    <s v="ORD-00021"/>
    <x v="20"/>
    <x v="6"/>
    <x v="4"/>
    <x v="0"/>
    <x v="1"/>
    <n v="7"/>
    <n v="4500"/>
    <n v="0.05"/>
    <n v="31500"/>
    <n v="29925"/>
    <n v="20475"/>
    <n v="1448"/>
    <n v="1761"/>
    <n v="6241"/>
    <n v="0.20855472013366749"/>
    <s v="2025-05"/>
  </r>
  <r>
    <s v="ORD-00022"/>
    <x v="21"/>
    <x v="3"/>
    <x v="3"/>
    <x v="0"/>
    <x v="0"/>
    <n v="3"/>
    <n v="18000"/>
    <n v="0.08"/>
    <n v="54000"/>
    <n v="49680"/>
    <n v="43200"/>
    <n v="402"/>
    <n v="222"/>
    <n v="5856"/>
    <n v="0.11787439613526569"/>
    <s v="2026-02"/>
  </r>
  <r>
    <s v="ORD-00023"/>
    <x v="22"/>
    <x v="6"/>
    <x v="2"/>
    <x v="1"/>
    <x v="0"/>
    <n v="6"/>
    <n v="4500"/>
    <n v="0.08"/>
    <n v="27000"/>
    <n v="24840"/>
    <n v="17550"/>
    <n v="951"/>
    <n v="2291"/>
    <n v="4048"/>
    <n v="0.162962962962963"/>
    <s v="2025-07"/>
  </r>
  <r>
    <s v="ORD-00024"/>
    <x v="23"/>
    <x v="4"/>
    <x v="0"/>
    <x v="0"/>
    <x v="2"/>
    <n v="4"/>
    <n v="2500"/>
    <n v="0.05"/>
    <n v="10000"/>
    <n v="9500"/>
    <n v="6200"/>
    <n v="602"/>
    <n v="1469"/>
    <n v="1229"/>
    <n v="0.1293684210526316"/>
    <s v="2026-05"/>
  </r>
  <r>
    <s v="ORD-00025"/>
    <x v="24"/>
    <x v="7"/>
    <x v="1"/>
    <x v="2"/>
    <x v="1"/>
    <n v="1"/>
    <n v="65000"/>
    <n v="0.05"/>
    <n v="65000"/>
    <n v="61750"/>
    <n v="54600"/>
    <n v="750"/>
    <n v="2485"/>
    <n v="3915"/>
    <n v="6.3400809716599185E-2"/>
    <s v="2026-04"/>
  </r>
  <r>
    <s v="ORD-00026"/>
    <x v="25"/>
    <x v="4"/>
    <x v="5"/>
    <x v="0"/>
    <x v="1"/>
    <n v="7"/>
    <n v="2500"/>
    <n v="0.08"/>
    <n v="17500"/>
    <n v="16100"/>
    <n v="10850"/>
    <n v="545"/>
    <n v="723"/>
    <n v="3982"/>
    <n v="0.24732919254658389"/>
    <s v="2025-01"/>
  </r>
  <r>
    <s v="ORD-00027"/>
    <x v="26"/>
    <x v="1"/>
    <x v="0"/>
    <x v="2"/>
    <x v="2"/>
    <n v="3"/>
    <n v="3500"/>
    <n v="0.03"/>
    <n v="10500"/>
    <n v="10185"/>
    <n v="7140.0000000000009"/>
    <n v="1456"/>
    <n v="1782"/>
    <n v="-193.00000000000091"/>
    <n v="-1.894943544428089E-2"/>
    <s v="2025-07"/>
  </r>
  <r>
    <s v="ORD-00028"/>
    <x v="27"/>
    <x v="7"/>
    <x v="2"/>
    <x v="1"/>
    <x v="2"/>
    <n v="3"/>
    <n v="65000"/>
    <n v="0.15"/>
    <n v="195000"/>
    <n v="165750"/>
    <n v="163800"/>
    <n v="1643"/>
    <n v="1545"/>
    <n v="-1238"/>
    <n v="-7.4690799396681749E-3"/>
    <s v="2025-04"/>
  </r>
  <r>
    <s v="ORD-00029"/>
    <x v="28"/>
    <x v="7"/>
    <x v="1"/>
    <x v="1"/>
    <x v="0"/>
    <n v="3"/>
    <n v="65000"/>
    <n v="0.2"/>
    <n v="195000"/>
    <n v="156000"/>
    <n v="163800"/>
    <n v="1113"/>
    <n v="2019"/>
    <n v="-10932"/>
    <n v="-7.0076923076923078E-2"/>
    <s v="2025-12"/>
  </r>
  <r>
    <s v="ORD-00030"/>
    <x v="29"/>
    <x v="7"/>
    <x v="0"/>
    <x v="1"/>
    <x v="0"/>
    <n v="1"/>
    <n v="65000"/>
    <n v="0"/>
    <n v="65000"/>
    <n v="65000"/>
    <n v="54600"/>
    <n v="597"/>
    <n v="1400"/>
    <n v="8403"/>
    <n v="0.12927692307692309"/>
    <s v="2026-05"/>
  </r>
  <r>
    <s v="ORD-00031"/>
    <x v="30"/>
    <x v="5"/>
    <x v="3"/>
    <x v="0"/>
    <x v="1"/>
    <n v="3"/>
    <n v="1500"/>
    <n v="0.05"/>
    <n v="4500"/>
    <n v="4275"/>
    <n v="2475"/>
    <n v="1598"/>
    <n v="1145"/>
    <n v="-943"/>
    <n v="-0.22058479532163741"/>
    <s v="2025-02"/>
  </r>
  <r>
    <s v="ORD-00032"/>
    <x v="31"/>
    <x v="4"/>
    <x v="4"/>
    <x v="0"/>
    <x v="0"/>
    <n v="3"/>
    <n v="2500"/>
    <n v="0.1"/>
    <n v="7500"/>
    <n v="6750"/>
    <n v="4650"/>
    <n v="997"/>
    <n v="2431"/>
    <n v="-1328"/>
    <n v="-0.19674074074074069"/>
    <s v="2026-04"/>
  </r>
  <r>
    <s v="ORD-00033"/>
    <x v="32"/>
    <x v="5"/>
    <x v="2"/>
    <x v="0"/>
    <x v="2"/>
    <n v="3"/>
    <n v="1500"/>
    <n v="0.1"/>
    <n v="4500"/>
    <n v="4050"/>
    <n v="2475"/>
    <n v="1735"/>
    <n v="116"/>
    <n v="-276"/>
    <n v="-6.8148148148148152E-2"/>
    <s v="2025-06"/>
  </r>
  <r>
    <s v="ORD-00034"/>
    <x v="33"/>
    <x v="6"/>
    <x v="5"/>
    <x v="1"/>
    <x v="0"/>
    <n v="3"/>
    <n v="4500"/>
    <n v="0.1"/>
    <n v="13500"/>
    <n v="12150"/>
    <n v="8775"/>
    <n v="1260"/>
    <n v="2427"/>
    <n v="-312"/>
    <n v="-2.5679012345679011E-2"/>
    <s v="2025-12"/>
  </r>
  <r>
    <s v="ORD-00035"/>
    <x v="34"/>
    <x v="5"/>
    <x v="0"/>
    <x v="0"/>
    <x v="0"/>
    <n v="1"/>
    <n v="1500"/>
    <n v="0"/>
    <n v="1500"/>
    <n v="1500"/>
    <n v="825.00000000000011"/>
    <n v="452"/>
    <n v="1080"/>
    <n v="-857.00000000000011"/>
    <n v="-0.57133333333333336"/>
    <s v="2025-06"/>
  </r>
  <r>
    <s v="ORD-00036"/>
    <x v="35"/>
    <x v="0"/>
    <x v="3"/>
    <x v="0"/>
    <x v="2"/>
    <n v="2"/>
    <n v="32000"/>
    <n v="0.1"/>
    <n v="64000"/>
    <n v="57600"/>
    <n v="52480"/>
    <n v="885"/>
    <n v="725"/>
    <n v="3510"/>
    <n v="6.0937499999999999E-2"/>
    <s v="2025-10"/>
  </r>
  <r>
    <s v="ORD-00037"/>
    <x v="36"/>
    <x v="2"/>
    <x v="4"/>
    <x v="0"/>
    <x v="2"/>
    <n v="2"/>
    <n v="28000"/>
    <n v="0.05"/>
    <n v="56000"/>
    <n v="53200"/>
    <n v="43680"/>
    <n v="1327"/>
    <n v="345"/>
    <n v="7848"/>
    <n v="0.14751879699248119"/>
    <s v="2025-06"/>
  </r>
  <r>
    <s v="ORD-00038"/>
    <x v="14"/>
    <x v="2"/>
    <x v="4"/>
    <x v="0"/>
    <x v="2"/>
    <n v="1"/>
    <n v="28000"/>
    <n v="0.08"/>
    <n v="28000"/>
    <n v="25760"/>
    <n v="21840"/>
    <n v="1027"/>
    <n v="1629"/>
    <n v="1264"/>
    <n v="4.9068322981366458E-2"/>
    <s v="2025-02"/>
  </r>
  <r>
    <s v="ORD-00039"/>
    <x v="5"/>
    <x v="6"/>
    <x v="1"/>
    <x v="0"/>
    <x v="0"/>
    <n v="6"/>
    <n v="4500"/>
    <n v="0.15"/>
    <n v="27000"/>
    <n v="22950"/>
    <n v="17550"/>
    <n v="670"/>
    <n v="1266"/>
    <n v="3464"/>
    <n v="0.1509368191721133"/>
    <s v="2025-04"/>
  </r>
  <r>
    <s v="ORD-00040"/>
    <x v="37"/>
    <x v="6"/>
    <x v="1"/>
    <x v="2"/>
    <x v="2"/>
    <n v="3"/>
    <n v="4500"/>
    <n v="0.05"/>
    <n v="13500"/>
    <n v="12825"/>
    <n v="8775"/>
    <n v="774"/>
    <n v="1248"/>
    <n v="2028"/>
    <n v="0.1581286549707602"/>
    <s v="2025-05"/>
  </r>
  <r>
    <s v="ORD-00041"/>
    <x v="8"/>
    <x v="2"/>
    <x v="2"/>
    <x v="0"/>
    <x v="0"/>
    <n v="2"/>
    <n v="28000"/>
    <n v="0.05"/>
    <n v="56000"/>
    <n v="53200"/>
    <n v="43680"/>
    <n v="1202"/>
    <n v="2411"/>
    <n v="5907"/>
    <n v="0.11103383458646621"/>
    <s v="2025-02"/>
  </r>
  <r>
    <s v="ORD-00042"/>
    <x v="38"/>
    <x v="5"/>
    <x v="1"/>
    <x v="1"/>
    <x v="2"/>
    <n v="6"/>
    <n v="1500"/>
    <n v="0"/>
    <n v="9000"/>
    <n v="9000"/>
    <n v="4950"/>
    <n v="1083"/>
    <n v="146"/>
    <n v="2821"/>
    <n v="0.31344444444444453"/>
    <s v="2025-09"/>
  </r>
  <r>
    <s v="ORD-00043"/>
    <x v="39"/>
    <x v="7"/>
    <x v="4"/>
    <x v="0"/>
    <x v="2"/>
    <n v="3"/>
    <n v="65000"/>
    <n v="0.05"/>
    <n v="195000"/>
    <n v="185250"/>
    <n v="163800"/>
    <n v="1281"/>
    <n v="2074"/>
    <n v="18095"/>
    <n v="9.7678812415654515E-2"/>
    <s v="2025-12"/>
  </r>
  <r>
    <s v="ORD-00044"/>
    <x v="40"/>
    <x v="0"/>
    <x v="1"/>
    <x v="0"/>
    <x v="2"/>
    <n v="1"/>
    <n v="32000"/>
    <n v="0.08"/>
    <n v="32000"/>
    <n v="29440"/>
    <n v="26240"/>
    <n v="1281"/>
    <n v="733"/>
    <n v="1186"/>
    <n v="4.0285326086956522E-2"/>
    <s v="2026-05"/>
  </r>
  <r>
    <s v="ORD-00045"/>
    <x v="41"/>
    <x v="7"/>
    <x v="4"/>
    <x v="1"/>
    <x v="2"/>
    <n v="1"/>
    <n v="65000"/>
    <n v="0.05"/>
    <n v="65000"/>
    <n v="61750"/>
    <n v="54600"/>
    <n v="1495"/>
    <n v="1312"/>
    <n v="4343"/>
    <n v="7.0331983805668019E-2"/>
    <s v="2026-03"/>
  </r>
  <r>
    <s v="ORD-00046"/>
    <x v="42"/>
    <x v="5"/>
    <x v="5"/>
    <x v="0"/>
    <x v="1"/>
    <n v="2"/>
    <n v="1500"/>
    <n v="0.05"/>
    <n v="3000"/>
    <n v="2850"/>
    <n v="1650"/>
    <n v="1196"/>
    <n v="1343"/>
    <n v="-1339"/>
    <n v="-0.46982456140350892"/>
    <s v="2025-03"/>
  </r>
  <r>
    <s v="ORD-00047"/>
    <x v="43"/>
    <x v="1"/>
    <x v="3"/>
    <x v="0"/>
    <x v="2"/>
    <n v="4"/>
    <n v="3500"/>
    <n v="0"/>
    <n v="14000"/>
    <n v="14000"/>
    <n v="9520"/>
    <n v="673"/>
    <n v="2488"/>
    <n v="1319"/>
    <n v="9.4214285714285709E-2"/>
    <s v="2025-10"/>
  </r>
  <r>
    <s v="ORD-00048"/>
    <x v="44"/>
    <x v="2"/>
    <x v="4"/>
    <x v="0"/>
    <x v="2"/>
    <n v="2"/>
    <n v="28000"/>
    <n v="0.08"/>
    <n v="56000"/>
    <n v="51520"/>
    <n v="43680"/>
    <n v="1001"/>
    <n v="1731"/>
    <n v="5108"/>
    <n v="9.9145962732919257E-2"/>
    <s v="2025-11"/>
  </r>
  <r>
    <s v="ORD-00049"/>
    <x v="45"/>
    <x v="0"/>
    <x v="2"/>
    <x v="1"/>
    <x v="2"/>
    <n v="2"/>
    <n v="32000"/>
    <n v="0"/>
    <n v="64000"/>
    <n v="64000"/>
    <n v="52480"/>
    <n v="1095"/>
    <n v="2307"/>
    <n v="8118"/>
    <n v="0.12684375000000001"/>
    <s v="2026-04"/>
  </r>
  <r>
    <s v="ORD-00050"/>
    <x v="46"/>
    <x v="5"/>
    <x v="0"/>
    <x v="2"/>
    <x v="0"/>
    <n v="1"/>
    <n v="1500"/>
    <n v="0.05"/>
    <n v="1500"/>
    <n v="1425"/>
    <n v="825.00000000000011"/>
    <n v="890"/>
    <n v="1736"/>
    <n v="-2026"/>
    <n v="-1.421754385964912"/>
    <s v="2025-09"/>
  </r>
  <r>
    <s v="ORD-00051"/>
    <x v="47"/>
    <x v="4"/>
    <x v="1"/>
    <x v="0"/>
    <x v="0"/>
    <n v="4"/>
    <n v="2500"/>
    <n v="0.05"/>
    <n v="10000"/>
    <n v="9500"/>
    <n v="6200"/>
    <n v="211"/>
    <n v="1730"/>
    <n v="1359"/>
    <n v="0.1430526315789474"/>
    <s v="2025-10"/>
  </r>
  <r>
    <s v="ORD-00052"/>
    <x v="48"/>
    <x v="0"/>
    <x v="0"/>
    <x v="0"/>
    <x v="2"/>
    <n v="1"/>
    <n v="32000"/>
    <n v="0.08"/>
    <n v="32000"/>
    <n v="29440"/>
    <n v="26240"/>
    <n v="804"/>
    <n v="1725"/>
    <n v="671"/>
    <n v="2.279211956521739E-2"/>
    <s v="2026-02"/>
  </r>
  <r>
    <s v="ORD-00053"/>
    <x v="49"/>
    <x v="1"/>
    <x v="4"/>
    <x v="0"/>
    <x v="2"/>
    <n v="2"/>
    <n v="3500"/>
    <n v="0.08"/>
    <n v="7000"/>
    <n v="6440"/>
    <n v="4760"/>
    <n v="612"/>
    <n v="828"/>
    <n v="240"/>
    <n v="3.7267080745341623E-2"/>
    <s v="2025-10"/>
  </r>
  <r>
    <s v="ORD-00054"/>
    <x v="50"/>
    <x v="7"/>
    <x v="3"/>
    <x v="1"/>
    <x v="2"/>
    <n v="3"/>
    <n v="65000"/>
    <n v="0.2"/>
    <n v="195000"/>
    <n v="156000"/>
    <n v="163800"/>
    <n v="1771"/>
    <n v="1077"/>
    <n v="-10648"/>
    <n v="-6.8256410256410258E-2"/>
    <s v="2025-04"/>
  </r>
  <r>
    <s v="ORD-00055"/>
    <x v="51"/>
    <x v="0"/>
    <x v="5"/>
    <x v="1"/>
    <x v="0"/>
    <n v="1"/>
    <n v="32000"/>
    <n v="0.1"/>
    <n v="32000"/>
    <n v="28800"/>
    <n v="26240"/>
    <n v="1066"/>
    <n v="972"/>
    <n v="522"/>
    <n v="1.8124999999999999E-2"/>
    <s v="2025-09"/>
  </r>
  <r>
    <s v="ORD-00056"/>
    <x v="52"/>
    <x v="6"/>
    <x v="4"/>
    <x v="2"/>
    <x v="2"/>
    <n v="5"/>
    <n v="4500"/>
    <n v="0.15"/>
    <n v="22500"/>
    <n v="19125"/>
    <n v="14625"/>
    <n v="376"/>
    <n v="1735"/>
    <n v="2389"/>
    <n v="0.12491503267973859"/>
    <s v="2026-01"/>
  </r>
  <r>
    <s v="ORD-00057"/>
    <x v="53"/>
    <x v="0"/>
    <x v="4"/>
    <x v="0"/>
    <x v="0"/>
    <n v="2"/>
    <n v="32000"/>
    <n v="0.08"/>
    <n v="64000"/>
    <n v="58880"/>
    <n v="52480"/>
    <n v="1787"/>
    <n v="950"/>
    <n v="3663"/>
    <n v="6.2211277173913053E-2"/>
    <s v="2026-05"/>
  </r>
  <r>
    <s v="ORD-00058"/>
    <x v="54"/>
    <x v="5"/>
    <x v="4"/>
    <x v="2"/>
    <x v="1"/>
    <n v="3"/>
    <n v="1500"/>
    <n v="0.03"/>
    <n v="4500"/>
    <n v="4365"/>
    <n v="2475"/>
    <n v="1788"/>
    <n v="1267"/>
    <n v="-1165"/>
    <n v="-0.26689576174112262"/>
    <s v="2025-02"/>
  </r>
  <r>
    <s v="ORD-00059"/>
    <x v="55"/>
    <x v="6"/>
    <x v="0"/>
    <x v="0"/>
    <x v="2"/>
    <n v="7"/>
    <n v="4500"/>
    <n v="0"/>
    <n v="31500"/>
    <n v="31500"/>
    <n v="20475"/>
    <n v="1386"/>
    <n v="1338"/>
    <n v="8301"/>
    <n v="0.26352380952380949"/>
    <s v="2025-08"/>
  </r>
  <r>
    <s v="ORD-00060"/>
    <x v="56"/>
    <x v="2"/>
    <x v="4"/>
    <x v="0"/>
    <x v="2"/>
    <n v="2"/>
    <n v="28000"/>
    <n v="0.08"/>
    <n v="56000"/>
    <n v="51520"/>
    <n v="43680"/>
    <n v="1476"/>
    <n v="1642"/>
    <n v="4722"/>
    <n v="9.1653726708074534E-2"/>
    <s v="2025-06"/>
  </r>
  <r>
    <s v="ORD-00061"/>
    <x v="57"/>
    <x v="4"/>
    <x v="4"/>
    <x v="0"/>
    <x v="0"/>
    <n v="2"/>
    <n v="2500"/>
    <n v="0"/>
    <n v="5000"/>
    <n v="5000"/>
    <n v="3100"/>
    <n v="228"/>
    <n v="1545"/>
    <n v="127"/>
    <n v="2.5399999999999999E-2"/>
    <s v="2025-12"/>
  </r>
  <r>
    <s v="ORD-00062"/>
    <x v="58"/>
    <x v="0"/>
    <x v="2"/>
    <x v="0"/>
    <x v="0"/>
    <n v="3"/>
    <n v="32000"/>
    <n v="0.2"/>
    <n v="96000"/>
    <n v="76800"/>
    <n v="78720"/>
    <n v="1355"/>
    <n v="1927"/>
    <n v="-5202"/>
    <n v="-6.7734374999999999E-2"/>
    <s v="2025-03"/>
  </r>
  <r>
    <s v="ORD-00063"/>
    <x v="59"/>
    <x v="6"/>
    <x v="0"/>
    <x v="0"/>
    <x v="2"/>
    <n v="7"/>
    <n v="4500"/>
    <n v="0.05"/>
    <n v="31500"/>
    <n v="29925"/>
    <n v="20475"/>
    <n v="1754"/>
    <n v="138"/>
    <n v="7558"/>
    <n v="0.25256474519632421"/>
    <s v="2025-05"/>
  </r>
  <r>
    <s v="ORD-00064"/>
    <x v="60"/>
    <x v="6"/>
    <x v="5"/>
    <x v="1"/>
    <x v="2"/>
    <n v="2"/>
    <n v="4500"/>
    <n v="0.1"/>
    <n v="9000"/>
    <n v="8100"/>
    <n v="5850"/>
    <n v="655"/>
    <n v="928"/>
    <n v="667"/>
    <n v="8.2345679012345685E-2"/>
    <s v="2025-12"/>
  </r>
  <r>
    <s v="ORD-00065"/>
    <x v="61"/>
    <x v="7"/>
    <x v="3"/>
    <x v="2"/>
    <x v="1"/>
    <n v="3"/>
    <n v="65000"/>
    <n v="0.05"/>
    <n v="195000"/>
    <n v="185250"/>
    <n v="163800"/>
    <n v="1632"/>
    <n v="923"/>
    <n v="18895"/>
    <n v="0.1019973009446694"/>
    <s v="2025-04"/>
  </r>
  <r>
    <s v="ORD-00066"/>
    <x v="62"/>
    <x v="1"/>
    <x v="2"/>
    <x v="1"/>
    <x v="1"/>
    <n v="5"/>
    <n v="3500"/>
    <n v="0.05"/>
    <n v="17500"/>
    <n v="16625"/>
    <n v="11900"/>
    <n v="279"/>
    <n v="302"/>
    <n v="4144"/>
    <n v="0.24926315789473691"/>
    <s v="2025-08"/>
  </r>
  <r>
    <s v="ORD-00067"/>
    <x v="63"/>
    <x v="2"/>
    <x v="5"/>
    <x v="1"/>
    <x v="0"/>
    <n v="3"/>
    <n v="28000"/>
    <n v="0.08"/>
    <n v="84000"/>
    <n v="77280"/>
    <n v="65520"/>
    <n v="1749"/>
    <n v="1266"/>
    <n v="8745"/>
    <n v="0.11315993788819879"/>
    <s v="2026-02"/>
  </r>
  <r>
    <s v="ORD-00068"/>
    <x v="64"/>
    <x v="3"/>
    <x v="2"/>
    <x v="0"/>
    <x v="2"/>
    <n v="3"/>
    <n v="18000"/>
    <n v="0"/>
    <n v="54000"/>
    <n v="54000"/>
    <n v="43200"/>
    <n v="1235"/>
    <n v="1453"/>
    <n v="8112"/>
    <n v="0.1502222222222222"/>
    <s v="2025-12"/>
  </r>
  <r>
    <s v="ORD-00069"/>
    <x v="65"/>
    <x v="2"/>
    <x v="2"/>
    <x v="2"/>
    <x v="0"/>
    <n v="2"/>
    <n v="28000"/>
    <n v="0.05"/>
    <n v="56000"/>
    <n v="53200"/>
    <n v="43680"/>
    <n v="1539"/>
    <n v="639"/>
    <n v="7342"/>
    <n v="0.1380075187969925"/>
    <s v="2025-02"/>
  </r>
  <r>
    <s v="ORD-00070"/>
    <x v="2"/>
    <x v="7"/>
    <x v="3"/>
    <x v="2"/>
    <x v="0"/>
    <n v="1"/>
    <n v="65000"/>
    <n v="0.05"/>
    <n v="65000"/>
    <n v="61750"/>
    <n v="54600"/>
    <n v="660"/>
    <n v="1024"/>
    <n v="5466"/>
    <n v="8.8518218623481776E-2"/>
    <s v="2025-09"/>
  </r>
  <r>
    <s v="ORD-00071"/>
    <x v="66"/>
    <x v="0"/>
    <x v="0"/>
    <x v="0"/>
    <x v="2"/>
    <n v="1"/>
    <n v="32000"/>
    <n v="0.05"/>
    <n v="32000"/>
    <n v="30400"/>
    <n v="26240"/>
    <n v="1023"/>
    <n v="897"/>
    <n v="2240"/>
    <n v="7.3684210526315783E-2"/>
    <s v="2025-08"/>
  </r>
  <r>
    <s v="ORD-00072"/>
    <x v="67"/>
    <x v="7"/>
    <x v="0"/>
    <x v="1"/>
    <x v="2"/>
    <n v="2"/>
    <n v="65000"/>
    <n v="0.1"/>
    <n v="130000"/>
    <n v="117000"/>
    <n v="109200"/>
    <n v="423"/>
    <n v="1362"/>
    <n v="6015"/>
    <n v="5.1410256410256407E-2"/>
    <s v="2025-06"/>
  </r>
  <r>
    <s v="ORD-00073"/>
    <x v="68"/>
    <x v="6"/>
    <x v="0"/>
    <x v="0"/>
    <x v="2"/>
    <n v="3"/>
    <n v="4500"/>
    <n v="0.1"/>
    <n v="13500"/>
    <n v="12150"/>
    <n v="8775"/>
    <n v="1684"/>
    <n v="1733"/>
    <n v="-42"/>
    <n v="-3.4567901234567899E-3"/>
    <s v="2025-04"/>
  </r>
  <r>
    <s v="ORD-00074"/>
    <x v="69"/>
    <x v="0"/>
    <x v="4"/>
    <x v="1"/>
    <x v="0"/>
    <n v="2"/>
    <n v="32000"/>
    <n v="0.1"/>
    <n v="64000"/>
    <n v="57600"/>
    <n v="52480"/>
    <n v="908"/>
    <n v="1768"/>
    <n v="2444"/>
    <n v="4.2430555555555548E-2"/>
    <s v="2026-03"/>
  </r>
  <r>
    <s v="ORD-00075"/>
    <x v="70"/>
    <x v="4"/>
    <x v="0"/>
    <x v="0"/>
    <x v="2"/>
    <n v="1"/>
    <n v="2500"/>
    <n v="0.03"/>
    <n v="2500"/>
    <n v="2425"/>
    <n v="1550"/>
    <n v="656"/>
    <n v="2001"/>
    <n v="-1782"/>
    <n v="-0.73484536082474228"/>
    <s v="2025-01"/>
  </r>
  <r>
    <s v="ORD-00076"/>
    <x v="71"/>
    <x v="7"/>
    <x v="1"/>
    <x v="0"/>
    <x v="0"/>
    <n v="1"/>
    <n v="65000"/>
    <n v="0.1"/>
    <n v="65000"/>
    <n v="58500"/>
    <n v="54600"/>
    <n v="233"/>
    <n v="2242"/>
    <n v="1425"/>
    <n v="2.4358974358974359E-2"/>
    <s v="2025-03"/>
  </r>
  <r>
    <s v="ORD-00077"/>
    <x v="72"/>
    <x v="4"/>
    <x v="3"/>
    <x v="2"/>
    <x v="2"/>
    <n v="3"/>
    <n v="2500"/>
    <n v="0.05"/>
    <n v="7500"/>
    <n v="7125"/>
    <n v="4650"/>
    <n v="1277"/>
    <n v="335"/>
    <n v="863"/>
    <n v="0.1211228070175439"/>
    <s v="2026-01"/>
  </r>
  <r>
    <s v="ORD-00078"/>
    <x v="73"/>
    <x v="3"/>
    <x v="0"/>
    <x v="2"/>
    <x v="0"/>
    <n v="3"/>
    <n v="18000"/>
    <n v="0"/>
    <n v="54000"/>
    <n v="54000"/>
    <n v="43200"/>
    <n v="1430"/>
    <n v="1352"/>
    <n v="8018"/>
    <n v="0.14848148148148149"/>
    <s v="2025-03"/>
  </r>
  <r>
    <s v="ORD-00079"/>
    <x v="74"/>
    <x v="2"/>
    <x v="1"/>
    <x v="0"/>
    <x v="0"/>
    <n v="2"/>
    <n v="28000"/>
    <n v="0.08"/>
    <n v="56000"/>
    <n v="51520"/>
    <n v="43680"/>
    <n v="997"/>
    <n v="1458"/>
    <n v="5385"/>
    <n v="0.1045225155279503"/>
    <s v="2026-03"/>
  </r>
  <r>
    <s v="ORD-00080"/>
    <x v="75"/>
    <x v="3"/>
    <x v="4"/>
    <x v="0"/>
    <x v="1"/>
    <n v="3"/>
    <n v="18000"/>
    <n v="0.05"/>
    <n v="54000"/>
    <n v="51300"/>
    <n v="43200"/>
    <n v="958"/>
    <n v="2228"/>
    <n v="4914"/>
    <n v="9.5789473684210522E-2"/>
    <s v="2025-05"/>
  </r>
  <r>
    <s v="ORD-00081"/>
    <x v="76"/>
    <x v="2"/>
    <x v="3"/>
    <x v="0"/>
    <x v="2"/>
    <n v="1"/>
    <n v="28000"/>
    <n v="0.03"/>
    <n v="28000"/>
    <n v="27160"/>
    <n v="21840"/>
    <n v="1183"/>
    <n v="168"/>
    <n v="3969"/>
    <n v="0.14613402061855671"/>
    <s v="2026-06"/>
  </r>
  <r>
    <s v="ORD-00082"/>
    <x v="77"/>
    <x v="4"/>
    <x v="0"/>
    <x v="0"/>
    <x v="0"/>
    <n v="3"/>
    <n v="2500"/>
    <n v="0.03"/>
    <n v="7500"/>
    <n v="7275"/>
    <n v="4650"/>
    <n v="310"/>
    <n v="860"/>
    <n v="1455"/>
    <n v="0.2"/>
    <s v="2025-07"/>
  </r>
  <r>
    <s v="ORD-00083"/>
    <x v="78"/>
    <x v="3"/>
    <x v="1"/>
    <x v="1"/>
    <x v="2"/>
    <n v="1"/>
    <n v="18000"/>
    <n v="0.15"/>
    <n v="18000"/>
    <n v="15300"/>
    <n v="14400"/>
    <n v="1418"/>
    <n v="766"/>
    <n v="-1284"/>
    <n v="-8.3921568627450982E-2"/>
    <s v="2025-04"/>
  </r>
  <r>
    <s v="ORD-00084"/>
    <x v="40"/>
    <x v="1"/>
    <x v="4"/>
    <x v="0"/>
    <x v="2"/>
    <n v="5"/>
    <n v="3500"/>
    <n v="0.05"/>
    <n v="17500"/>
    <n v="16625"/>
    <n v="11900"/>
    <n v="881"/>
    <n v="1528"/>
    <n v="2316"/>
    <n v="0.13930827067669169"/>
    <s v="2026-05"/>
  </r>
  <r>
    <s v="ORD-00085"/>
    <x v="79"/>
    <x v="2"/>
    <x v="5"/>
    <x v="1"/>
    <x v="0"/>
    <n v="1"/>
    <n v="28000"/>
    <n v="0.08"/>
    <n v="28000"/>
    <n v="25760"/>
    <n v="21840"/>
    <n v="1296"/>
    <n v="2396"/>
    <n v="228"/>
    <n v="8.8509316770186332E-3"/>
    <s v="2025-02"/>
  </r>
  <r>
    <s v="ORD-00086"/>
    <x v="80"/>
    <x v="4"/>
    <x v="5"/>
    <x v="1"/>
    <x v="1"/>
    <n v="7"/>
    <n v="2500"/>
    <n v="0.05"/>
    <n v="17500"/>
    <n v="16625"/>
    <n v="10850"/>
    <n v="536"/>
    <n v="1149"/>
    <n v="4090"/>
    <n v="0.24601503759398499"/>
    <s v="2025-09"/>
  </r>
  <r>
    <s v="ORD-00087"/>
    <x v="15"/>
    <x v="0"/>
    <x v="3"/>
    <x v="0"/>
    <x v="0"/>
    <n v="3"/>
    <n v="32000"/>
    <n v="0.15"/>
    <n v="96000"/>
    <n v="81600"/>
    <n v="78720"/>
    <n v="725"/>
    <n v="573"/>
    <n v="1582"/>
    <n v="1.938725490196078E-2"/>
    <s v="2025-01"/>
  </r>
  <r>
    <s v="ORD-00088"/>
    <x v="81"/>
    <x v="6"/>
    <x v="2"/>
    <x v="0"/>
    <x v="2"/>
    <n v="3"/>
    <n v="4500"/>
    <n v="0.03"/>
    <n v="13500"/>
    <n v="13095"/>
    <n v="8775"/>
    <n v="1230"/>
    <n v="1126"/>
    <n v="1964"/>
    <n v="0.14998090874379541"/>
    <s v="2025-12"/>
  </r>
  <r>
    <s v="ORD-00089"/>
    <x v="54"/>
    <x v="4"/>
    <x v="5"/>
    <x v="2"/>
    <x v="2"/>
    <n v="3"/>
    <n v="2500"/>
    <n v="0.03"/>
    <n v="7500"/>
    <n v="7275"/>
    <n v="4650"/>
    <n v="684"/>
    <n v="2175"/>
    <n v="-234"/>
    <n v="-3.2164948453608247E-2"/>
    <s v="2025-02"/>
  </r>
  <r>
    <s v="ORD-00090"/>
    <x v="82"/>
    <x v="6"/>
    <x v="0"/>
    <x v="1"/>
    <x v="0"/>
    <n v="4"/>
    <n v="4500"/>
    <n v="0.03"/>
    <n v="18000"/>
    <n v="17460"/>
    <n v="11700"/>
    <n v="1748"/>
    <n v="2172"/>
    <n v="1840"/>
    <n v="0.1053837342497136"/>
    <s v="2026-01"/>
  </r>
  <r>
    <s v="ORD-00091"/>
    <x v="83"/>
    <x v="5"/>
    <x v="1"/>
    <x v="0"/>
    <x v="0"/>
    <n v="7"/>
    <n v="1500"/>
    <n v="0.1"/>
    <n v="10500"/>
    <n v="9450"/>
    <n v="5775.0000000000009"/>
    <n v="822"/>
    <n v="1641"/>
    <n v="1211.9999999999991"/>
    <n v="0.12825396825396809"/>
    <s v="2025-10"/>
  </r>
  <r>
    <s v="ORD-00092"/>
    <x v="84"/>
    <x v="6"/>
    <x v="2"/>
    <x v="2"/>
    <x v="2"/>
    <n v="5"/>
    <n v="4500"/>
    <n v="0.15"/>
    <n v="22500"/>
    <n v="19125"/>
    <n v="14625"/>
    <n v="1660"/>
    <n v="2424"/>
    <n v="416"/>
    <n v="2.1751633986928101E-2"/>
    <s v="2026-05"/>
  </r>
  <r>
    <s v="ORD-00093"/>
    <x v="85"/>
    <x v="6"/>
    <x v="4"/>
    <x v="2"/>
    <x v="2"/>
    <n v="7"/>
    <n v="4500"/>
    <n v="0"/>
    <n v="31500"/>
    <n v="31500"/>
    <n v="20475"/>
    <n v="1360"/>
    <n v="858"/>
    <n v="8807"/>
    <n v="0.27958730158730161"/>
    <s v="2025-08"/>
  </r>
  <r>
    <s v="ORD-00094"/>
    <x v="29"/>
    <x v="2"/>
    <x v="3"/>
    <x v="1"/>
    <x v="1"/>
    <n v="3"/>
    <n v="28000"/>
    <n v="0.15"/>
    <n v="84000"/>
    <n v="71400"/>
    <n v="65520"/>
    <n v="845"/>
    <n v="217"/>
    <n v="4818"/>
    <n v="6.7478991596638657E-2"/>
    <s v="2026-05"/>
  </r>
  <r>
    <s v="ORD-00095"/>
    <x v="86"/>
    <x v="0"/>
    <x v="4"/>
    <x v="0"/>
    <x v="2"/>
    <n v="3"/>
    <n v="32000"/>
    <n v="0.08"/>
    <n v="96000"/>
    <n v="88320"/>
    <n v="78720"/>
    <n v="1658"/>
    <n v="2320"/>
    <n v="5622"/>
    <n v="6.365489130434783E-2"/>
    <s v="2025-10"/>
  </r>
  <r>
    <s v="ORD-00096"/>
    <x v="70"/>
    <x v="4"/>
    <x v="1"/>
    <x v="1"/>
    <x v="2"/>
    <n v="4"/>
    <n v="2500"/>
    <n v="0.08"/>
    <n v="10000"/>
    <n v="9200"/>
    <n v="6200"/>
    <n v="312"/>
    <n v="2287"/>
    <n v="401"/>
    <n v="4.3586956521739127E-2"/>
    <s v="2025-01"/>
  </r>
  <r>
    <s v="ORD-00097"/>
    <x v="87"/>
    <x v="6"/>
    <x v="5"/>
    <x v="0"/>
    <x v="0"/>
    <n v="3"/>
    <n v="4500"/>
    <n v="0.15"/>
    <n v="13500"/>
    <n v="11475"/>
    <n v="8775"/>
    <n v="1044"/>
    <n v="2126"/>
    <n v="-470"/>
    <n v="-4.0958605664488022E-2"/>
    <s v="2025-09"/>
  </r>
  <r>
    <s v="ORD-00098"/>
    <x v="88"/>
    <x v="1"/>
    <x v="1"/>
    <x v="0"/>
    <x v="2"/>
    <n v="7"/>
    <n v="3500"/>
    <n v="0.08"/>
    <n v="24500"/>
    <n v="22540"/>
    <n v="16660"/>
    <n v="1097"/>
    <n v="2160"/>
    <n v="2623"/>
    <n v="0.1163708961845608"/>
    <s v="2025-06"/>
  </r>
  <r>
    <s v="ORD-00099"/>
    <x v="89"/>
    <x v="7"/>
    <x v="3"/>
    <x v="0"/>
    <x v="1"/>
    <n v="1"/>
    <n v="65000"/>
    <n v="0"/>
    <n v="65000"/>
    <n v="65000"/>
    <n v="54600"/>
    <n v="1110"/>
    <n v="2043"/>
    <n v="7247"/>
    <n v="0.1114923076923077"/>
    <s v="2026-02"/>
  </r>
  <r>
    <s v="ORD-00100"/>
    <x v="40"/>
    <x v="5"/>
    <x v="3"/>
    <x v="0"/>
    <x v="0"/>
    <n v="4"/>
    <n v="1500"/>
    <n v="0.05"/>
    <n v="6000"/>
    <n v="5700"/>
    <n v="3300"/>
    <n v="575"/>
    <n v="1260"/>
    <n v="564.99999999999955"/>
    <n v="9.9122807017543779E-2"/>
    <s v="2026-05"/>
  </r>
  <r>
    <s v="ORD-00101"/>
    <x v="90"/>
    <x v="4"/>
    <x v="4"/>
    <x v="0"/>
    <x v="0"/>
    <n v="1"/>
    <n v="2500"/>
    <n v="0.1"/>
    <n v="2500"/>
    <n v="2250"/>
    <n v="1550"/>
    <n v="997"/>
    <n v="1414"/>
    <n v="-1711"/>
    <n v="-0.76044444444444448"/>
    <s v="2025-06"/>
  </r>
  <r>
    <s v="ORD-00102"/>
    <x v="91"/>
    <x v="6"/>
    <x v="3"/>
    <x v="2"/>
    <x v="0"/>
    <n v="4"/>
    <n v="4500"/>
    <n v="0.05"/>
    <n v="18000"/>
    <n v="17100"/>
    <n v="11700"/>
    <n v="1265"/>
    <n v="2236"/>
    <n v="1899"/>
    <n v="0.1110526315789474"/>
    <s v="2026-02"/>
  </r>
  <r>
    <s v="ORD-00103"/>
    <x v="16"/>
    <x v="7"/>
    <x v="1"/>
    <x v="1"/>
    <x v="1"/>
    <n v="3"/>
    <n v="65000"/>
    <n v="0.05"/>
    <n v="195000"/>
    <n v="185250"/>
    <n v="163800"/>
    <n v="1192"/>
    <n v="2292"/>
    <n v="17966"/>
    <n v="9.6982456140350878E-2"/>
    <s v="2025-08"/>
  </r>
  <r>
    <s v="ORD-00104"/>
    <x v="92"/>
    <x v="4"/>
    <x v="2"/>
    <x v="1"/>
    <x v="0"/>
    <n v="7"/>
    <n v="2500"/>
    <n v="0"/>
    <n v="17500"/>
    <n v="17500"/>
    <n v="10850"/>
    <n v="778"/>
    <n v="1302"/>
    <n v="4570"/>
    <n v="0.26114285714285712"/>
    <s v="2026-03"/>
  </r>
  <r>
    <s v="ORD-00105"/>
    <x v="93"/>
    <x v="5"/>
    <x v="5"/>
    <x v="1"/>
    <x v="0"/>
    <n v="6"/>
    <n v="1500"/>
    <n v="0.15"/>
    <n v="9000"/>
    <n v="7650"/>
    <n v="4950"/>
    <n v="619"/>
    <n v="2304"/>
    <n v="-223"/>
    <n v="-2.915032679738562E-2"/>
    <s v="2026-03"/>
  </r>
  <r>
    <s v="ORD-00106"/>
    <x v="94"/>
    <x v="7"/>
    <x v="3"/>
    <x v="1"/>
    <x v="2"/>
    <n v="2"/>
    <n v="65000"/>
    <n v="0.03"/>
    <n v="130000"/>
    <n v="126100"/>
    <n v="109200"/>
    <n v="1745"/>
    <n v="616"/>
    <n v="14539"/>
    <n v="0.1152973830293418"/>
    <s v="2025-04"/>
  </r>
  <r>
    <s v="ORD-00107"/>
    <x v="95"/>
    <x v="1"/>
    <x v="2"/>
    <x v="1"/>
    <x v="2"/>
    <n v="4"/>
    <n v="3500"/>
    <n v="0.05"/>
    <n v="14000"/>
    <n v="13300"/>
    <n v="9520"/>
    <n v="1380"/>
    <n v="2194"/>
    <n v="206"/>
    <n v="1.5488721804511279E-2"/>
    <s v="2025-11"/>
  </r>
  <r>
    <s v="ORD-00108"/>
    <x v="96"/>
    <x v="4"/>
    <x v="4"/>
    <x v="2"/>
    <x v="1"/>
    <n v="3"/>
    <n v="2500"/>
    <n v="0.08"/>
    <n v="7500"/>
    <n v="6900"/>
    <n v="4650"/>
    <n v="993"/>
    <n v="1934"/>
    <n v="-677"/>
    <n v="-9.8115942028985506E-2"/>
    <s v="2025-10"/>
  </r>
  <r>
    <s v="ORD-00109"/>
    <x v="39"/>
    <x v="3"/>
    <x v="3"/>
    <x v="1"/>
    <x v="1"/>
    <n v="2"/>
    <n v="18000"/>
    <n v="0.03"/>
    <n v="36000"/>
    <n v="34920"/>
    <n v="28800"/>
    <n v="222"/>
    <n v="914"/>
    <n v="4984"/>
    <n v="0.14272623138602519"/>
    <s v="2025-12"/>
  </r>
  <r>
    <s v="ORD-00110"/>
    <x v="97"/>
    <x v="3"/>
    <x v="2"/>
    <x v="1"/>
    <x v="0"/>
    <n v="2"/>
    <n v="18000"/>
    <n v="0"/>
    <n v="36000"/>
    <n v="36000"/>
    <n v="28800"/>
    <n v="1192"/>
    <n v="1739"/>
    <n v="4269"/>
    <n v="0.1185833333333333"/>
    <s v="2026-04"/>
  </r>
  <r>
    <s v="ORD-00111"/>
    <x v="98"/>
    <x v="3"/>
    <x v="5"/>
    <x v="0"/>
    <x v="0"/>
    <n v="1"/>
    <n v="18000"/>
    <n v="0.1"/>
    <n v="18000"/>
    <n v="16200"/>
    <n v="14400"/>
    <n v="1329"/>
    <n v="703"/>
    <n v="-232"/>
    <n v="-1.432098765432099E-2"/>
    <s v="2026-01"/>
  </r>
  <r>
    <s v="ORD-00112"/>
    <x v="99"/>
    <x v="3"/>
    <x v="1"/>
    <x v="2"/>
    <x v="2"/>
    <n v="1"/>
    <n v="18000"/>
    <n v="0.15"/>
    <n v="18000"/>
    <n v="15300"/>
    <n v="14400"/>
    <n v="1630"/>
    <n v="1892"/>
    <n v="-2622"/>
    <n v="-0.17137254901960791"/>
    <s v="2026-02"/>
  </r>
  <r>
    <s v="ORD-00113"/>
    <x v="100"/>
    <x v="7"/>
    <x v="5"/>
    <x v="1"/>
    <x v="2"/>
    <n v="1"/>
    <n v="65000"/>
    <n v="0.15"/>
    <n v="65000"/>
    <n v="55250"/>
    <n v="54600"/>
    <n v="766"/>
    <n v="1035"/>
    <n v="-1151"/>
    <n v="-2.083257918552036E-2"/>
    <s v="2026-03"/>
  </r>
  <r>
    <s v="ORD-00114"/>
    <x v="101"/>
    <x v="7"/>
    <x v="1"/>
    <x v="2"/>
    <x v="2"/>
    <n v="1"/>
    <n v="65000"/>
    <n v="0.08"/>
    <n v="65000"/>
    <n v="59800"/>
    <n v="54600"/>
    <n v="774"/>
    <n v="2391"/>
    <n v="2035"/>
    <n v="3.4030100334448157E-2"/>
    <s v="2026-06"/>
  </r>
  <r>
    <s v="ORD-00115"/>
    <x v="102"/>
    <x v="2"/>
    <x v="3"/>
    <x v="0"/>
    <x v="0"/>
    <n v="3"/>
    <n v="28000"/>
    <n v="0.1"/>
    <n v="84000"/>
    <n v="75600"/>
    <n v="65520"/>
    <n v="1752"/>
    <n v="1038"/>
    <n v="7290"/>
    <n v="9.6428571428571433E-2"/>
    <s v="2025-06"/>
  </r>
  <r>
    <s v="ORD-00116"/>
    <x v="103"/>
    <x v="6"/>
    <x v="0"/>
    <x v="1"/>
    <x v="2"/>
    <n v="5"/>
    <n v="4500"/>
    <n v="0.15"/>
    <n v="22500"/>
    <n v="19125"/>
    <n v="14625"/>
    <n v="376"/>
    <n v="384"/>
    <n v="3740"/>
    <n v="0.19555555555555559"/>
    <s v="2025-03"/>
  </r>
  <r>
    <s v="ORD-00117"/>
    <x v="104"/>
    <x v="1"/>
    <x v="3"/>
    <x v="2"/>
    <x v="0"/>
    <n v="1"/>
    <n v="3500"/>
    <n v="0.03"/>
    <n v="3500"/>
    <n v="3395"/>
    <n v="2380"/>
    <n v="1307"/>
    <n v="788"/>
    <n v="-1080"/>
    <n v="-0.31811487481590572"/>
    <s v="2025-05"/>
  </r>
  <r>
    <s v="ORD-00118"/>
    <x v="105"/>
    <x v="3"/>
    <x v="0"/>
    <x v="0"/>
    <x v="1"/>
    <n v="1"/>
    <n v="18000"/>
    <n v="0.05"/>
    <n v="18000"/>
    <n v="17100"/>
    <n v="14400"/>
    <n v="1364"/>
    <n v="1089"/>
    <n v="247"/>
    <n v="1.444444444444444E-2"/>
    <s v="2025-08"/>
  </r>
  <r>
    <s v="ORD-00119"/>
    <x v="106"/>
    <x v="3"/>
    <x v="0"/>
    <x v="0"/>
    <x v="0"/>
    <n v="2"/>
    <n v="18000"/>
    <n v="0.03"/>
    <n v="36000"/>
    <n v="34920"/>
    <n v="28800"/>
    <n v="628"/>
    <n v="1600"/>
    <n v="3892"/>
    <n v="0.11145475372279499"/>
    <s v="2025-10"/>
  </r>
  <r>
    <s v="ORD-00120"/>
    <x v="107"/>
    <x v="0"/>
    <x v="3"/>
    <x v="1"/>
    <x v="2"/>
    <n v="2"/>
    <n v="32000"/>
    <n v="0.08"/>
    <n v="64000"/>
    <n v="58880"/>
    <n v="52480"/>
    <n v="1187"/>
    <n v="1236"/>
    <n v="3977"/>
    <n v="6.7544157608695657E-2"/>
    <s v="2025-04"/>
  </r>
  <r>
    <s v="ORD-00121"/>
    <x v="108"/>
    <x v="7"/>
    <x v="0"/>
    <x v="1"/>
    <x v="2"/>
    <n v="1"/>
    <n v="65000"/>
    <n v="0"/>
    <n v="65000"/>
    <n v="65000"/>
    <n v="54600"/>
    <n v="999"/>
    <n v="877"/>
    <n v="8524"/>
    <n v="0.13113846153846151"/>
    <s v="2026-04"/>
  </r>
  <r>
    <s v="ORD-00122"/>
    <x v="109"/>
    <x v="0"/>
    <x v="0"/>
    <x v="0"/>
    <x v="0"/>
    <n v="3"/>
    <n v="32000"/>
    <n v="0.03"/>
    <n v="96000"/>
    <n v="93120"/>
    <n v="78720"/>
    <n v="1401"/>
    <n v="932"/>
    <n v="12067"/>
    <n v="0.1295854810996564"/>
    <s v="2025-11"/>
  </r>
  <r>
    <s v="ORD-00123"/>
    <x v="48"/>
    <x v="1"/>
    <x v="0"/>
    <x v="0"/>
    <x v="0"/>
    <n v="6"/>
    <n v="3500"/>
    <n v="0.05"/>
    <n v="21000"/>
    <n v="19950"/>
    <n v="14280"/>
    <n v="1452"/>
    <n v="1387"/>
    <n v="2830.9999999999982"/>
    <n v="0.14190476190476181"/>
    <s v="2026-02"/>
  </r>
  <r>
    <s v="ORD-00124"/>
    <x v="90"/>
    <x v="3"/>
    <x v="3"/>
    <x v="0"/>
    <x v="2"/>
    <n v="2"/>
    <n v="18000"/>
    <n v="0.1"/>
    <n v="36000"/>
    <n v="32400"/>
    <n v="28800"/>
    <n v="651"/>
    <n v="1623"/>
    <n v="1326"/>
    <n v="4.0925925925925928E-2"/>
    <s v="2025-06"/>
  </r>
  <r>
    <s v="ORD-00125"/>
    <x v="110"/>
    <x v="3"/>
    <x v="0"/>
    <x v="0"/>
    <x v="1"/>
    <n v="2"/>
    <n v="18000"/>
    <n v="0"/>
    <n v="36000"/>
    <n v="36000"/>
    <n v="28800"/>
    <n v="974"/>
    <n v="2298"/>
    <n v="3928"/>
    <n v="0.1091111111111111"/>
    <s v="2025-03"/>
  </r>
  <r>
    <s v="ORD-00126"/>
    <x v="111"/>
    <x v="1"/>
    <x v="1"/>
    <x v="2"/>
    <x v="2"/>
    <n v="4"/>
    <n v="3500"/>
    <n v="0.1"/>
    <n v="14000"/>
    <n v="12600"/>
    <n v="9520"/>
    <n v="1014"/>
    <n v="2039"/>
    <n v="27"/>
    <n v="2.142857142857143E-3"/>
    <s v="2026-06"/>
  </r>
  <r>
    <s v="ORD-00127"/>
    <x v="112"/>
    <x v="0"/>
    <x v="4"/>
    <x v="0"/>
    <x v="1"/>
    <n v="1"/>
    <n v="32000"/>
    <n v="0.05"/>
    <n v="32000"/>
    <n v="30400"/>
    <n v="26240"/>
    <n v="1479"/>
    <n v="1857"/>
    <n v="824"/>
    <n v="2.710526315789474E-2"/>
    <s v="2025-08"/>
  </r>
  <r>
    <s v="ORD-00128"/>
    <x v="113"/>
    <x v="6"/>
    <x v="5"/>
    <x v="0"/>
    <x v="0"/>
    <n v="4"/>
    <n v="4500"/>
    <n v="0"/>
    <n v="18000"/>
    <n v="18000"/>
    <n v="11700"/>
    <n v="913"/>
    <n v="2206"/>
    <n v="3181"/>
    <n v="0.1767222222222222"/>
    <s v="2025-05"/>
  </r>
  <r>
    <s v="ORD-00129"/>
    <x v="114"/>
    <x v="7"/>
    <x v="0"/>
    <x v="0"/>
    <x v="2"/>
    <n v="2"/>
    <n v="65000"/>
    <n v="0.08"/>
    <n v="130000"/>
    <n v="119600"/>
    <n v="109200"/>
    <n v="1582"/>
    <n v="1881"/>
    <n v="6937"/>
    <n v="5.8001672240802667E-2"/>
    <s v="2025-10"/>
  </r>
  <r>
    <s v="ORD-00130"/>
    <x v="115"/>
    <x v="1"/>
    <x v="4"/>
    <x v="2"/>
    <x v="0"/>
    <n v="5"/>
    <n v="3500"/>
    <n v="0.1"/>
    <n v="17500"/>
    <n v="15750"/>
    <n v="11900"/>
    <n v="1004"/>
    <n v="174"/>
    <n v="2672"/>
    <n v="0.16965079365079369"/>
    <s v="2025-05"/>
  </r>
  <r>
    <s v="ORD-00131"/>
    <x v="116"/>
    <x v="2"/>
    <x v="4"/>
    <x v="0"/>
    <x v="2"/>
    <n v="1"/>
    <n v="28000"/>
    <n v="0.05"/>
    <n v="28000"/>
    <n v="26600"/>
    <n v="21840"/>
    <n v="1197"/>
    <n v="1501"/>
    <n v="2062"/>
    <n v="7.7518796992481209E-2"/>
    <s v="2025-12"/>
  </r>
  <r>
    <s v="ORD-00132"/>
    <x v="21"/>
    <x v="4"/>
    <x v="1"/>
    <x v="0"/>
    <x v="0"/>
    <n v="2"/>
    <n v="2500"/>
    <n v="0.08"/>
    <n v="5000"/>
    <n v="4600"/>
    <n v="3100"/>
    <n v="1020"/>
    <n v="554"/>
    <n v="-74"/>
    <n v="-1.6086956521739131E-2"/>
    <s v="2026-02"/>
  </r>
  <r>
    <s v="ORD-00133"/>
    <x v="117"/>
    <x v="6"/>
    <x v="0"/>
    <x v="0"/>
    <x v="2"/>
    <n v="2"/>
    <n v="4500"/>
    <n v="0.03"/>
    <n v="9000"/>
    <n v="8730"/>
    <n v="5850"/>
    <n v="1586"/>
    <n v="792"/>
    <n v="502"/>
    <n v="5.7502863688430703E-2"/>
    <s v="2025-10"/>
  </r>
  <r>
    <s v="ORD-00134"/>
    <x v="118"/>
    <x v="3"/>
    <x v="3"/>
    <x v="0"/>
    <x v="0"/>
    <n v="3"/>
    <n v="18000"/>
    <n v="0.05"/>
    <n v="54000"/>
    <n v="51300"/>
    <n v="43200"/>
    <n v="1336"/>
    <n v="286"/>
    <n v="6478"/>
    <n v="0.1262768031189084"/>
    <s v="2025-08"/>
  </r>
  <r>
    <s v="ORD-00135"/>
    <x v="104"/>
    <x v="6"/>
    <x v="0"/>
    <x v="1"/>
    <x v="2"/>
    <n v="6"/>
    <n v="4500"/>
    <n v="0.1"/>
    <n v="27000"/>
    <n v="24300"/>
    <n v="17550"/>
    <n v="1512"/>
    <n v="1885"/>
    <n v="3353"/>
    <n v="0.13798353909465019"/>
    <s v="2025-05"/>
  </r>
  <r>
    <s v="ORD-00136"/>
    <x v="119"/>
    <x v="6"/>
    <x v="1"/>
    <x v="0"/>
    <x v="2"/>
    <n v="3"/>
    <n v="4500"/>
    <n v="0.08"/>
    <n v="13500"/>
    <n v="12420"/>
    <n v="8775"/>
    <n v="681"/>
    <n v="2348"/>
    <n v="616"/>
    <n v="4.959742351046699E-2"/>
    <s v="2025-06"/>
  </r>
  <r>
    <s v="ORD-00137"/>
    <x v="120"/>
    <x v="7"/>
    <x v="5"/>
    <x v="0"/>
    <x v="0"/>
    <n v="1"/>
    <n v="65000"/>
    <n v="0.08"/>
    <n v="65000"/>
    <n v="59800"/>
    <n v="54600"/>
    <n v="1138"/>
    <n v="1739"/>
    <n v="2323"/>
    <n v="3.8846153846153843E-2"/>
    <s v="2025-02"/>
  </r>
  <r>
    <s v="ORD-00138"/>
    <x v="121"/>
    <x v="1"/>
    <x v="0"/>
    <x v="0"/>
    <x v="0"/>
    <n v="4"/>
    <n v="3500"/>
    <n v="0.1"/>
    <n v="14000"/>
    <n v="12600"/>
    <n v="9520"/>
    <n v="1701"/>
    <n v="201"/>
    <n v="1178"/>
    <n v="9.3492063492063487E-2"/>
    <s v="2026-06"/>
  </r>
  <r>
    <s v="ORD-00139"/>
    <x v="122"/>
    <x v="7"/>
    <x v="3"/>
    <x v="2"/>
    <x v="0"/>
    <n v="1"/>
    <n v="65000"/>
    <n v="0.1"/>
    <n v="65000"/>
    <n v="58500"/>
    <n v="54600"/>
    <n v="1792"/>
    <n v="1620"/>
    <n v="488"/>
    <n v="8.3418803418803412E-3"/>
    <s v="2025-01"/>
  </r>
  <r>
    <s v="ORD-00140"/>
    <x v="123"/>
    <x v="0"/>
    <x v="5"/>
    <x v="2"/>
    <x v="0"/>
    <n v="1"/>
    <n v="32000"/>
    <n v="0.1"/>
    <n v="32000"/>
    <n v="28800"/>
    <n v="26240"/>
    <n v="1708"/>
    <n v="809"/>
    <n v="43"/>
    <n v="1.4930555555555561E-3"/>
    <s v="2025-07"/>
  </r>
  <r>
    <s v="ORD-00141"/>
    <x v="35"/>
    <x v="4"/>
    <x v="1"/>
    <x v="1"/>
    <x v="1"/>
    <n v="2"/>
    <n v="2500"/>
    <n v="0"/>
    <n v="5000"/>
    <n v="5000"/>
    <n v="3100"/>
    <n v="1761"/>
    <n v="146"/>
    <n v="-7"/>
    <n v="-1.4E-3"/>
    <s v="2025-10"/>
  </r>
  <r>
    <s v="ORD-00142"/>
    <x v="124"/>
    <x v="2"/>
    <x v="5"/>
    <x v="0"/>
    <x v="2"/>
    <n v="1"/>
    <n v="28000"/>
    <n v="0.05"/>
    <n v="28000"/>
    <n v="26600"/>
    <n v="21840"/>
    <n v="590"/>
    <n v="434"/>
    <n v="3736"/>
    <n v="0.14045112781954891"/>
    <s v="2026-06"/>
  </r>
  <r>
    <s v="ORD-00143"/>
    <x v="125"/>
    <x v="4"/>
    <x v="0"/>
    <x v="0"/>
    <x v="0"/>
    <n v="7"/>
    <n v="2500"/>
    <n v="0.1"/>
    <n v="17500"/>
    <n v="15750"/>
    <n v="10850"/>
    <n v="1446"/>
    <n v="1089"/>
    <n v="2365"/>
    <n v="0.15015873015873021"/>
    <s v="2026-01"/>
  </r>
  <r>
    <s v="ORD-00144"/>
    <x v="126"/>
    <x v="7"/>
    <x v="0"/>
    <x v="1"/>
    <x v="2"/>
    <n v="2"/>
    <n v="65000"/>
    <n v="0.08"/>
    <n v="130000"/>
    <n v="119600"/>
    <n v="109200"/>
    <n v="1194"/>
    <n v="2335"/>
    <n v="6871"/>
    <n v="5.7449832775919731E-2"/>
    <s v="2025-04"/>
  </r>
  <r>
    <s v="ORD-00145"/>
    <x v="127"/>
    <x v="0"/>
    <x v="1"/>
    <x v="1"/>
    <x v="2"/>
    <n v="3"/>
    <n v="32000"/>
    <n v="0"/>
    <n v="96000"/>
    <n v="96000"/>
    <n v="78720"/>
    <n v="1750"/>
    <n v="1472"/>
    <n v="14058"/>
    <n v="0.1464375"/>
    <s v="2026-02"/>
  </r>
  <r>
    <s v="ORD-00146"/>
    <x v="128"/>
    <x v="5"/>
    <x v="0"/>
    <x v="2"/>
    <x v="0"/>
    <n v="6"/>
    <n v="1500"/>
    <n v="0.05"/>
    <n v="9000"/>
    <n v="8550"/>
    <n v="4950"/>
    <n v="938"/>
    <n v="645"/>
    <n v="2017"/>
    <n v="0.23590643274853801"/>
    <s v="2026-02"/>
  </r>
  <r>
    <s v="ORD-00147"/>
    <x v="129"/>
    <x v="3"/>
    <x v="3"/>
    <x v="0"/>
    <x v="0"/>
    <n v="3"/>
    <n v="18000"/>
    <n v="0"/>
    <n v="54000"/>
    <n v="54000"/>
    <n v="43200"/>
    <n v="1013"/>
    <n v="128"/>
    <n v="9659"/>
    <n v="0.1788703703703704"/>
    <s v="2026-04"/>
  </r>
  <r>
    <s v="ORD-00148"/>
    <x v="130"/>
    <x v="3"/>
    <x v="2"/>
    <x v="1"/>
    <x v="2"/>
    <n v="3"/>
    <n v="18000"/>
    <n v="0.05"/>
    <n v="54000"/>
    <n v="51300"/>
    <n v="43200"/>
    <n v="1125"/>
    <n v="1020"/>
    <n v="5955"/>
    <n v="0.1160818713450292"/>
    <s v="2025-12"/>
  </r>
  <r>
    <s v="ORD-00149"/>
    <x v="131"/>
    <x v="4"/>
    <x v="5"/>
    <x v="0"/>
    <x v="1"/>
    <n v="5"/>
    <n v="2500"/>
    <n v="0.05"/>
    <n v="12500"/>
    <n v="11875"/>
    <n v="7750"/>
    <n v="523"/>
    <n v="245"/>
    <n v="3357"/>
    <n v="0.28269473684210528"/>
    <s v="2025-10"/>
  </r>
  <r>
    <s v="ORD-00150"/>
    <x v="132"/>
    <x v="0"/>
    <x v="0"/>
    <x v="2"/>
    <x v="0"/>
    <n v="1"/>
    <n v="32000"/>
    <n v="0"/>
    <n v="32000"/>
    <n v="32000"/>
    <n v="26240"/>
    <n v="1567"/>
    <n v="1063"/>
    <n v="3130"/>
    <n v="9.7812499999999997E-2"/>
    <s v="2025-05"/>
  </r>
  <r>
    <s v="ORD-00151"/>
    <x v="133"/>
    <x v="4"/>
    <x v="0"/>
    <x v="2"/>
    <x v="1"/>
    <n v="4"/>
    <n v="2500"/>
    <n v="0.05"/>
    <n v="10000"/>
    <n v="9500"/>
    <n v="6200"/>
    <n v="1663"/>
    <n v="1425"/>
    <n v="212"/>
    <n v="2.2315789473684209E-2"/>
    <s v="2025-12"/>
  </r>
  <r>
    <s v="ORD-00152"/>
    <x v="85"/>
    <x v="0"/>
    <x v="4"/>
    <x v="0"/>
    <x v="2"/>
    <n v="3"/>
    <n v="32000"/>
    <n v="0.05"/>
    <n v="96000"/>
    <n v="91200"/>
    <n v="78720"/>
    <n v="1798"/>
    <n v="1433"/>
    <n v="9249"/>
    <n v="0.1014144736842105"/>
    <s v="2025-08"/>
  </r>
  <r>
    <s v="ORD-00153"/>
    <x v="134"/>
    <x v="7"/>
    <x v="4"/>
    <x v="1"/>
    <x v="2"/>
    <n v="2"/>
    <n v="65000"/>
    <n v="0"/>
    <n v="130000"/>
    <n v="130000"/>
    <n v="109200"/>
    <n v="705"/>
    <n v="2406"/>
    <n v="17689"/>
    <n v="0.1360692307692308"/>
    <s v="2026-06"/>
  </r>
  <r>
    <s v="ORD-00154"/>
    <x v="135"/>
    <x v="7"/>
    <x v="0"/>
    <x v="1"/>
    <x v="0"/>
    <n v="3"/>
    <n v="65000"/>
    <n v="0.08"/>
    <n v="195000"/>
    <n v="179400"/>
    <n v="163800"/>
    <n v="1796"/>
    <n v="2014"/>
    <n v="11790"/>
    <n v="6.5719063545150502E-2"/>
    <s v="2026-05"/>
  </r>
  <r>
    <s v="ORD-00155"/>
    <x v="136"/>
    <x v="3"/>
    <x v="5"/>
    <x v="2"/>
    <x v="1"/>
    <n v="3"/>
    <n v="18000"/>
    <n v="0.1"/>
    <n v="54000"/>
    <n v="48600"/>
    <n v="43200"/>
    <n v="980"/>
    <n v="992"/>
    <n v="3428"/>
    <n v="7.0534979423868313E-2"/>
    <s v="2025-03"/>
  </r>
  <r>
    <s v="ORD-00156"/>
    <x v="137"/>
    <x v="4"/>
    <x v="5"/>
    <x v="0"/>
    <x v="1"/>
    <n v="1"/>
    <n v="2500"/>
    <n v="0.05"/>
    <n v="2500"/>
    <n v="2375"/>
    <n v="1550"/>
    <n v="834"/>
    <n v="1087"/>
    <n v="-1096"/>
    <n v="-0.46147368421052631"/>
    <s v="2026-06"/>
  </r>
  <r>
    <s v="ORD-00157"/>
    <x v="112"/>
    <x v="2"/>
    <x v="2"/>
    <x v="0"/>
    <x v="2"/>
    <n v="1"/>
    <n v="28000"/>
    <n v="0.05"/>
    <n v="28000"/>
    <n v="26600"/>
    <n v="21840"/>
    <n v="1760"/>
    <n v="1518"/>
    <n v="1482"/>
    <n v="5.5714285714285723E-2"/>
    <s v="2025-08"/>
  </r>
  <r>
    <s v="ORD-00158"/>
    <x v="107"/>
    <x v="1"/>
    <x v="4"/>
    <x v="0"/>
    <x v="0"/>
    <n v="2"/>
    <n v="3500"/>
    <n v="0.08"/>
    <n v="7000"/>
    <n v="6440"/>
    <n v="4760"/>
    <n v="236"/>
    <n v="1811"/>
    <n v="-367"/>
    <n v="-5.6987577639751548E-2"/>
    <s v="2025-04"/>
  </r>
  <r>
    <s v="ORD-00159"/>
    <x v="43"/>
    <x v="2"/>
    <x v="3"/>
    <x v="1"/>
    <x v="1"/>
    <n v="3"/>
    <n v="28000"/>
    <n v="0.05"/>
    <n v="84000"/>
    <n v="79800"/>
    <n v="65520"/>
    <n v="239"/>
    <n v="2096"/>
    <n v="11945"/>
    <n v="0.14968671679198001"/>
    <s v="2025-10"/>
  </r>
  <r>
    <s v="ORD-00160"/>
    <x v="81"/>
    <x v="5"/>
    <x v="4"/>
    <x v="1"/>
    <x v="0"/>
    <n v="1"/>
    <n v="1500"/>
    <n v="0.03"/>
    <n v="1500"/>
    <n v="1455"/>
    <n v="825.00000000000011"/>
    <n v="1015"/>
    <n v="1804"/>
    <n v="-2189"/>
    <n v="-1.50446735395189"/>
    <s v="2025-12"/>
  </r>
  <r>
    <s v="ORD-00161"/>
    <x v="138"/>
    <x v="0"/>
    <x v="1"/>
    <x v="0"/>
    <x v="2"/>
    <n v="3"/>
    <n v="32000"/>
    <n v="0.1"/>
    <n v="96000"/>
    <n v="86400"/>
    <n v="78720"/>
    <n v="206"/>
    <n v="2280"/>
    <n v="5194"/>
    <n v="6.011574074074074E-2"/>
    <s v="2025-01"/>
  </r>
  <r>
    <s v="ORD-00162"/>
    <x v="121"/>
    <x v="6"/>
    <x v="1"/>
    <x v="0"/>
    <x v="0"/>
    <n v="7"/>
    <n v="4500"/>
    <n v="0.03"/>
    <n v="31500"/>
    <n v="30555"/>
    <n v="20475"/>
    <n v="555"/>
    <n v="688"/>
    <n v="8837"/>
    <n v="0.28921616756668311"/>
    <s v="2026-06"/>
  </r>
  <r>
    <s v="ORD-00163"/>
    <x v="92"/>
    <x v="7"/>
    <x v="4"/>
    <x v="1"/>
    <x v="2"/>
    <n v="1"/>
    <n v="65000"/>
    <n v="0.08"/>
    <n v="65000"/>
    <n v="59800"/>
    <n v="54600"/>
    <n v="1446"/>
    <n v="799"/>
    <n v="2955"/>
    <n v="4.9414715719063543E-2"/>
    <s v="2026-03"/>
  </r>
  <r>
    <s v="ORD-00164"/>
    <x v="139"/>
    <x v="6"/>
    <x v="2"/>
    <x v="0"/>
    <x v="0"/>
    <n v="7"/>
    <n v="4500"/>
    <n v="0.08"/>
    <n v="31500"/>
    <n v="28980"/>
    <n v="20475"/>
    <n v="1447"/>
    <n v="1093"/>
    <n v="5965"/>
    <n v="0.20583160800552111"/>
    <s v="2026-02"/>
  </r>
  <r>
    <s v="ORD-00165"/>
    <x v="95"/>
    <x v="6"/>
    <x v="0"/>
    <x v="0"/>
    <x v="0"/>
    <n v="4"/>
    <n v="4500"/>
    <n v="0.03"/>
    <n v="18000"/>
    <n v="17460"/>
    <n v="11700"/>
    <n v="683"/>
    <n v="1365"/>
    <n v="3712"/>
    <n v="0.21260022909507439"/>
    <s v="2025-11"/>
  </r>
  <r>
    <s v="ORD-00166"/>
    <x v="140"/>
    <x v="7"/>
    <x v="0"/>
    <x v="2"/>
    <x v="1"/>
    <n v="2"/>
    <n v="65000"/>
    <n v="0.05"/>
    <n v="130000"/>
    <n v="123500"/>
    <n v="109200"/>
    <n v="221"/>
    <n v="573"/>
    <n v="13506"/>
    <n v="0.1093603238866397"/>
    <s v="2025-04"/>
  </r>
  <r>
    <s v="ORD-00167"/>
    <x v="141"/>
    <x v="0"/>
    <x v="2"/>
    <x v="0"/>
    <x v="2"/>
    <n v="1"/>
    <n v="32000"/>
    <n v="0.05"/>
    <n v="32000"/>
    <n v="30400"/>
    <n v="26240"/>
    <n v="962"/>
    <n v="1350"/>
    <n v="1848"/>
    <n v="6.0789473684210532E-2"/>
    <s v="2026-01"/>
  </r>
  <r>
    <s v="ORD-00168"/>
    <x v="142"/>
    <x v="6"/>
    <x v="1"/>
    <x v="0"/>
    <x v="1"/>
    <n v="7"/>
    <n v="4500"/>
    <n v="0.05"/>
    <n v="31500"/>
    <n v="29925"/>
    <n v="20475"/>
    <n v="1146"/>
    <n v="669"/>
    <n v="7635"/>
    <n v="0.25513784461152877"/>
    <s v="2026-06"/>
  </r>
  <r>
    <s v="ORD-00169"/>
    <x v="143"/>
    <x v="7"/>
    <x v="0"/>
    <x v="0"/>
    <x v="2"/>
    <n v="3"/>
    <n v="65000"/>
    <n v="0.05"/>
    <n v="195000"/>
    <n v="185250"/>
    <n v="163800"/>
    <n v="238"/>
    <n v="986"/>
    <n v="20226"/>
    <n v="0.1091821862348178"/>
    <s v="2025-06"/>
  </r>
  <r>
    <s v="ORD-00170"/>
    <x v="144"/>
    <x v="6"/>
    <x v="4"/>
    <x v="1"/>
    <x v="2"/>
    <n v="4"/>
    <n v="4500"/>
    <n v="0.08"/>
    <n v="18000"/>
    <n v="16560"/>
    <n v="11700"/>
    <n v="1762"/>
    <n v="1088"/>
    <n v="2010"/>
    <n v="0.1213768115942029"/>
    <s v="2025-01"/>
  </r>
  <r>
    <s v="ORD-00171"/>
    <x v="145"/>
    <x v="7"/>
    <x v="1"/>
    <x v="0"/>
    <x v="2"/>
    <n v="1"/>
    <n v="65000"/>
    <n v="0.2"/>
    <n v="65000"/>
    <n v="52000"/>
    <n v="54600"/>
    <n v="1480"/>
    <n v="669"/>
    <n v="-4749"/>
    <n v="-9.1326923076923083E-2"/>
    <s v="2026-06"/>
  </r>
  <r>
    <s v="ORD-00172"/>
    <x v="146"/>
    <x v="7"/>
    <x v="3"/>
    <x v="0"/>
    <x v="2"/>
    <n v="2"/>
    <n v="65000"/>
    <n v="0.15"/>
    <n v="130000"/>
    <n v="110500"/>
    <n v="109200"/>
    <n v="407"/>
    <n v="1707"/>
    <n v="-814"/>
    <n v="-7.3665158371040724E-3"/>
    <s v="2025-03"/>
  </r>
  <r>
    <s v="ORD-00173"/>
    <x v="147"/>
    <x v="3"/>
    <x v="0"/>
    <x v="1"/>
    <x v="2"/>
    <n v="3"/>
    <n v="18000"/>
    <n v="0.05"/>
    <n v="54000"/>
    <n v="51300"/>
    <n v="43200"/>
    <n v="1785"/>
    <n v="2135"/>
    <n v="4180"/>
    <n v="8.1481481481481488E-2"/>
    <s v="2025-07"/>
  </r>
  <r>
    <s v="ORD-00174"/>
    <x v="148"/>
    <x v="3"/>
    <x v="3"/>
    <x v="0"/>
    <x v="2"/>
    <n v="2"/>
    <n v="18000"/>
    <n v="0.08"/>
    <n v="36000"/>
    <n v="33120"/>
    <n v="28800"/>
    <n v="1781"/>
    <n v="626"/>
    <n v="1913"/>
    <n v="5.7759661835748793E-2"/>
    <s v="2025-06"/>
  </r>
  <r>
    <s v="ORD-00175"/>
    <x v="149"/>
    <x v="5"/>
    <x v="4"/>
    <x v="1"/>
    <x v="2"/>
    <n v="4"/>
    <n v="1500"/>
    <n v="0.05"/>
    <n v="6000"/>
    <n v="5700"/>
    <n v="3300"/>
    <n v="1216"/>
    <n v="1113"/>
    <n v="70.999999999999545"/>
    <n v="1.245614035087711E-2"/>
    <s v="2026-05"/>
  </r>
  <r>
    <s v="ORD-00176"/>
    <x v="150"/>
    <x v="3"/>
    <x v="1"/>
    <x v="0"/>
    <x v="0"/>
    <n v="1"/>
    <n v="18000"/>
    <n v="0"/>
    <n v="18000"/>
    <n v="18000"/>
    <n v="14400"/>
    <n v="473"/>
    <n v="2113"/>
    <n v="1014"/>
    <n v="5.6333333333333332E-2"/>
    <s v="2025-11"/>
  </r>
  <r>
    <s v="ORD-00177"/>
    <x v="151"/>
    <x v="3"/>
    <x v="5"/>
    <x v="0"/>
    <x v="0"/>
    <n v="3"/>
    <n v="18000"/>
    <n v="0.1"/>
    <n v="54000"/>
    <n v="48600"/>
    <n v="43200"/>
    <n v="1000"/>
    <n v="2143"/>
    <n v="2257"/>
    <n v="4.6440329218106993E-2"/>
    <s v="2025-04"/>
  </r>
  <r>
    <s v="ORD-00178"/>
    <x v="152"/>
    <x v="3"/>
    <x v="3"/>
    <x v="1"/>
    <x v="0"/>
    <n v="1"/>
    <n v="18000"/>
    <n v="0.03"/>
    <n v="18000"/>
    <n v="17460"/>
    <n v="14400"/>
    <n v="1088"/>
    <n v="1795"/>
    <n v="177"/>
    <n v="1.013745704467354E-2"/>
    <s v="2026-04"/>
  </r>
  <r>
    <s v="ORD-00179"/>
    <x v="153"/>
    <x v="2"/>
    <x v="1"/>
    <x v="0"/>
    <x v="2"/>
    <n v="2"/>
    <n v="28000"/>
    <n v="0.05"/>
    <n v="56000"/>
    <n v="53200"/>
    <n v="43680"/>
    <n v="201"/>
    <n v="2372"/>
    <n v="6947"/>
    <n v="0.1305827067669173"/>
    <s v="2025-04"/>
  </r>
  <r>
    <s v="ORD-00180"/>
    <x v="154"/>
    <x v="0"/>
    <x v="5"/>
    <x v="2"/>
    <x v="2"/>
    <n v="2"/>
    <n v="32000"/>
    <n v="0.08"/>
    <n v="64000"/>
    <n v="58880"/>
    <n v="52480"/>
    <n v="342"/>
    <n v="205"/>
    <n v="5853"/>
    <n v="9.9405570652173911E-2"/>
    <s v="2026-03"/>
  </r>
  <r>
    <s v="ORD-00181"/>
    <x v="155"/>
    <x v="4"/>
    <x v="5"/>
    <x v="1"/>
    <x v="1"/>
    <n v="6"/>
    <n v="2500"/>
    <n v="0.08"/>
    <n v="15000"/>
    <n v="13800"/>
    <n v="9300"/>
    <n v="1296"/>
    <n v="2370"/>
    <n v="834"/>
    <n v="6.0434782608695649E-2"/>
    <s v="2026-02"/>
  </r>
  <r>
    <s v="ORD-00182"/>
    <x v="156"/>
    <x v="2"/>
    <x v="0"/>
    <x v="2"/>
    <x v="0"/>
    <n v="2"/>
    <n v="28000"/>
    <n v="0.1"/>
    <n v="56000"/>
    <n v="50400"/>
    <n v="43680"/>
    <n v="310"/>
    <n v="350"/>
    <n v="6060"/>
    <n v="0.1202380952380952"/>
    <s v="2026-01"/>
  </r>
  <r>
    <s v="ORD-00183"/>
    <x v="157"/>
    <x v="2"/>
    <x v="0"/>
    <x v="1"/>
    <x v="0"/>
    <n v="2"/>
    <n v="28000"/>
    <n v="0.05"/>
    <n v="56000"/>
    <n v="53200"/>
    <n v="43680"/>
    <n v="714"/>
    <n v="908"/>
    <n v="7898"/>
    <n v="0.14845864661654129"/>
    <s v="2025-01"/>
  </r>
  <r>
    <s v="ORD-00184"/>
    <x v="158"/>
    <x v="5"/>
    <x v="3"/>
    <x v="0"/>
    <x v="2"/>
    <n v="5"/>
    <n v="1500"/>
    <n v="0.05"/>
    <n v="7500"/>
    <n v="7125"/>
    <n v="4125"/>
    <n v="1466"/>
    <n v="2269"/>
    <n v="-735"/>
    <n v="-0.1031578947368421"/>
    <s v="2025-05"/>
  </r>
  <r>
    <s v="ORD-00185"/>
    <x v="159"/>
    <x v="0"/>
    <x v="5"/>
    <x v="0"/>
    <x v="2"/>
    <n v="1"/>
    <n v="32000"/>
    <n v="0.08"/>
    <n v="32000"/>
    <n v="29440"/>
    <n v="26240"/>
    <n v="506"/>
    <n v="2089"/>
    <n v="605"/>
    <n v="2.0550271739130439E-2"/>
    <s v="2025-12"/>
  </r>
  <r>
    <s v="ORD-00186"/>
    <x v="160"/>
    <x v="4"/>
    <x v="5"/>
    <x v="2"/>
    <x v="0"/>
    <n v="3"/>
    <n v="2500"/>
    <n v="0.03"/>
    <n v="7500"/>
    <n v="7275"/>
    <n v="4650"/>
    <n v="1430"/>
    <n v="452"/>
    <n v="743"/>
    <n v="0.10213058419243989"/>
    <s v="2025-11"/>
  </r>
  <r>
    <s v="ORD-00187"/>
    <x v="161"/>
    <x v="1"/>
    <x v="2"/>
    <x v="1"/>
    <x v="0"/>
    <n v="4"/>
    <n v="3500"/>
    <n v="0.08"/>
    <n v="14000"/>
    <n v="12880"/>
    <n v="9520"/>
    <n v="931"/>
    <n v="1487"/>
    <n v="942"/>
    <n v="7.3136645962732921E-2"/>
    <s v="2026-01"/>
  </r>
  <r>
    <s v="ORD-00188"/>
    <x v="162"/>
    <x v="4"/>
    <x v="1"/>
    <x v="1"/>
    <x v="0"/>
    <n v="1"/>
    <n v="2500"/>
    <n v="0.05"/>
    <n v="2500"/>
    <n v="2375"/>
    <n v="1550"/>
    <n v="1340"/>
    <n v="1635"/>
    <n v="-2150"/>
    <n v="-0.90526315789473688"/>
    <s v="2025-12"/>
  </r>
  <r>
    <s v="ORD-00189"/>
    <x v="163"/>
    <x v="4"/>
    <x v="1"/>
    <x v="1"/>
    <x v="0"/>
    <n v="3"/>
    <n v="2500"/>
    <n v="0.05"/>
    <n v="7500"/>
    <n v="7125"/>
    <n v="4650"/>
    <n v="836"/>
    <n v="1391"/>
    <n v="248"/>
    <n v="3.4807017543859647E-2"/>
    <s v="2025-08"/>
  </r>
  <r>
    <s v="ORD-00190"/>
    <x v="164"/>
    <x v="4"/>
    <x v="2"/>
    <x v="0"/>
    <x v="0"/>
    <n v="2"/>
    <n v="2500"/>
    <n v="0.1"/>
    <n v="5000"/>
    <n v="4500"/>
    <n v="3100"/>
    <n v="951"/>
    <n v="577"/>
    <n v="-128"/>
    <n v="-2.8444444444444449E-2"/>
    <s v="2025-10"/>
  </r>
  <r>
    <s v="ORD-00191"/>
    <x v="165"/>
    <x v="1"/>
    <x v="2"/>
    <x v="0"/>
    <x v="0"/>
    <n v="5"/>
    <n v="3500"/>
    <n v="0"/>
    <n v="17500"/>
    <n v="17500"/>
    <n v="11900"/>
    <n v="752"/>
    <n v="2465"/>
    <n v="2383"/>
    <n v="0.13617142857142861"/>
    <s v="2026-05"/>
  </r>
  <r>
    <s v="ORD-00192"/>
    <x v="15"/>
    <x v="0"/>
    <x v="1"/>
    <x v="2"/>
    <x v="2"/>
    <n v="1"/>
    <n v="32000"/>
    <n v="0.08"/>
    <n v="32000"/>
    <n v="29440"/>
    <n v="26240"/>
    <n v="1037"/>
    <n v="2140"/>
    <n v="23"/>
    <n v="7.8125000000000004E-4"/>
    <s v="2025-01"/>
  </r>
  <r>
    <s v="ORD-00193"/>
    <x v="7"/>
    <x v="7"/>
    <x v="1"/>
    <x v="0"/>
    <x v="0"/>
    <n v="1"/>
    <n v="65000"/>
    <n v="0.03"/>
    <n v="65000"/>
    <n v="63050"/>
    <n v="54600"/>
    <n v="486"/>
    <n v="729"/>
    <n v="7235"/>
    <n v="0.1147501982553529"/>
    <s v="2025-09"/>
  </r>
  <r>
    <s v="ORD-00194"/>
    <x v="166"/>
    <x v="7"/>
    <x v="5"/>
    <x v="1"/>
    <x v="2"/>
    <n v="1"/>
    <n v="65000"/>
    <n v="0.05"/>
    <n v="65000"/>
    <n v="61750"/>
    <n v="54600"/>
    <n v="1171"/>
    <n v="2460"/>
    <n v="3519"/>
    <n v="5.6987854251012153E-2"/>
    <s v="2025-10"/>
  </r>
  <r>
    <s v="ORD-00195"/>
    <x v="167"/>
    <x v="5"/>
    <x v="3"/>
    <x v="0"/>
    <x v="2"/>
    <n v="5"/>
    <n v="1500"/>
    <n v="0.1"/>
    <n v="7500"/>
    <n v="6750"/>
    <n v="4125"/>
    <n v="1779"/>
    <n v="1947"/>
    <n v="-1101"/>
    <n v="-0.1631111111111111"/>
    <s v="2025-06"/>
  </r>
  <r>
    <s v="ORD-00196"/>
    <x v="168"/>
    <x v="2"/>
    <x v="1"/>
    <x v="0"/>
    <x v="2"/>
    <n v="2"/>
    <n v="28000"/>
    <n v="0"/>
    <n v="56000"/>
    <n v="56000"/>
    <n v="43680"/>
    <n v="710"/>
    <n v="1416"/>
    <n v="10194"/>
    <n v="0.1820357142857143"/>
    <s v="2025-01"/>
  </r>
  <r>
    <s v="ORD-00197"/>
    <x v="169"/>
    <x v="6"/>
    <x v="2"/>
    <x v="0"/>
    <x v="1"/>
    <n v="5"/>
    <n v="4500"/>
    <n v="0.15"/>
    <n v="22500"/>
    <n v="19125"/>
    <n v="14625"/>
    <n v="1036"/>
    <n v="1284"/>
    <n v="2180"/>
    <n v="0.1139869281045752"/>
    <s v="2025-07"/>
  </r>
  <r>
    <s v="ORD-00198"/>
    <x v="54"/>
    <x v="3"/>
    <x v="0"/>
    <x v="0"/>
    <x v="0"/>
    <n v="3"/>
    <n v="18000"/>
    <n v="0"/>
    <n v="54000"/>
    <n v="54000"/>
    <n v="43200"/>
    <n v="416"/>
    <n v="1308"/>
    <n v="9076"/>
    <n v="0.1680740740740741"/>
    <s v="2025-02"/>
  </r>
  <r>
    <s v="ORD-00199"/>
    <x v="170"/>
    <x v="5"/>
    <x v="1"/>
    <x v="0"/>
    <x v="0"/>
    <n v="7"/>
    <n v="1500"/>
    <n v="0"/>
    <n v="10500"/>
    <n v="10500"/>
    <n v="5775.0000000000009"/>
    <n v="507"/>
    <n v="1459"/>
    <n v="2758.9999999999991"/>
    <n v="0.2627619047619047"/>
    <s v="2026-01"/>
  </r>
  <r>
    <s v="ORD-00200"/>
    <x v="171"/>
    <x v="1"/>
    <x v="1"/>
    <x v="0"/>
    <x v="2"/>
    <n v="6"/>
    <n v="3500"/>
    <n v="0.15"/>
    <n v="21000"/>
    <n v="17850"/>
    <n v="14280"/>
    <n v="285"/>
    <n v="1298"/>
    <n v="1986.999999999998"/>
    <n v="0.1113165266106442"/>
    <s v="2025-07"/>
  </r>
  <r>
    <s v="ORD-00201"/>
    <x v="172"/>
    <x v="2"/>
    <x v="3"/>
    <x v="2"/>
    <x v="0"/>
    <n v="1"/>
    <n v="28000"/>
    <n v="0.1"/>
    <n v="28000"/>
    <n v="25200"/>
    <n v="21840"/>
    <n v="502"/>
    <n v="687"/>
    <n v="2171"/>
    <n v="8.6150793650793644E-2"/>
    <s v="2025-12"/>
  </r>
  <r>
    <s v="ORD-00202"/>
    <x v="34"/>
    <x v="0"/>
    <x v="5"/>
    <x v="2"/>
    <x v="0"/>
    <n v="2"/>
    <n v="32000"/>
    <n v="0.05"/>
    <n v="64000"/>
    <n v="60800"/>
    <n v="52480"/>
    <n v="1292"/>
    <n v="1109"/>
    <n v="5919"/>
    <n v="9.735197368421053E-2"/>
    <s v="2025-06"/>
  </r>
  <r>
    <s v="ORD-00203"/>
    <x v="141"/>
    <x v="1"/>
    <x v="3"/>
    <x v="0"/>
    <x v="0"/>
    <n v="5"/>
    <n v="3500"/>
    <n v="0.05"/>
    <n v="17500"/>
    <n v="16625"/>
    <n v="11900"/>
    <n v="1170"/>
    <n v="1447"/>
    <n v="2108"/>
    <n v="0.12679699248120299"/>
    <s v="2026-01"/>
  </r>
  <r>
    <s v="ORD-00204"/>
    <x v="173"/>
    <x v="6"/>
    <x v="0"/>
    <x v="0"/>
    <x v="2"/>
    <n v="2"/>
    <n v="4500"/>
    <n v="0.1"/>
    <n v="9000"/>
    <n v="8100"/>
    <n v="5850"/>
    <n v="1200"/>
    <n v="950"/>
    <n v="100"/>
    <n v="1.234567901234568E-2"/>
    <s v="2025-12"/>
  </r>
  <r>
    <s v="ORD-00205"/>
    <x v="174"/>
    <x v="0"/>
    <x v="4"/>
    <x v="0"/>
    <x v="0"/>
    <n v="1"/>
    <n v="32000"/>
    <n v="0.05"/>
    <n v="32000"/>
    <n v="30400"/>
    <n v="26240"/>
    <n v="1288"/>
    <n v="810"/>
    <n v="2062"/>
    <n v="6.7828947368421058E-2"/>
    <s v="2025-05"/>
  </r>
  <r>
    <s v="ORD-00206"/>
    <x v="151"/>
    <x v="7"/>
    <x v="1"/>
    <x v="1"/>
    <x v="2"/>
    <n v="1"/>
    <n v="65000"/>
    <n v="0.08"/>
    <n v="65000"/>
    <n v="59800"/>
    <n v="54600"/>
    <n v="490"/>
    <n v="2063"/>
    <n v="2647"/>
    <n v="4.4264214046822743E-2"/>
    <s v="2025-04"/>
  </r>
  <r>
    <s v="ORD-00207"/>
    <x v="175"/>
    <x v="6"/>
    <x v="1"/>
    <x v="0"/>
    <x v="2"/>
    <n v="2"/>
    <n v="4500"/>
    <n v="0.1"/>
    <n v="9000"/>
    <n v="8100"/>
    <n v="5850"/>
    <n v="1226"/>
    <n v="2232"/>
    <n v="-1208"/>
    <n v="-0.1491358024691358"/>
    <s v="2025-11"/>
  </r>
  <r>
    <s v="ORD-00208"/>
    <x v="176"/>
    <x v="2"/>
    <x v="3"/>
    <x v="1"/>
    <x v="0"/>
    <n v="1"/>
    <n v="28000"/>
    <n v="0.05"/>
    <n v="28000"/>
    <n v="26600"/>
    <n v="21840"/>
    <n v="503"/>
    <n v="1863"/>
    <n v="2394"/>
    <n v="0.09"/>
    <s v="2025-02"/>
  </r>
  <r>
    <s v="ORD-00209"/>
    <x v="177"/>
    <x v="4"/>
    <x v="4"/>
    <x v="2"/>
    <x v="2"/>
    <n v="5"/>
    <n v="2500"/>
    <n v="0.1"/>
    <n v="12500"/>
    <n v="11250"/>
    <n v="7750"/>
    <n v="818"/>
    <n v="1114"/>
    <n v="1568"/>
    <n v="0.13937777777777779"/>
    <s v="2025-12"/>
  </r>
  <r>
    <s v="ORD-00210"/>
    <x v="178"/>
    <x v="4"/>
    <x v="0"/>
    <x v="0"/>
    <x v="0"/>
    <n v="3"/>
    <n v="2500"/>
    <n v="0"/>
    <n v="7500"/>
    <n v="7500"/>
    <n v="4650"/>
    <n v="988"/>
    <n v="240"/>
    <n v="1622"/>
    <n v="0.21626666666666669"/>
    <s v="2026-04"/>
  </r>
  <r>
    <s v="ORD-00211"/>
    <x v="167"/>
    <x v="3"/>
    <x v="0"/>
    <x v="1"/>
    <x v="2"/>
    <n v="1"/>
    <n v="18000"/>
    <n v="0.05"/>
    <n v="18000"/>
    <n v="17100"/>
    <n v="14400"/>
    <n v="1762"/>
    <n v="1792"/>
    <n v="-854"/>
    <n v="-4.9941520467836259E-2"/>
    <s v="2025-06"/>
  </r>
  <r>
    <s v="ORD-00212"/>
    <x v="172"/>
    <x v="6"/>
    <x v="3"/>
    <x v="0"/>
    <x v="0"/>
    <n v="2"/>
    <n v="4500"/>
    <n v="0.05"/>
    <n v="9000"/>
    <n v="8550"/>
    <n v="5850"/>
    <n v="788"/>
    <n v="2237"/>
    <n v="-325"/>
    <n v="-3.8011695906432753E-2"/>
    <s v="2025-12"/>
  </r>
  <r>
    <s v="ORD-00213"/>
    <x v="13"/>
    <x v="2"/>
    <x v="1"/>
    <x v="0"/>
    <x v="1"/>
    <n v="3"/>
    <n v="28000"/>
    <n v="0.08"/>
    <n v="84000"/>
    <n v="77280"/>
    <n v="65520"/>
    <n v="1158"/>
    <n v="2459"/>
    <n v="8143"/>
    <n v="0.105370082815735"/>
    <s v="2025-08"/>
  </r>
  <r>
    <s v="ORD-00214"/>
    <x v="179"/>
    <x v="5"/>
    <x v="4"/>
    <x v="1"/>
    <x v="1"/>
    <n v="4"/>
    <n v="1500"/>
    <n v="0"/>
    <n v="6000"/>
    <n v="6000"/>
    <n v="3300"/>
    <n v="1608"/>
    <n v="1295"/>
    <n v="-203.00000000000051"/>
    <n v="-3.383333333333341E-2"/>
    <s v="2026-01"/>
  </r>
  <r>
    <s v="ORD-00215"/>
    <x v="180"/>
    <x v="0"/>
    <x v="5"/>
    <x v="1"/>
    <x v="2"/>
    <n v="2"/>
    <n v="32000"/>
    <n v="0.1"/>
    <n v="64000"/>
    <n v="57600"/>
    <n v="52480"/>
    <n v="925"/>
    <n v="1343"/>
    <n v="2852"/>
    <n v="4.9513888888888892E-2"/>
    <s v="2025-01"/>
  </r>
  <r>
    <s v="ORD-00216"/>
    <x v="181"/>
    <x v="7"/>
    <x v="1"/>
    <x v="0"/>
    <x v="2"/>
    <n v="1"/>
    <n v="65000"/>
    <n v="0.15"/>
    <n v="65000"/>
    <n v="55250"/>
    <n v="54600"/>
    <n v="351"/>
    <n v="819"/>
    <n v="-520"/>
    <n v="-9.4117647058823521E-3"/>
    <s v="2025-02"/>
  </r>
  <r>
    <s v="ORD-00217"/>
    <x v="182"/>
    <x v="3"/>
    <x v="1"/>
    <x v="0"/>
    <x v="2"/>
    <n v="3"/>
    <n v="18000"/>
    <n v="0.15"/>
    <n v="54000"/>
    <n v="45900"/>
    <n v="43200"/>
    <n v="1390"/>
    <n v="245"/>
    <n v="1065"/>
    <n v="2.3202614379084972E-2"/>
    <s v="2026-03"/>
  </r>
  <r>
    <s v="ORD-00218"/>
    <x v="183"/>
    <x v="5"/>
    <x v="4"/>
    <x v="1"/>
    <x v="0"/>
    <n v="2"/>
    <n v="1500"/>
    <n v="0.05"/>
    <n v="3000"/>
    <n v="2850"/>
    <n v="1650"/>
    <n v="860"/>
    <n v="761"/>
    <n v="-421.00000000000023"/>
    <n v="-0.14771929824561411"/>
    <s v="2026-03"/>
  </r>
  <r>
    <s v="ORD-00219"/>
    <x v="184"/>
    <x v="3"/>
    <x v="5"/>
    <x v="0"/>
    <x v="1"/>
    <n v="3"/>
    <n v="18000"/>
    <n v="0.03"/>
    <n v="54000"/>
    <n v="52380"/>
    <n v="43200"/>
    <n v="789"/>
    <n v="1200"/>
    <n v="7191"/>
    <n v="0.13728522336769761"/>
    <s v="2026-05"/>
  </r>
  <r>
    <s v="ORD-00220"/>
    <x v="185"/>
    <x v="4"/>
    <x v="2"/>
    <x v="2"/>
    <x v="0"/>
    <n v="7"/>
    <n v="2500"/>
    <n v="0.1"/>
    <n v="17500"/>
    <n v="15750"/>
    <n v="10850"/>
    <n v="1777"/>
    <n v="1098"/>
    <n v="2025"/>
    <n v="0.12857142857142859"/>
    <s v="2025-10"/>
  </r>
  <r>
    <s v="ORD-00221"/>
    <x v="14"/>
    <x v="6"/>
    <x v="4"/>
    <x v="2"/>
    <x v="2"/>
    <n v="2"/>
    <n v="4500"/>
    <n v="0.15"/>
    <n v="9000"/>
    <n v="7650"/>
    <n v="5850"/>
    <n v="820"/>
    <n v="1105"/>
    <n v="-125"/>
    <n v="-1.6339869281045749E-2"/>
    <s v="2025-02"/>
  </r>
  <r>
    <s v="ORD-00222"/>
    <x v="134"/>
    <x v="3"/>
    <x v="2"/>
    <x v="0"/>
    <x v="0"/>
    <n v="1"/>
    <n v="18000"/>
    <n v="0.03"/>
    <n v="18000"/>
    <n v="17460"/>
    <n v="14400"/>
    <n v="624"/>
    <n v="807"/>
    <n v="1629"/>
    <n v="9.329896907216495E-2"/>
    <s v="2026-06"/>
  </r>
  <r>
    <s v="ORD-00223"/>
    <x v="87"/>
    <x v="6"/>
    <x v="3"/>
    <x v="1"/>
    <x v="1"/>
    <n v="2"/>
    <n v="4500"/>
    <n v="0.08"/>
    <n v="9000"/>
    <n v="8280"/>
    <n v="5850"/>
    <n v="580"/>
    <n v="157"/>
    <n v="1693"/>
    <n v="0.2044685990338164"/>
    <s v="2025-09"/>
  </r>
  <r>
    <s v="ORD-00224"/>
    <x v="153"/>
    <x v="2"/>
    <x v="3"/>
    <x v="1"/>
    <x v="1"/>
    <n v="2"/>
    <n v="28000"/>
    <n v="0.08"/>
    <n v="56000"/>
    <n v="51520"/>
    <n v="43680"/>
    <n v="553"/>
    <n v="1594"/>
    <n v="5693"/>
    <n v="0.1105007763975155"/>
    <s v="2025-04"/>
  </r>
  <r>
    <s v="ORD-00225"/>
    <x v="26"/>
    <x v="1"/>
    <x v="1"/>
    <x v="0"/>
    <x v="0"/>
    <n v="5"/>
    <n v="3500"/>
    <n v="0.1"/>
    <n v="17500"/>
    <n v="15750"/>
    <n v="11900"/>
    <n v="1216"/>
    <n v="410"/>
    <n v="2224"/>
    <n v="0.1412063492063492"/>
    <s v="2025-07"/>
  </r>
  <r>
    <s v="ORD-00226"/>
    <x v="186"/>
    <x v="3"/>
    <x v="4"/>
    <x v="0"/>
    <x v="1"/>
    <n v="1"/>
    <n v="18000"/>
    <n v="0.05"/>
    <n v="18000"/>
    <n v="17100"/>
    <n v="14400"/>
    <n v="1179"/>
    <n v="1779"/>
    <n v="-258"/>
    <n v="-1.508771929824561E-2"/>
    <s v="2026-06"/>
  </r>
  <r>
    <s v="ORD-00227"/>
    <x v="187"/>
    <x v="6"/>
    <x v="5"/>
    <x v="1"/>
    <x v="2"/>
    <n v="5"/>
    <n v="4500"/>
    <n v="0.1"/>
    <n v="22500"/>
    <n v="20250"/>
    <n v="14625"/>
    <n v="1471"/>
    <n v="463"/>
    <n v="3691"/>
    <n v="0.1822716049382716"/>
    <s v="2025-11"/>
  </r>
  <r>
    <s v="ORD-00228"/>
    <x v="97"/>
    <x v="6"/>
    <x v="3"/>
    <x v="0"/>
    <x v="2"/>
    <n v="2"/>
    <n v="4500"/>
    <n v="0.1"/>
    <n v="9000"/>
    <n v="8100"/>
    <n v="5850"/>
    <n v="999"/>
    <n v="1284"/>
    <n v="-33"/>
    <n v="-4.0740740740740737E-3"/>
    <s v="2026-04"/>
  </r>
  <r>
    <s v="ORD-00229"/>
    <x v="60"/>
    <x v="5"/>
    <x v="4"/>
    <x v="0"/>
    <x v="2"/>
    <n v="1"/>
    <n v="1500"/>
    <n v="0.03"/>
    <n v="1500"/>
    <n v="1455"/>
    <n v="825.00000000000011"/>
    <n v="948"/>
    <n v="1701"/>
    <n v="-2019"/>
    <n v="-1.387628865979381"/>
    <s v="2025-12"/>
  </r>
  <r>
    <s v="ORD-00230"/>
    <x v="188"/>
    <x v="7"/>
    <x v="1"/>
    <x v="1"/>
    <x v="1"/>
    <n v="3"/>
    <n v="65000"/>
    <n v="0.1"/>
    <n v="195000"/>
    <n v="175500"/>
    <n v="163800"/>
    <n v="1630"/>
    <n v="1789"/>
    <n v="8281"/>
    <n v="4.7185185185185177E-2"/>
    <s v="2025-07"/>
  </r>
  <r>
    <s v="ORD-00231"/>
    <x v="135"/>
    <x v="4"/>
    <x v="2"/>
    <x v="2"/>
    <x v="2"/>
    <n v="7"/>
    <n v="2500"/>
    <n v="0.2"/>
    <n v="17500"/>
    <n v="14000"/>
    <n v="10850"/>
    <n v="1324"/>
    <n v="343"/>
    <n v="1483"/>
    <n v="0.1059285714285714"/>
    <s v="2026-05"/>
  </r>
  <r>
    <s v="ORD-00232"/>
    <x v="189"/>
    <x v="2"/>
    <x v="3"/>
    <x v="0"/>
    <x v="2"/>
    <n v="1"/>
    <n v="28000"/>
    <n v="0.05"/>
    <n v="28000"/>
    <n v="26600"/>
    <n v="21840"/>
    <n v="1439"/>
    <n v="1793"/>
    <n v="1528"/>
    <n v="5.7443609022556387E-2"/>
    <s v="2026-04"/>
  </r>
  <r>
    <s v="ORD-00233"/>
    <x v="190"/>
    <x v="6"/>
    <x v="3"/>
    <x v="2"/>
    <x v="0"/>
    <n v="1"/>
    <n v="4500"/>
    <n v="0.05"/>
    <n v="4500"/>
    <n v="4275"/>
    <n v="2925"/>
    <n v="777"/>
    <n v="229"/>
    <n v="344"/>
    <n v="8.0467836257309938E-2"/>
    <s v="2026-04"/>
  </r>
  <r>
    <s v="ORD-00234"/>
    <x v="191"/>
    <x v="7"/>
    <x v="3"/>
    <x v="0"/>
    <x v="1"/>
    <n v="2"/>
    <n v="65000"/>
    <n v="0"/>
    <n v="130000"/>
    <n v="130000"/>
    <n v="109200"/>
    <n v="1021"/>
    <n v="1412"/>
    <n v="18367"/>
    <n v="0.1412846153846154"/>
    <s v="2025-06"/>
  </r>
  <r>
    <s v="ORD-00235"/>
    <x v="192"/>
    <x v="6"/>
    <x v="4"/>
    <x v="0"/>
    <x v="2"/>
    <n v="5"/>
    <n v="4500"/>
    <n v="0.05"/>
    <n v="22500"/>
    <n v="21375"/>
    <n v="14625"/>
    <n v="682"/>
    <n v="2060"/>
    <n v="4008"/>
    <n v="0.1875087719298246"/>
    <s v="2025-01"/>
  </r>
  <r>
    <s v="ORD-00236"/>
    <x v="122"/>
    <x v="2"/>
    <x v="2"/>
    <x v="0"/>
    <x v="0"/>
    <n v="1"/>
    <n v="28000"/>
    <n v="0.03"/>
    <n v="28000"/>
    <n v="27160"/>
    <n v="21840"/>
    <n v="1396"/>
    <n v="2079"/>
    <n v="1845"/>
    <n v="6.7930780559646534E-2"/>
    <s v="2025-01"/>
  </r>
  <r>
    <s v="ORD-00237"/>
    <x v="176"/>
    <x v="2"/>
    <x v="3"/>
    <x v="1"/>
    <x v="2"/>
    <n v="1"/>
    <n v="28000"/>
    <n v="0"/>
    <n v="28000"/>
    <n v="28000"/>
    <n v="21840"/>
    <n v="589"/>
    <n v="1984"/>
    <n v="3587"/>
    <n v="0.12810714285714289"/>
    <s v="2025-02"/>
  </r>
  <r>
    <s v="ORD-00238"/>
    <x v="161"/>
    <x v="0"/>
    <x v="0"/>
    <x v="1"/>
    <x v="0"/>
    <n v="3"/>
    <n v="32000"/>
    <n v="0.08"/>
    <n v="96000"/>
    <n v="88320"/>
    <n v="78720"/>
    <n v="977"/>
    <n v="2492"/>
    <n v="6131"/>
    <n v="6.9418025362318836E-2"/>
    <s v="2026-01"/>
  </r>
  <r>
    <s v="ORD-00239"/>
    <x v="193"/>
    <x v="0"/>
    <x v="2"/>
    <x v="0"/>
    <x v="2"/>
    <n v="1"/>
    <n v="32000"/>
    <n v="0.05"/>
    <n v="32000"/>
    <n v="30400"/>
    <n v="26240"/>
    <n v="1322"/>
    <n v="248"/>
    <n v="2590"/>
    <n v="8.5197368421052633E-2"/>
    <s v="2025-11"/>
  </r>
  <r>
    <s v="ORD-00240"/>
    <x v="130"/>
    <x v="3"/>
    <x v="2"/>
    <x v="0"/>
    <x v="0"/>
    <n v="1"/>
    <n v="18000"/>
    <n v="0.08"/>
    <n v="18000"/>
    <n v="16560"/>
    <n v="14400"/>
    <n v="1775"/>
    <n v="2248"/>
    <n v="-1863"/>
    <n v="-0.1125"/>
    <s v="2025-12"/>
  </r>
  <r>
    <s v="ORD-00241"/>
    <x v="194"/>
    <x v="5"/>
    <x v="0"/>
    <x v="0"/>
    <x v="0"/>
    <n v="6"/>
    <n v="1500"/>
    <n v="0.05"/>
    <n v="9000"/>
    <n v="8550"/>
    <n v="4950"/>
    <n v="1286"/>
    <n v="1608"/>
    <n v="706"/>
    <n v="8.2573099415204673E-2"/>
    <s v="2026-04"/>
  </r>
  <r>
    <s v="ORD-00242"/>
    <x v="195"/>
    <x v="1"/>
    <x v="3"/>
    <x v="0"/>
    <x v="2"/>
    <n v="5"/>
    <n v="3500"/>
    <n v="0.1"/>
    <n v="17500"/>
    <n v="15750"/>
    <n v="11900"/>
    <n v="709"/>
    <n v="1306"/>
    <n v="1835"/>
    <n v="0.1165079365079365"/>
    <s v="2026-01"/>
  </r>
  <r>
    <s v="ORD-00243"/>
    <x v="196"/>
    <x v="0"/>
    <x v="4"/>
    <x v="0"/>
    <x v="2"/>
    <n v="1"/>
    <n v="32000"/>
    <n v="0.1"/>
    <n v="32000"/>
    <n v="28800"/>
    <n v="26240"/>
    <n v="1646"/>
    <n v="1000"/>
    <n v="-86"/>
    <n v="-2.9861111111111108E-3"/>
    <s v="2025-03"/>
  </r>
  <r>
    <s v="ORD-00244"/>
    <x v="191"/>
    <x v="1"/>
    <x v="5"/>
    <x v="0"/>
    <x v="0"/>
    <n v="5"/>
    <n v="3500"/>
    <n v="0.1"/>
    <n v="17500"/>
    <n v="15750"/>
    <n v="11900"/>
    <n v="372"/>
    <n v="771"/>
    <n v="2707"/>
    <n v="0.1718730158730159"/>
    <s v="2025-06"/>
  </r>
  <r>
    <s v="ORD-00245"/>
    <x v="197"/>
    <x v="0"/>
    <x v="2"/>
    <x v="2"/>
    <x v="2"/>
    <n v="1"/>
    <n v="32000"/>
    <n v="0.1"/>
    <n v="32000"/>
    <n v="28800"/>
    <n v="26240"/>
    <n v="382"/>
    <n v="728"/>
    <n v="1450"/>
    <n v="5.0347222222222217E-2"/>
    <s v="2026-05"/>
  </r>
  <r>
    <s v="ORD-00246"/>
    <x v="198"/>
    <x v="2"/>
    <x v="1"/>
    <x v="1"/>
    <x v="1"/>
    <n v="3"/>
    <n v="28000"/>
    <n v="0.05"/>
    <n v="84000"/>
    <n v="79800"/>
    <n v="65520"/>
    <n v="1659"/>
    <n v="2048"/>
    <n v="10573"/>
    <n v="0.13249373433583961"/>
    <s v="2026-02"/>
  </r>
  <r>
    <s v="ORD-00247"/>
    <x v="20"/>
    <x v="7"/>
    <x v="2"/>
    <x v="0"/>
    <x v="2"/>
    <n v="1"/>
    <n v="65000"/>
    <n v="0.08"/>
    <n v="65000"/>
    <n v="59800"/>
    <n v="54600"/>
    <n v="624"/>
    <n v="2276"/>
    <n v="2300"/>
    <n v="3.8461538461538457E-2"/>
    <s v="2025-05"/>
  </r>
  <r>
    <s v="ORD-00248"/>
    <x v="166"/>
    <x v="2"/>
    <x v="0"/>
    <x v="0"/>
    <x v="2"/>
    <n v="2"/>
    <n v="28000"/>
    <n v="0.03"/>
    <n v="56000"/>
    <n v="54320"/>
    <n v="43680"/>
    <n v="431"/>
    <n v="888"/>
    <n v="9321"/>
    <n v="0.17159425625920471"/>
    <s v="2025-10"/>
  </r>
  <r>
    <s v="ORD-00249"/>
    <x v="199"/>
    <x v="6"/>
    <x v="0"/>
    <x v="0"/>
    <x v="1"/>
    <n v="1"/>
    <n v="4500"/>
    <n v="0.08"/>
    <n v="4500"/>
    <n v="4140"/>
    <n v="2925"/>
    <n v="1155"/>
    <n v="955"/>
    <n v="-895"/>
    <n v="-0.21618357487922699"/>
    <s v="2025-06"/>
  </r>
  <r>
    <s v="ORD-00250"/>
    <x v="176"/>
    <x v="0"/>
    <x v="5"/>
    <x v="0"/>
    <x v="2"/>
    <n v="1"/>
    <n v="32000"/>
    <n v="0"/>
    <n v="32000"/>
    <n v="32000"/>
    <n v="26240"/>
    <n v="1423"/>
    <n v="186"/>
    <n v="4151"/>
    <n v="0.12971874999999999"/>
    <s v="2025-02"/>
  </r>
  <r>
    <s v="ORD-00251"/>
    <x v="200"/>
    <x v="3"/>
    <x v="2"/>
    <x v="0"/>
    <x v="0"/>
    <n v="1"/>
    <n v="18000"/>
    <n v="0.2"/>
    <n v="18000"/>
    <n v="14400"/>
    <n v="14400"/>
    <n v="476"/>
    <n v="331"/>
    <n v="-807"/>
    <n v="-5.6041666666666663E-2"/>
    <s v="2026-01"/>
  </r>
  <r>
    <s v="ORD-00252"/>
    <x v="201"/>
    <x v="0"/>
    <x v="3"/>
    <x v="1"/>
    <x v="2"/>
    <n v="3"/>
    <n v="32000"/>
    <n v="0.03"/>
    <n v="96000"/>
    <n v="93120"/>
    <n v="78720"/>
    <n v="1714"/>
    <n v="1384"/>
    <n v="11302"/>
    <n v="0.1213702749140893"/>
    <s v="2025-12"/>
  </r>
  <r>
    <s v="ORD-00253"/>
    <x v="202"/>
    <x v="6"/>
    <x v="5"/>
    <x v="2"/>
    <x v="0"/>
    <n v="7"/>
    <n v="4500"/>
    <n v="0"/>
    <n v="31500"/>
    <n v="31500"/>
    <n v="20475"/>
    <n v="1443"/>
    <n v="1346"/>
    <n v="8236"/>
    <n v="0.26146031746031739"/>
    <s v="2025-12"/>
  </r>
  <r>
    <s v="ORD-00254"/>
    <x v="203"/>
    <x v="4"/>
    <x v="5"/>
    <x v="1"/>
    <x v="2"/>
    <n v="1"/>
    <n v="2500"/>
    <n v="0.03"/>
    <n v="2500"/>
    <n v="2425"/>
    <n v="1550"/>
    <n v="1035"/>
    <n v="1713"/>
    <n v="-1873"/>
    <n v="-0.77237113402061852"/>
    <s v="2025-06"/>
  </r>
  <r>
    <s v="ORD-00255"/>
    <x v="204"/>
    <x v="2"/>
    <x v="1"/>
    <x v="1"/>
    <x v="0"/>
    <n v="2"/>
    <n v="28000"/>
    <n v="0.1"/>
    <n v="56000"/>
    <n v="50400"/>
    <n v="43680"/>
    <n v="851"/>
    <n v="1982"/>
    <n v="3887"/>
    <n v="7.7123015873015871E-2"/>
    <s v="2026-05"/>
  </r>
  <r>
    <s v="ORD-00256"/>
    <x v="91"/>
    <x v="0"/>
    <x v="5"/>
    <x v="0"/>
    <x v="2"/>
    <n v="2"/>
    <n v="32000"/>
    <n v="0"/>
    <n v="64000"/>
    <n v="64000"/>
    <n v="52480"/>
    <n v="982"/>
    <n v="2420"/>
    <n v="8118"/>
    <n v="0.12684375000000001"/>
    <s v="2026-02"/>
  </r>
  <r>
    <s v="ORD-00257"/>
    <x v="32"/>
    <x v="5"/>
    <x v="0"/>
    <x v="2"/>
    <x v="0"/>
    <n v="2"/>
    <n v="1500"/>
    <n v="0.08"/>
    <n v="3000"/>
    <n v="2760"/>
    <n v="1650"/>
    <n v="989"/>
    <n v="2103"/>
    <n v="-1982"/>
    <n v="-0.71811594202898554"/>
    <s v="2025-06"/>
  </r>
  <r>
    <s v="ORD-00258"/>
    <x v="205"/>
    <x v="4"/>
    <x v="1"/>
    <x v="1"/>
    <x v="2"/>
    <n v="2"/>
    <n v="2500"/>
    <n v="0.1"/>
    <n v="5000"/>
    <n v="4500"/>
    <n v="3100"/>
    <n v="238"/>
    <n v="879"/>
    <n v="283"/>
    <n v="6.2888888888888883E-2"/>
    <s v="2025-08"/>
  </r>
  <r>
    <s v="ORD-00259"/>
    <x v="206"/>
    <x v="6"/>
    <x v="0"/>
    <x v="0"/>
    <x v="0"/>
    <n v="6"/>
    <n v="4500"/>
    <n v="0.1"/>
    <n v="27000"/>
    <n v="24300"/>
    <n v="17550"/>
    <n v="846"/>
    <n v="762"/>
    <n v="5142"/>
    <n v="0.2116049382716049"/>
    <s v="2025-08"/>
  </r>
  <r>
    <s v="ORD-00260"/>
    <x v="137"/>
    <x v="7"/>
    <x v="4"/>
    <x v="1"/>
    <x v="0"/>
    <n v="2"/>
    <n v="65000"/>
    <n v="0.08"/>
    <n v="130000"/>
    <n v="119600"/>
    <n v="109200"/>
    <n v="1689"/>
    <n v="869"/>
    <n v="7842"/>
    <n v="6.55685618729097E-2"/>
    <s v="2026-06"/>
  </r>
  <r>
    <s v="ORD-00261"/>
    <x v="207"/>
    <x v="0"/>
    <x v="3"/>
    <x v="1"/>
    <x v="0"/>
    <n v="3"/>
    <n v="32000"/>
    <n v="0.08"/>
    <n v="96000"/>
    <n v="88320"/>
    <n v="78720"/>
    <n v="287"/>
    <n v="1167"/>
    <n v="8146"/>
    <n v="9.2232789855072467E-2"/>
    <s v="2026-04"/>
  </r>
  <r>
    <s v="ORD-00262"/>
    <x v="208"/>
    <x v="3"/>
    <x v="3"/>
    <x v="2"/>
    <x v="0"/>
    <n v="3"/>
    <n v="18000"/>
    <n v="0.05"/>
    <n v="54000"/>
    <n v="51300"/>
    <n v="43200"/>
    <n v="218"/>
    <n v="122"/>
    <n v="7760"/>
    <n v="0.15126705653021441"/>
    <s v="2026-02"/>
  </r>
  <r>
    <s v="ORD-00263"/>
    <x v="209"/>
    <x v="3"/>
    <x v="0"/>
    <x v="2"/>
    <x v="2"/>
    <n v="1"/>
    <n v="18000"/>
    <n v="0.03"/>
    <n v="18000"/>
    <n v="17460"/>
    <n v="14400"/>
    <n v="561"/>
    <n v="2276"/>
    <n v="223"/>
    <n v="1.277205040091638E-2"/>
    <s v="2025-09"/>
  </r>
  <r>
    <s v="ORD-00264"/>
    <x v="47"/>
    <x v="3"/>
    <x v="0"/>
    <x v="0"/>
    <x v="2"/>
    <n v="2"/>
    <n v="18000"/>
    <n v="0.08"/>
    <n v="36000"/>
    <n v="33120"/>
    <n v="28800"/>
    <n v="672"/>
    <n v="1528"/>
    <n v="2120"/>
    <n v="6.4009661835748799E-2"/>
    <s v="2025-10"/>
  </r>
  <r>
    <s v="ORD-00265"/>
    <x v="210"/>
    <x v="1"/>
    <x v="3"/>
    <x v="2"/>
    <x v="2"/>
    <n v="1"/>
    <n v="3500"/>
    <n v="0.08"/>
    <n v="3500"/>
    <n v="3220"/>
    <n v="2380"/>
    <n v="797"/>
    <n v="2381"/>
    <n v="-2338"/>
    <n v="-0.72608695652173916"/>
    <s v="2025-11"/>
  </r>
  <r>
    <s v="ORD-00266"/>
    <x v="58"/>
    <x v="7"/>
    <x v="0"/>
    <x v="2"/>
    <x v="2"/>
    <n v="2"/>
    <n v="65000"/>
    <n v="0.1"/>
    <n v="130000"/>
    <n v="117000"/>
    <n v="109200"/>
    <n v="1243"/>
    <n v="1878"/>
    <n v="4679"/>
    <n v="3.9991452991452993E-2"/>
    <s v="2025-03"/>
  </r>
  <r>
    <s v="ORD-00267"/>
    <x v="118"/>
    <x v="1"/>
    <x v="1"/>
    <x v="0"/>
    <x v="2"/>
    <n v="4"/>
    <n v="3500"/>
    <n v="0.1"/>
    <n v="14000"/>
    <n v="12600"/>
    <n v="9520"/>
    <n v="735"/>
    <n v="1113"/>
    <n v="1232"/>
    <n v="9.7777777777777783E-2"/>
    <s v="2025-08"/>
  </r>
  <r>
    <s v="ORD-00268"/>
    <x v="211"/>
    <x v="3"/>
    <x v="5"/>
    <x v="0"/>
    <x v="2"/>
    <n v="3"/>
    <n v="18000"/>
    <n v="0"/>
    <n v="54000"/>
    <n v="54000"/>
    <n v="43200"/>
    <n v="237"/>
    <n v="1895"/>
    <n v="8668"/>
    <n v="0.1605185185185185"/>
    <s v="2025-07"/>
  </r>
  <r>
    <s v="ORD-00269"/>
    <x v="212"/>
    <x v="0"/>
    <x v="2"/>
    <x v="0"/>
    <x v="0"/>
    <n v="1"/>
    <n v="32000"/>
    <n v="0.08"/>
    <n v="32000"/>
    <n v="29440"/>
    <n v="26240"/>
    <n v="535"/>
    <n v="1178"/>
    <n v="1487"/>
    <n v="5.0509510869565219E-2"/>
    <s v="2026-05"/>
  </r>
  <r>
    <s v="ORD-00270"/>
    <x v="213"/>
    <x v="6"/>
    <x v="3"/>
    <x v="0"/>
    <x v="0"/>
    <n v="2"/>
    <n v="4500"/>
    <n v="0.08"/>
    <n v="9000"/>
    <n v="8280"/>
    <n v="5850"/>
    <n v="1411"/>
    <n v="159"/>
    <n v="860"/>
    <n v="0.1038647342995169"/>
    <s v="2025-11"/>
  </r>
  <r>
    <s v="ORD-00271"/>
    <x v="214"/>
    <x v="5"/>
    <x v="4"/>
    <x v="0"/>
    <x v="2"/>
    <n v="6"/>
    <n v="1500"/>
    <n v="0.2"/>
    <n v="9000"/>
    <n v="7200"/>
    <n v="4950"/>
    <n v="1340"/>
    <n v="967"/>
    <n v="-57"/>
    <n v="-7.9166666666666673E-3"/>
    <s v="2025-01"/>
  </r>
  <r>
    <s v="ORD-00272"/>
    <x v="215"/>
    <x v="0"/>
    <x v="0"/>
    <x v="1"/>
    <x v="2"/>
    <n v="1"/>
    <n v="32000"/>
    <n v="0"/>
    <n v="32000"/>
    <n v="32000"/>
    <n v="26240"/>
    <n v="1336"/>
    <n v="575"/>
    <n v="3849"/>
    <n v="0.12028125000000001"/>
    <s v="2025-10"/>
  </r>
  <r>
    <s v="ORD-00273"/>
    <x v="79"/>
    <x v="7"/>
    <x v="0"/>
    <x v="1"/>
    <x v="1"/>
    <n v="1"/>
    <n v="65000"/>
    <n v="0.08"/>
    <n v="65000"/>
    <n v="59800"/>
    <n v="54600"/>
    <n v="859"/>
    <n v="1875"/>
    <n v="2466"/>
    <n v="4.1237458193979927E-2"/>
    <s v="2025-02"/>
  </r>
  <r>
    <s v="ORD-00274"/>
    <x v="216"/>
    <x v="5"/>
    <x v="2"/>
    <x v="0"/>
    <x v="2"/>
    <n v="3"/>
    <n v="1500"/>
    <n v="0.1"/>
    <n v="4500"/>
    <n v="4050"/>
    <n v="2475"/>
    <n v="801"/>
    <n v="936"/>
    <n v="-162"/>
    <n v="-0.04"/>
    <s v="2026-05"/>
  </r>
  <r>
    <s v="ORD-00275"/>
    <x v="217"/>
    <x v="1"/>
    <x v="0"/>
    <x v="0"/>
    <x v="1"/>
    <n v="3"/>
    <n v="3500"/>
    <n v="0"/>
    <n v="10500"/>
    <n v="10500"/>
    <n v="7140.0000000000009"/>
    <n v="453"/>
    <n v="2128"/>
    <n v="778.99999999999909"/>
    <n v="7.4190476190476098E-2"/>
    <s v="2026-03"/>
  </r>
  <r>
    <s v="ORD-00276"/>
    <x v="209"/>
    <x v="1"/>
    <x v="2"/>
    <x v="0"/>
    <x v="2"/>
    <n v="5"/>
    <n v="3500"/>
    <n v="0.05"/>
    <n v="17500"/>
    <n v="16625"/>
    <n v="11900"/>
    <n v="1116"/>
    <n v="803"/>
    <n v="2806"/>
    <n v="0.16878195488721801"/>
    <s v="2025-09"/>
  </r>
  <r>
    <s v="ORD-00277"/>
    <x v="218"/>
    <x v="0"/>
    <x v="3"/>
    <x v="1"/>
    <x v="2"/>
    <n v="3"/>
    <n v="32000"/>
    <n v="0.08"/>
    <n v="96000"/>
    <n v="88320"/>
    <n v="78720"/>
    <n v="840"/>
    <n v="1961"/>
    <n v="6799"/>
    <n v="7.6981431159420285E-2"/>
    <s v="2025-07"/>
  </r>
  <r>
    <s v="ORD-00278"/>
    <x v="128"/>
    <x v="0"/>
    <x v="3"/>
    <x v="0"/>
    <x v="2"/>
    <n v="1"/>
    <n v="32000"/>
    <n v="0.2"/>
    <n v="32000"/>
    <n v="25600"/>
    <n v="26240"/>
    <n v="1125"/>
    <n v="1531"/>
    <n v="-3296"/>
    <n v="-0.12875"/>
    <s v="2026-02"/>
  </r>
  <r>
    <s v="ORD-00279"/>
    <x v="219"/>
    <x v="5"/>
    <x v="3"/>
    <x v="0"/>
    <x v="0"/>
    <n v="6"/>
    <n v="1500"/>
    <n v="0.03"/>
    <n v="9000"/>
    <n v="8730"/>
    <n v="4950"/>
    <n v="1623"/>
    <n v="2114"/>
    <n v="43"/>
    <n v="4.9255441008018326E-3"/>
    <s v="2025-07"/>
  </r>
  <r>
    <s v="ORD-00280"/>
    <x v="93"/>
    <x v="3"/>
    <x v="4"/>
    <x v="1"/>
    <x v="2"/>
    <n v="3"/>
    <n v="18000"/>
    <n v="0"/>
    <n v="54000"/>
    <n v="54000"/>
    <n v="43200"/>
    <n v="449"/>
    <n v="974"/>
    <n v="9377"/>
    <n v="0.17364814814814811"/>
    <s v="2026-03"/>
  </r>
  <r>
    <s v="ORD-00281"/>
    <x v="18"/>
    <x v="0"/>
    <x v="4"/>
    <x v="0"/>
    <x v="2"/>
    <n v="2"/>
    <n v="32000"/>
    <n v="0.15"/>
    <n v="64000"/>
    <n v="54400"/>
    <n v="52480"/>
    <n v="871"/>
    <n v="1271"/>
    <n v="-222"/>
    <n v="-4.0808823529411764E-3"/>
    <s v="2026-04"/>
  </r>
  <r>
    <s v="ORD-00282"/>
    <x v="220"/>
    <x v="3"/>
    <x v="4"/>
    <x v="1"/>
    <x v="2"/>
    <n v="2"/>
    <n v="18000"/>
    <n v="0.1"/>
    <n v="36000"/>
    <n v="32400"/>
    <n v="28800"/>
    <n v="513"/>
    <n v="2168"/>
    <n v="919"/>
    <n v="2.8364197530864201E-2"/>
    <s v="2025-03"/>
  </r>
  <r>
    <s v="ORD-00283"/>
    <x v="221"/>
    <x v="3"/>
    <x v="5"/>
    <x v="0"/>
    <x v="0"/>
    <n v="1"/>
    <n v="18000"/>
    <n v="0.05"/>
    <n v="18000"/>
    <n v="17100"/>
    <n v="14400"/>
    <n v="1052"/>
    <n v="483"/>
    <n v="1165"/>
    <n v="6.8128654970760233E-2"/>
    <s v="2026-03"/>
  </r>
  <r>
    <s v="ORD-00284"/>
    <x v="222"/>
    <x v="0"/>
    <x v="2"/>
    <x v="1"/>
    <x v="2"/>
    <n v="2"/>
    <n v="32000"/>
    <n v="0"/>
    <n v="64000"/>
    <n v="64000"/>
    <n v="52480"/>
    <n v="797"/>
    <n v="2436"/>
    <n v="8287"/>
    <n v="0.12948437500000001"/>
    <s v="2025-12"/>
  </r>
  <r>
    <s v="ORD-00285"/>
    <x v="223"/>
    <x v="6"/>
    <x v="1"/>
    <x v="0"/>
    <x v="2"/>
    <n v="1"/>
    <n v="4500"/>
    <n v="0.08"/>
    <n v="4500"/>
    <n v="4140"/>
    <n v="2925"/>
    <n v="1165"/>
    <n v="1617"/>
    <n v="-1567"/>
    <n v="-0.3785024154589372"/>
    <s v="2025-07"/>
  </r>
  <r>
    <s v="ORD-00286"/>
    <x v="224"/>
    <x v="2"/>
    <x v="0"/>
    <x v="1"/>
    <x v="0"/>
    <n v="2"/>
    <n v="28000"/>
    <n v="0.1"/>
    <n v="56000"/>
    <n v="50400"/>
    <n v="43680"/>
    <n v="1289"/>
    <n v="197"/>
    <n v="5234"/>
    <n v="0.1038492063492063"/>
    <s v="2025-05"/>
  </r>
  <r>
    <s v="ORD-00287"/>
    <x v="85"/>
    <x v="3"/>
    <x v="5"/>
    <x v="0"/>
    <x v="2"/>
    <n v="3"/>
    <n v="18000"/>
    <n v="0.08"/>
    <n v="54000"/>
    <n v="49680"/>
    <n v="43200"/>
    <n v="770"/>
    <n v="710"/>
    <n v="5000"/>
    <n v="0.10064412238325279"/>
    <s v="2025-08"/>
  </r>
  <r>
    <s v="ORD-00288"/>
    <x v="179"/>
    <x v="5"/>
    <x v="4"/>
    <x v="1"/>
    <x v="2"/>
    <n v="2"/>
    <n v="1500"/>
    <n v="0.05"/>
    <n v="3000"/>
    <n v="2850"/>
    <n v="1650"/>
    <n v="1083"/>
    <n v="2361"/>
    <n v="-2244"/>
    <n v="-0.78736842105263161"/>
    <s v="2026-01"/>
  </r>
  <r>
    <s v="ORD-00289"/>
    <x v="180"/>
    <x v="6"/>
    <x v="5"/>
    <x v="0"/>
    <x v="2"/>
    <n v="3"/>
    <n v="4500"/>
    <n v="0.15"/>
    <n v="13500"/>
    <n v="11475"/>
    <n v="8775"/>
    <n v="879"/>
    <n v="2205"/>
    <n v="-384"/>
    <n v="-3.3464052287581703E-2"/>
    <s v="2025-01"/>
  </r>
  <r>
    <s v="ORD-00290"/>
    <x v="118"/>
    <x v="6"/>
    <x v="3"/>
    <x v="0"/>
    <x v="0"/>
    <n v="3"/>
    <n v="4500"/>
    <n v="0.15"/>
    <n v="13500"/>
    <n v="11475"/>
    <n v="8775"/>
    <n v="1320"/>
    <n v="1677"/>
    <n v="-297"/>
    <n v="-2.5882352941176471E-2"/>
    <s v="2025-08"/>
  </r>
  <r>
    <s v="ORD-00291"/>
    <x v="29"/>
    <x v="4"/>
    <x v="2"/>
    <x v="1"/>
    <x v="2"/>
    <n v="2"/>
    <n v="2500"/>
    <n v="0"/>
    <n v="5000"/>
    <n v="5000"/>
    <n v="3100"/>
    <n v="908"/>
    <n v="406"/>
    <n v="586"/>
    <n v="0.1172"/>
    <s v="2026-05"/>
  </r>
  <r>
    <s v="ORD-00292"/>
    <x v="225"/>
    <x v="5"/>
    <x v="1"/>
    <x v="0"/>
    <x v="0"/>
    <n v="1"/>
    <n v="1500"/>
    <n v="0.08"/>
    <n v="1500"/>
    <n v="1380"/>
    <n v="825.00000000000011"/>
    <n v="1295"/>
    <n v="1004"/>
    <n v="-1744"/>
    <n v="-1.2637681159420291"/>
    <s v="2025-08"/>
  </r>
  <r>
    <s v="ORD-00293"/>
    <x v="96"/>
    <x v="5"/>
    <x v="1"/>
    <x v="0"/>
    <x v="0"/>
    <n v="2"/>
    <n v="1500"/>
    <n v="0.05"/>
    <n v="3000"/>
    <n v="2850"/>
    <n v="1650"/>
    <n v="586"/>
    <n v="358"/>
    <n v="255.9999999999998"/>
    <n v="8.9824561403508696E-2"/>
    <s v="2025-10"/>
  </r>
  <r>
    <s v="ORD-00294"/>
    <x v="226"/>
    <x v="5"/>
    <x v="3"/>
    <x v="1"/>
    <x v="2"/>
    <n v="1"/>
    <n v="1500"/>
    <n v="0"/>
    <n v="1500"/>
    <n v="1500"/>
    <n v="825.00000000000011"/>
    <n v="1743"/>
    <n v="712"/>
    <n v="-1780"/>
    <n v="-1.186666666666667"/>
    <s v="2025-09"/>
  </r>
  <r>
    <s v="ORD-00295"/>
    <x v="227"/>
    <x v="3"/>
    <x v="4"/>
    <x v="1"/>
    <x v="0"/>
    <n v="1"/>
    <n v="18000"/>
    <n v="0.1"/>
    <n v="18000"/>
    <n v="16200"/>
    <n v="14400"/>
    <n v="1013"/>
    <n v="1252"/>
    <n v="-465"/>
    <n v="-2.87037037037037E-2"/>
    <s v="2025-04"/>
  </r>
  <r>
    <s v="ORD-00296"/>
    <x v="101"/>
    <x v="5"/>
    <x v="0"/>
    <x v="1"/>
    <x v="0"/>
    <n v="4"/>
    <n v="1500"/>
    <n v="0.15"/>
    <n v="6000"/>
    <n v="5100"/>
    <n v="3300"/>
    <n v="1794"/>
    <n v="346"/>
    <n v="-340.00000000000051"/>
    <n v="-6.6666666666666749E-2"/>
    <s v="2026-06"/>
  </r>
  <r>
    <s v="ORD-00297"/>
    <x v="228"/>
    <x v="2"/>
    <x v="4"/>
    <x v="0"/>
    <x v="1"/>
    <n v="2"/>
    <n v="28000"/>
    <n v="0"/>
    <n v="56000"/>
    <n v="56000"/>
    <n v="43680"/>
    <n v="844"/>
    <n v="326"/>
    <n v="11150"/>
    <n v="0.19910714285714279"/>
    <s v="2026-04"/>
  </r>
  <r>
    <s v="ORD-00298"/>
    <x v="229"/>
    <x v="6"/>
    <x v="2"/>
    <x v="0"/>
    <x v="2"/>
    <n v="3"/>
    <n v="4500"/>
    <n v="0.1"/>
    <n v="13500"/>
    <n v="12150"/>
    <n v="8775"/>
    <n v="1600"/>
    <n v="1518"/>
    <n v="257"/>
    <n v="2.11522633744856E-2"/>
    <s v="2026-03"/>
  </r>
  <r>
    <s v="ORD-00299"/>
    <x v="49"/>
    <x v="2"/>
    <x v="2"/>
    <x v="2"/>
    <x v="2"/>
    <n v="2"/>
    <n v="28000"/>
    <n v="0.1"/>
    <n v="56000"/>
    <n v="50400"/>
    <n v="43680"/>
    <n v="675"/>
    <n v="1921"/>
    <n v="4124"/>
    <n v="8.1825396825396829E-2"/>
    <s v="2025-10"/>
  </r>
  <r>
    <s v="ORD-00300"/>
    <x v="28"/>
    <x v="1"/>
    <x v="1"/>
    <x v="1"/>
    <x v="2"/>
    <n v="3"/>
    <n v="3500"/>
    <n v="0"/>
    <n v="10500"/>
    <n v="10500"/>
    <n v="7140.0000000000009"/>
    <n v="240"/>
    <n v="2454"/>
    <n v="665.99999999999909"/>
    <n v="6.3428571428571348E-2"/>
    <s v="2025-12"/>
  </r>
  <r>
    <s v="ORD-00301"/>
    <x v="43"/>
    <x v="3"/>
    <x v="2"/>
    <x v="1"/>
    <x v="2"/>
    <n v="2"/>
    <n v="18000"/>
    <n v="0.1"/>
    <n v="36000"/>
    <n v="32400"/>
    <n v="28800"/>
    <n v="819"/>
    <n v="1774"/>
    <n v="1007"/>
    <n v="3.1080246913580249E-2"/>
    <s v="2025-10"/>
  </r>
  <r>
    <s v="ORD-00302"/>
    <x v="230"/>
    <x v="4"/>
    <x v="5"/>
    <x v="2"/>
    <x v="2"/>
    <n v="4"/>
    <n v="2500"/>
    <n v="0.08"/>
    <n v="10000"/>
    <n v="9200"/>
    <n v="6200"/>
    <n v="653"/>
    <n v="2348"/>
    <n v="-1"/>
    <n v="-1.0869565217391299E-4"/>
    <s v="2025-05"/>
  </r>
  <r>
    <s v="ORD-00303"/>
    <x v="118"/>
    <x v="0"/>
    <x v="5"/>
    <x v="0"/>
    <x v="0"/>
    <n v="3"/>
    <n v="32000"/>
    <n v="0.1"/>
    <n v="96000"/>
    <n v="86400"/>
    <n v="78720"/>
    <n v="342"/>
    <n v="632"/>
    <n v="6706"/>
    <n v="7.7615740740740735E-2"/>
    <s v="2025-08"/>
  </r>
  <r>
    <s v="ORD-00304"/>
    <x v="231"/>
    <x v="6"/>
    <x v="1"/>
    <x v="1"/>
    <x v="1"/>
    <n v="4"/>
    <n v="4500"/>
    <n v="0.15"/>
    <n v="18000"/>
    <n v="15300"/>
    <n v="11700"/>
    <n v="750"/>
    <n v="492"/>
    <n v="2358"/>
    <n v="0.1541176470588235"/>
    <s v="2025-07"/>
  </r>
  <r>
    <s v="ORD-00305"/>
    <x v="149"/>
    <x v="4"/>
    <x v="3"/>
    <x v="0"/>
    <x v="1"/>
    <n v="7"/>
    <n v="2500"/>
    <n v="0.03"/>
    <n v="17500"/>
    <n v="16975"/>
    <n v="10850"/>
    <n v="1577"/>
    <n v="241"/>
    <n v="4307"/>
    <n v="0.25372606774668632"/>
    <s v="2026-05"/>
  </r>
  <r>
    <s v="ORD-00306"/>
    <x v="7"/>
    <x v="6"/>
    <x v="1"/>
    <x v="2"/>
    <x v="2"/>
    <n v="3"/>
    <n v="4500"/>
    <n v="0.05"/>
    <n v="13500"/>
    <n v="12825"/>
    <n v="8775"/>
    <n v="480"/>
    <n v="523"/>
    <n v="3047"/>
    <n v="0.23758284600389859"/>
    <s v="2025-09"/>
  </r>
  <r>
    <s v="ORD-00307"/>
    <x v="232"/>
    <x v="7"/>
    <x v="5"/>
    <x v="2"/>
    <x v="1"/>
    <n v="3"/>
    <n v="65000"/>
    <n v="0.2"/>
    <n v="195000"/>
    <n v="156000"/>
    <n v="163800"/>
    <n v="1098"/>
    <n v="1549"/>
    <n v="-10447"/>
    <n v="-6.6967948717948714E-2"/>
    <s v="2025-10"/>
  </r>
  <r>
    <s v="ORD-00308"/>
    <x v="233"/>
    <x v="6"/>
    <x v="0"/>
    <x v="2"/>
    <x v="2"/>
    <n v="7"/>
    <n v="4500"/>
    <n v="0.08"/>
    <n v="31500"/>
    <n v="28980"/>
    <n v="20475"/>
    <n v="1598"/>
    <n v="732"/>
    <n v="6175"/>
    <n v="0.21307798481711529"/>
    <s v="2026-05"/>
  </r>
  <r>
    <s v="ORD-00309"/>
    <x v="234"/>
    <x v="6"/>
    <x v="5"/>
    <x v="0"/>
    <x v="2"/>
    <n v="5"/>
    <n v="4500"/>
    <n v="0.08"/>
    <n v="22500"/>
    <n v="20700"/>
    <n v="14625"/>
    <n v="1135"/>
    <n v="385"/>
    <n v="4555"/>
    <n v="0.22004830917874399"/>
    <s v="2025-09"/>
  </r>
  <r>
    <s v="ORD-00310"/>
    <x v="65"/>
    <x v="4"/>
    <x v="2"/>
    <x v="0"/>
    <x v="1"/>
    <n v="5"/>
    <n v="2500"/>
    <n v="0.05"/>
    <n v="12500"/>
    <n v="11875"/>
    <n v="7750"/>
    <n v="533"/>
    <n v="2369"/>
    <n v="1223"/>
    <n v="0.10298947368421051"/>
    <s v="2025-02"/>
  </r>
  <r>
    <s v="ORD-00311"/>
    <x v="235"/>
    <x v="2"/>
    <x v="4"/>
    <x v="2"/>
    <x v="2"/>
    <n v="1"/>
    <n v="28000"/>
    <n v="0.05"/>
    <n v="28000"/>
    <n v="26600"/>
    <n v="21840"/>
    <n v="1350"/>
    <n v="1378"/>
    <n v="2032"/>
    <n v="7.6390977443609023E-2"/>
    <s v="2025-01"/>
  </r>
  <r>
    <s v="ORD-00312"/>
    <x v="236"/>
    <x v="5"/>
    <x v="4"/>
    <x v="0"/>
    <x v="0"/>
    <n v="3"/>
    <n v="1500"/>
    <n v="0.03"/>
    <n v="4500"/>
    <n v="4365"/>
    <n v="2475"/>
    <n v="693"/>
    <n v="1685"/>
    <n v="-488"/>
    <n v="-0.1117983963344788"/>
    <s v="2026-04"/>
  </r>
  <r>
    <s v="ORD-00313"/>
    <x v="95"/>
    <x v="4"/>
    <x v="0"/>
    <x v="2"/>
    <x v="1"/>
    <n v="4"/>
    <n v="2500"/>
    <n v="0"/>
    <n v="10000"/>
    <n v="10000"/>
    <n v="6200"/>
    <n v="1424"/>
    <n v="2028"/>
    <n v="348"/>
    <n v="3.4799999999999998E-2"/>
    <s v="2025-11"/>
  </r>
  <r>
    <s v="ORD-00314"/>
    <x v="237"/>
    <x v="7"/>
    <x v="2"/>
    <x v="0"/>
    <x v="2"/>
    <n v="1"/>
    <n v="65000"/>
    <n v="0.1"/>
    <n v="65000"/>
    <n v="58500"/>
    <n v="54600"/>
    <n v="1647"/>
    <n v="2479"/>
    <n v="-226"/>
    <n v="-3.8632478632478632E-3"/>
    <s v="2026-03"/>
  </r>
  <r>
    <s v="ORD-00315"/>
    <x v="238"/>
    <x v="4"/>
    <x v="0"/>
    <x v="0"/>
    <x v="0"/>
    <n v="2"/>
    <n v="2500"/>
    <n v="0.03"/>
    <n v="5000"/>
    <n v="4850"/>
    <n v="3100"/>
    <n v="605"/>
    <n v="2379"/>
    <n v="-1234"/>
    <n v="-0.25443298969072159"/>
    <s v="2026-06"/>
  </r>
  <r>
    <s v="ORD-00316"/>
    <x v="239"/>
    <x v="4"/>
    <x v="2"/>
    <x v="0"/>
    <x v="0"/>
    <n v="4"/>
    <n v="2500"/>
    <n v="0.08"/>
    <n v="10000"/>
    <n v="9200"/>
    <n v="6200"/>
    <n v="547"/>
    <n v="871"/>
    <n v="1582"/>
    <n v="0.1719565217391304"/>
    <s v="2026-02"/>
  </r>
  <r>
    <s v="ORD-00317"/>
    <x v="240"/>
    <x v="2"/>
    <x v="3"/>
    <x v="0"/>
    <x v="2"/>
    <n v="2"/>
    <n v="28000"/>
    <n v="0.05"/>
    <n v="56000"/>
    <n v="53200"/>
    <n v="43680"/>
    <n v="1584"/>
    <n v="1892"/>
    <n v="6044"/>
    <n v="0.11360902255639101"/>
    <s v="2025-03"/>
  </r>
  <r>
    <s v="ORD-00318"/>
    <x v="241"/>
    <x v="7"/>
    <x v="2"/>
    <x v="0"/>
    <x v="0"/>
    <n v="1"/>
    <n v="65000"/>
    <n v="0.05"/>
    <n v="65000"/>
    <n v="61750"/>
    <n v="54600"/>
    <n v="929"/>
    <n v="382"/>
    <n v="5839"/>
    <n v="9.4558704453441292E-2"/>
    <s v="2026-04"/>
  </r>
  <r>
    <s v="ORD-00319"/>
    <x v="183"/>
    <x v="1"/>
    <x v="4"/>
    <x v="0"/>
    <x v="0"/>
    <n v="1"/>
    <n v="3500"/>
    <n v="0.08"/>
    <n v="3500"/>
    <n v="3220"/>
    <n v="2380"/>
    <n v="341"/>
    <n v="1414"/>
    <n v="-915"/>
    <n v="-0.28416149068322982"/>
    <s v="2026-03"/>
  </r>
  <r>
    <s v="ORD-00320"/>
    <x v="242"/>
    <x v="1"/>
    <x v="0"/>
    <x v="2"/>
    <x v="2"/>
    <n v="6"/>
    <n v="3500"/>
    <n v="0.15"/>
    <n v="21000"/>
    <n v="17850"/>
    <n v="14280"/>
    <n v="1080"/>
    <n v="1313"/>
    <n v="1176.999999999998"/>
    <n v="6.5938375350139952E-2"/>
    <s v="2025-05"/>
  </r>
  <r>
    <s v="ORD-00321"/>
    <x v="81"/>
    <x v="0"/>
    <x v="3"/>
    <x v="2"/>
    <x v="2"/>
    <n v="1"/>
    <n v="32000"/>
    <n v="0.05"/>
    <n v="32000"/>
    <n v="30400"/>
    <n v="26240"/>
    <n v="903"/>
    <n v="417"/>
    <n v="2840"/>
    <n v="9.3421052631578946E-2"/>
    <s v="2025-12"/>
  </r>
  <r>
    <s v="ORD-00322"/>
    <x v="77"/>
    <x v="1"/>
    <x v="5"/>
    <x v="0"/>
    <x v="0"/>
    <n v="1"/>
    <n v="3500"/>
    <n v="0.08"/>
    <n v="3500"/>
    <n v="3220"/>
    <n v="2380"/>
    <n v="1055"/>
    <n v="1912"/>
    <n v="-2127"/>
    <n v="-0.66055900621118013"/>
    <s v="2025-07"/>
  </r>
  <r>
    <s v="ORD-00323"/>
    <x v="88"/>
    <x v="6"/>
    <x v="2"/>
    <x v="1"/>
    <x v="1"/>
    <n v="3"/>
    <n v="4500"/>
    <n v="0.05"/>
    <n v="13500"/>
    <n v="12825"/>
    <n v="8775"/>
    <n v="326"/>
    <n v="100"/>
    <n v="3624"/>
    <n v="0.2825730994152047"/>
    <s v="2025-06"/>
  </r>
  <r>
    <s v="ORD-00324"/>
    <x v="243"/>
    <x v="1"/>
    <x v="1"/>
    <x v="2"/>
    <x v="0"/>
    <n v="5"/>
    <n v="3500"/>
    <n v="0.03"/>
    <n v="17500"/>
    <n v="16975"/>
    <n v="11900"/>
    <n v="644"/>
    <n v="2052"/>
    <n v="2379"/>
    <n v="0.1401472754050074"/>
    <s v="2025-10"/>
  </r>
  <r>
    <s v="ORD-00325"/>
    <x v="95"/>
    <x v="3"/>
    <x v="3"/>
    <x v="2"/>
    <x v="0"/>
    <n v="1"/>
    <n v="18000"/>
    <n v="0.08"/>
    <n v="18000"/>
    <n v="16560"/>
    <n v="14400"/>
    <n v="1566"/>
    <n v="826"/>
    <n v="-232"/>
    <n v="-1.4009661835748789E-2"/>
    <s v="2025-11"/>
  </r>
  <r>
    <s v="ORD-00326"/>
    <x v="244"/>
    <x v="1"/>
    <x v="5"/>
    <x v="0"/>
    <x v="2"/>
    <n v="3"/>
    <n v="3500"/>
    <n v="0.08"/>
    <n v="10500"/>
    <n v="9660"/>
    <n v="7140.0000000000009"/>
    <n v="1135"/>
    <n v="1207"/>
    <n v="177.99999999999909"/>
    <n v="1.842650103519659E-2"/>
    <s v="2025-04"/>
  </r>
  <r>
    <s v="ORD-00327"/>
    <x v="229"/>
    <x v="7"/>
    <x v="0"/>
    <x v="1"/>
    <x v="2"/>
    <n v="3"/>
    <n v="65000"/>
    <n v="0.05"/>
    <n v="195000"/>
    <n v="185250"/>
    <n v="163800"/>
    <n v="304"/>
    <n v="301"/>
    <n v="20845"/>
    <n v="0.112523616734143"/>
    <s v="2026-03"/>
  </r>
  <r>
    <s v="ORD-00328"/>
    <x v="245"/>
    <x v="2"/>
    <x v="3"/>
    <x v="0"/>
    <x v="1"/>
    <n v="3"/>
    <n v="28000"/>
    <n v="0.15"/>
    <n v="84000"/>
    <n v="71400"/>
    <n v="65520"/>
    <n v="1600"/>
    <n v="1663"/>
    <n v="2617"/>
    <n v="3.6652661064425773E-2"/>
    <s v="2025-03"/>
  </r>
  <r>
    <s v="ORD-00329"/>
    <x v="19"/>
    <x v="6"/>
    <x v="5"/>
    <x v="0"/>
    <x v="2"/>
    <n v="3"/>
    <n v="4500"/>
    <n v="0.08"/>
    <n v="13500"/>
    <n v="12420"/>
    <n v="8775"/>
    <n v="495"/>
    <n v="2405"/>
    <n v="745"/>
    <n v="5.9983896940418682E-2"/>
    <s v="2025-03"/>
  </r>
  <r>
    <s v="ORD-00330"/>
    <x v="246"/>
    <x v="7"/>
    <x v="3"/>
    <x v="1"/>
    <x v="2"/>
    <n v="3"/>
    <n v="65000"/>
    <n v="0.08"/>
    <n v="195000"/>
    <n v="179400"/>
    <n v="163800"/>
    <n v="1185"/>
    <n v="1480"/>
    <n v="12935"/>
    <n v="7.2101449275362314E-2"/>
    <s v="2025-08"/>
  </r>
  <r>
    <s v="ORD-00331"/>
    <x v="247"/>
    <x v="0"/>
    <x v="1"/>
    <x v="0"/>
    <x v="2"/>
    <n v="1"/>
    <n v="32000"/>
    <n v="0"/>
    <n v="32000"/>
    <n v="32000"/>
    <n v="26240"/>
    <n v="476"/>
    <n v="1561"/>
    <n v="3723"/>
    <n v="0.11634375"/>
    <s v="2025-04"/>
  </r>
  <r>
    <s v="ORD-00332"/>
    <x v="248"/>
    <x v="7"/>
    <x v="0"/>
    <x v="2"/>
    <x v="1"/>
    <n v="1"/>
    <n v="65000"/>
    <n v="0.15"/>
    <n v="65000"/>
    <n v="55250"/>
    <n v="54600"/>
    <n v="1253"/>
    <n v="1989"/>
    <n v="-2592"/>
    <n v="-4.6914027149321268E-2"/>
    <s v="2026-03"/>
  </r>
  <r>
    <s v="ORD-00333"/>
    <x v="94"/>
    <x v="0"/>
    <x v="2"/>
    <x v="0"/>
    <x v="0"/>
    <n v="3"/>
    <n v="32000"/>
    <n v="0.05"/>
    <n v="96000"/>
    <n v="91200"/>
    <n v="78720"/>
    <n v="759"/>
    <n v="2141"/>
    <n v="9580"/>
    <n v="0.1050438596491228"/>
    <s v="2025-04"/>
  </r>
  <r>
    <s v="ORD-00334"/>
    <x v="171"/>
    <x v="2"/>
    <x v="2"/>
    <x v="0"/>
    <x v="0"/>
    <n v="1"/>
    <n v="28000"/>
    <n v="0.08"/>
    <n v="28000"/>
    <n v="25760"/>
    <n v="21840"/>
    <n v="620"/>
    <n v="1691"/>
    <n v="1609"/>
    <n v="6.2461180124223602E-2"/>
    <s v="2025-07"/>
  </r>
  <r>
    <s v="ORD-00335"/>
    <x v="249"/>
    <x v="2"/>
    <x v="5"/>
    <x v="0"/>
    <x v="0"/>
    <n v="3"/>
    <n v="28000"/>
    <n v="0.05"/>
    <n v="84000"/>
    <n v="79800"/>
    <n v="65520"/>
    <n v="1702"/>
    <n v="225"/>
    <n v="12353"/>
    <n v="0.15479949874686719"/>
    <s v="2026-01"/>
  </r>
  <r>
    <s v="ORD-00336"/>
    <x v="138"/>
    <x v="3"/>
    <x v="2"/>
    <x v="0"/>
    <x v="1"/>
    <n v="2"/>
    <n v="18000"/>
    <n v="0.1"/>
    <n v="36000"/>
    <n v="32400"/>
    <n v="28800"/>
    <n v="1663"/>
    <n v="932"/>
    <n v="1005"/>
    <n v="3.1018518518518522E-2"/>
    <s v="2025-01"/>
  </r>
  <r>
    <s v="ORD-00337"/>
    <x v="250"/>
    <x v="6"/>
    <x v="3"/>
    <x v="2"/>
    <x v="2"/>
    <n v="3"/>
    <n v="4500"/>
    <n v="0.08"/>
    <n v="13500"/>
    <n v="12420"/>
    <n v="8775"/>
    <n v="756"/>
    <n v="1278"/>
    <n v="1611"/>
    <n v="0.12971014492753619"/>
    <s v="2026-03"/>
  </r>
  <r>
    <s v="ORD-00338"/>
    <x v="251"/>
    <x v="4"/>
    <x v="3"/>
    <x v="0"/>
    <x v="0"/>
    <n v="2"/>
    <n v="2500"/>
    <n v="0.05"/>
    <n v="5000"/>
    <n v="4750"/>
    <n v="3100"/>
    <n v="324"/>
    <n v="1010"/>
    <n v="316"/>
    <n v="6.6526315789473683E-2"/>
    <s v="2025-09"/>
  </r>
  <r>
    <s v="ORD-00339"/>
    <x v="22"/>
    <x v="1"/>
    <x v="5"/>
    <x v="0"/>
    <x v="0"/>
    <n v="2"/>
    <n v="3500"/>
    <n v="0.05"/>
    <n v="7000"/>
    <n v="6650"/>
    <n v="4760"/>
    <n v="1258"/>
    <n v="1831"/>
    <n v="-1199"/>
    <n v="-0.18030075187969921"/>
    <s v="2025-07"/>
  </r>
  <r>
    <s v="ORD-00340"/>
    <x v="252"/>
    <x v="6"/>
    <x v="4"/>
    <x v="0"/>
    <x v="0"/>
    <n v="4"/>
    <n v="4500"/>
    <n v="0"/>
    <n v="18000"/>
    <n v="18000"/>
    <n v="11700"/>
    <n v="1207"/>
    <n v="1401"/>
    <n v="3692"/>
    <n v="0.20511111111111111"/>
    <s v="2025-03"/>
  </r>
  <r>
    <s v="ORD-00341"/>
    <x v="222"/>
    <x v="2"/>
    <x v="4"/>
    <x v="0"/>
    <x v="2"/>
    <n v="1"/>
    <n v="28000"/>
    <n v="0.1"/>
    <n v="28000"/>
    <n v="25200"/>
    <n v="21840"/>
    <n v="1602"/>
    <n v="2490"/>
    <n v="-732"/>
    <n v="-2.9047619047619051E-2"/>
    <s v="2025-12"/>
  </r>
  <r>
    <s v="ORD-00342"/>
    <x v="130"/>
    <x v="6"/>
    <x v="2"/>
    <x v="0"/>
    <x v="0"/>
    <n v="7"/>
    <n v="4500"/>
    <n v="0.05"/>
    <n v="31500"/>
    <n v="29925"/>
    <n v="20475"/>
    <n v="499"/>
    <n v="238"/>
    <n v="8713"/>
    <n v="0.29116123642439429"/>
    <s v="2025-12"/>
  </r>
  <r>
    <s v="ORD-00343"/>
    <x v="74"/>
    <x v="3"/>
    <x v="4"/>
    <x v="2"/>
    <x v="1"/>
    <n v="1"/>
    <n v="18000"/>
    <n v="0.05"/>
    <n v="18000"/>
    <n v="17100"/>
    <n v="14400"/>
    <n v="1334"/>
    <n v="2286"/>
    <n v="-920"/>
    <n v="-5.3801169590643273E-2"/>
    <s v="2026-03"/>
  </r>
  <r>
    <s v="ORD-00344"/>
    <x v="253"/>
    <x v="3"/>
    <x v="2"/>
    <x v="2"/>
    <x v="0"/>
    <n v="2"/>
    <n v="18000"/>
    <n v="0.08"/>
    <n v="36000"/>
    <n v="33120"/>
    <n v="28800"/>
    <n v="961"/>
    <n v="264"/>
    <n v="3095"/>
    <n v="9.344806763285024E-2"/>
    <s v="2026-06"/>
  </r>
  <r>
    <s v="ORD-00345"/>
    <x v="254"/>
    <x v="6"/>
    <x v="3"/>
    <x v="1"/>
    <x v="1"/>
    <n v="3"/>
    <n v="4500"/>
    <n v="0"/>
    <n v="13500"/>
    <n v="13500"/>
    <n v="8775"/>
    <n v="1314"/>
    <n v="1240"/>
    <n v="2171"/>
    <n v="0.1608148148148148"/>
    <s v="2025-09"/>
  </r>
  <r>
    <s v="ORD-00346"/>
    <x v="255"/>
    <x v="1"/>
    <x v="2"/>
    <x v="0"/>
    <x v="2"/>
    <n v="6"/>
    <n v="3500"/>
    <n v="0.1"/>
    <n v="21000"/>
    <n v="18900"/>
    <n v="14280"/>
    <n v="675"/>
    <n v="1076"/>
    <n v="2868.9999999999982"/>
    <n v="0.15179894179894171"/>
    <s v="2025-07"/>
  </r>
  <r>
    <s v="ORD-00347"/>
    <x v="256"/>
    <x v="6"/>
    <x v="3"/>
    <x v="1"/>
    <x v="0"/>
    <n v="1"/>
    <n v="4500"/>
    <n v="0.15"/>
    <n v="4500"/>
    <n v="3825"/>
    <n v="2925"/>
    <n v="865"/>
    <n v="1871"/>
    <n v="-1836"/>
    <n v="-0.48"/>
    <s v="2025-08"/>
  </r>
  <r>
    <s v="ORD-00348"/>
    <x v="220"/>
    <x v="0"/>
    <x v="2"/>
    <x v="2"/>
    <x v="0"/>
    <n v="3"/>
    <n v="32000"/>
    <n v="0.08"/>
    <n v="96000"/>
    <n v="88320"/>
    <n v="78720"/>
    <n v="903"/>
    <n v="1814"/>
    <n v="6883"/>
    <n v="7.7932518115942026E-2"/>
    <s v="2025-03"/>
  </r>
  <r>
    <s v="ORD-00349"/>
    <x v="153"/>
    <x v="5"/>
    <x v="4"/>
    <x v="0"/>
    <x v="0"/>
    <n v="7"/>
    <n v="1500"/>
    <n v="0.2"/>
    <n v="10500"/>
    <n v="8400"/>
    <n v="5775.0000000000009"/>
    <n v="1271"/>
    <n v="1963"/>
    <n v="-609.00000000000091"/>
    <n v="-7.2500000000000106E-2"/>
    <s v="2025-04"/>
  </r>
  <r>
    <s v="ORD-00350"/>
    <x v="257"/>
    <x v="3"/>
    <x v="4"/>
    <x v="2"/>
    <x v="2"/>
    <n v="3"/>
    <n v="18000"/>
    <n v="0.05"/>
    <n v="54000"/>
    <n v="51300"/>
    <n v="43200"/>
    <n v="1546"/>
    <n v="1136"/>
    <n v="5418"/>
    <n v="0.1056140350877193"/>
    <s v="2026-05"/>
  </r>
  <r>
    <s v="ORD-00351"/>
    <x v="150"/>
    <x v="3"/>
    <x v="3"/>
    <x v="1"/>
    <x v="0"/>
    <n v="2"/>
    <n v="18000"/>
    <n v="0.08"/>
    <n v="36000"/>
    <n v="33120"/>
    <n v="28800"/>
    <n v="882"/>
    <n v="1933"/>
    <n v="1505"/>
    <n v="4.5440821256038648E-2"/>
    <s v="2025-11"/>
  </r>
  <r>
    <s v="ORD-00352"/>
    <x v="258"/>
    <x v="7"/>
    <x v="1"/>
    <x v="2"/>
    <x v="2"/>
    <n v="3"/>
    <n v="65000"/>
    <n v="0.03"/>
    <n v="195000"/>
    <n v="189150"/>
    <n v="163800"/>
    <n v="256"/>
    <n v="118"/>
    <n v="24976"/>
    <n v="0.13204335183716631"/>
    <s v="2026-01"/>
  </r>
  <r>
    <s v="ORD-00353"/>
    <x v="70"/>
    <x v="0"/>
    <x v="4"/>
    <x v="0"/>
    <x v="1"/>
    <n v="3"/>
    <n v="32000"/>
    <n v="0.1"/>
    <n v="96000"/>
    <n v="86400"/>
    <n v="78720"/>
    <n v="224"/>
    <n v="1672"/>
    <n v="5784"/>
    <n v="6.6944444444444445E-2"/>
    <s v="2025-01"/>
  </r>
  <r>
    <s v="ORD-00354"/>
    <x v="27"/>
    <x v="5"/>
    <x v="5"/>
    <x v="1"/>
    <x v="2"/>
    <n v="1"/>
    <n v="1500"/>
    <n v="0.1"/>
    <n v="1500"/>
    <n v="1350"/>
    <n v="825.00000000000011"/>
    <n v="746"/>
    <n v="2341"/>
    <n v="-2562"/>
    <n v="-1.897777777777778"/>
    <s v="2025-04"/>
  </r>
  <r>
    <s v="ORD-00355"/>
    <x v="211"/>
    <x v="5"/>
    <x v="4"/>
    <x v="2"/>
    <x v="2"/>
    <n v="6"/>
    <n v="1500"/>
    <n v="0"/>
    <n v="9000"/>
    <n v="9000"/>
    <n v="4950"/>
    <n v="1298"/>
    <n v="1009"/>
    <n v="1743"/>
    <n v="0.19366666666666671"/>
    <s v="2025-07"/>
  </r>
  <r>
    <s v="ORD-00356"/>
    <x v="170"/>
    <x v="1"/>
    <x v="1"/>
    <x v="1"/>
    <x v="0"/>
    <n v="3"/>
    <n v="3500"/>
    <n v="0.08"/>
    <n v="10500"/>
    <n v="9660"/>
    <n v="7140.0000000000009"/>
    <n v="1751"/>
    <n v="1189"/>
    <n v="-420.00000000000091"/>
    <n v="-4.3478260869565313E-2"/>
    <s v="2026-01"/>
  </r>
  <r>
    <s v="ORD-00357"/>
    <x v="259"/>
    <x v="5"/>
    <x v="2"/>
    <x v="2"/>
    <x v="2"/>
    <n v="2"/>
    <n v="1500"/>
    <n v="0"/>
    <n v="3000"/>
    <n v="3000"/>
    <n v="1650"/>
    <n v="1236"/>
    <n v="2331"/>
    <n v="-2217"/>
    <n v="-0.73899999999999999"/>
    <s v="2025-04"/>
  </r>
  <r>
    <s v="ORD-00358"/>
    <x v="260"/>
    <x v="0"/>
    <x v="4"/>
    <x v="2"/>
    <x v="0"/>
    <n v="2"/>
    <n v="32000"/>
    <n v="0.03"/>
    <n v="64000"/>
    <n v="62080"/>
    <n v="52480"/>
    <n v="1790"/>
    <n v="1150"/>
    <n v="6660"/>
    <n v="0.1072809278350515"/>
    <s v="2025-08"/>
  </r>
  <r>
    <s v="ORD-00359"/>
    <x v="109"/>
    <x v="6"/>
    <x v="5"/>
    <x v="0"/>
    <x v="1"/>
    <n v="5"/>
    <n v="4500"/>
    <n v="0"/>
    <n v="22500"/>
    <n v="22500"/>
    <n v="14625"/>
    <n v="1626"/>
    <n v="1176"/>
    <n v="5073"/>
    <n v="0.2254666666666667"/>
    <s v="2025-11"/>
  </r>
  <r>
    <s v="ORD-00360"/>
    <x v="261"/>
    <x v="0"/>
    <x v="1"/>
    <x v="0"/>
    <x v="0"/>
    <n v="2"/>
    <n v="32000"/>
    <n v="0.05"/>
    <n v="64000"/>
    <n v="60800"/>
    <n v="52480"/>
    <n v="1707"/>
    <n v="1579"/>
    <n v="5034"/>
    <n v="8.2796052631578951E-2"/>
    <s v="2025-06"/>
  </r>
  <r>
    <s v="ORD-00361"/>
    <x v="226"/>
    <x v="5"/>
    <x v="4"/>
    <x v="2"/>
    <x v="0"/>
    <n v="5"/>
    <n v="1500"/>
    <n v="0.1"/>
    <n v="7500"/>
    <n v="6750"/>
    <n v="4125"/>
    <n v="1245"/>
    <n v="1153"/>
    <n v="227"/>
    <n v="3.3629629629629627E-2"/>
    <s v="2025-09"/>
  </r>
  <r>
    <s v="ORD-00362"/>
    <x v="222"/>
    <x v="5"/>
    <x v="0"/>
    <x v="0"/>
    <x v="2"/>
    <n v="7"/>
    <n v="1500"/>
    <n v="0.03"/>
    <n v="10500"/>
    <n v="10185"/>
    <n v="5775.0000000000009"/>
    <n v="1513"/>
    <n v="949"/>
    <n v="1947.9999999999991"/>
    <n v="0.19126165930289629"/>
    <s v="2025-12"/>
  </r>
  <r>
    <s v="ORD-00363"/>
    <x v="50"/>
    <x v="7"/>
    <x v="3"/>
    <x v="1"/>
    <x v="2"/>
    <n v="3"/>
    <n v="65000"/>
    <n v="0.03"/>
    <n v="195000"/>
    <n v="189150"/>
    <n v="163800"/>
    <n v="1377"/>
    <n v="1909"/>
    <n v="22064"/>
    <n v="0.11664816283372979"/>
    <s v="2025-04"/>
  </r>
  <r>
    <s v="ORD-00364"/>
    <x v="143"/>
    <x v="2"/>
    <x v="2"/>
    <x v="0"/>
    <x v="2"/>
    <n v="1"/>
    <n v="28000"/>
    <n v="0.05"/>
    <n v="28000"/>
    <n v="26600"/>
    <n v="21840"/>
    <n v="1139"/>
    <n v="988"/>
    <n v="2633"/>
    <n v="9.8984962406015037E-2"/>
    <s v="2025-06"/>
  </r>
  <r>
    <s v="ORD-00365"/>
    <x v="262"/>
    <x v="4"/>
    <x v="0"/>
    <x v="2"/>
    <x v="2"/>
    <n v="1"/>
    <n v="2500"/>
    <n v="0.1"/>
    <n v="2500"/>
    <n v="2250"/>
    <n v="1550"/>
    <n v="627"/>
    <n v="1575"/>
    <n v="-1502"/>
    <n v="-0.66755555555555557"/>
    <s v="2025-05"/>
  </r>
  <r>
    <s v="ORD-00366"/>
    <x v="263"/>
    <x v="5"/>
    <x v="4"/>
    <x v="1"/>
    <x v="0"/>
    <n v="3"/>
    <n v="1500"/>
    <n v="0"/>
    <n v="4500"/>
    <n v="4500"/>
    <n v="2475"/>
    <n v="670"/>
    <n v="2365"/>
    <n v="-1010"/>
    <n v="-0.22444444444444439"/>
    <s v="2025-06"/>
  </r>
  <r>
    <s v="ORD-00367"/>
    <x v="238"/>
    <x v="7"/>
    <x v="2"/>
    <x v="1"/>
    <x v="0"/>
    <n v="3"/>
    <n v="65000"/>
    <n v="0.2"/>
    <n v="195000"/>
    <n v="156000"/>
    <n v="163800"/>
    <n v="630"/>
    <n v="892"/>
    <n v="-9322"/>
    <n v="-5.9756410256410257E-2"/>
    <s v="2026-06"/>
  </r>
  <r>
    <s v="ORD-00368"/>
    <x v="264"/>
    <x v="2"/>
    <x v="1"/>
    <x v="1"/>
    <x v="0"/>
    <n v="1"/>
    <n v="28000"/>
    <n v="0.05"/>
    <n v="28000"/>
    <n v="26600"/>
    <n v="21840"/>
    <n v="1527"/>
    <n v="1123"/>
    <n v="2110"/>
    <n v="7.9323308270676698E-2"/>
    <s v="2025-12"/>
  </r>
  <r>
    <s v="ORD-00369"/>
    <x v="265"/>
    <x v="7"/>
    <x v="1"/>
    <x v="0"/>
    <x v="0"/>
    <n v="3"/>
    <n v="65000"/>
    <n v="0.1"/>
    <n v="195000"/>
    <n v="175500"/>
    <n v="163800"/>
    <n v="409"/>
    <n v="496"/>
    <n v="10795"/>
    <n v="6.1509971509971513E-2"/>
    <s v="2025-04"/>
  </r>
  <r>
    <s v="ORD-00370"/>
    <x v="199"/>
    <x v="4"/>
    <x v="4"/>
    <x v="0"/>
    <x v="2"/>
    <n v="6"/>
    <n v="2500"/>
    <n v="0.15"/>
    <n v="15000"/>
    <n v="12750"/>
    <n v="9300"/>
    <n v="1323"/>
    <n v="1978"/>
    <n v="149"/>
    <n v="1.168627450980392E-2"/>
    <s v="2025-06"/>
  </r>
  <r>
    <s v="ORD-00371"/>
    <x v="266"/>
    <x v="0"/>
    <x v="2"/>
    <x v="1"/>
    <x v="2"/>
    <n v="2"/>
    <n v="32000"/>
    <n v="0.1"/>
    <n v="64000"/>
    <n v="57600"/>
    <n v="52480"/>
    <n v="525"/>
    <n v="1039"/>
    <n v="3556"/>
    <n v="6.173611111111111E-2"/>
    <s v="2025-05"/>
  </r>
  <r>
    <s v="ORD-00372"/>
    <x v="109"/>
    <x v="5"/>
    <x v="5"/>
    <x v="0"/>
    <x v="0"/>
    <n v="5"/>
    <n v="1500"/>
    <n v="0.05"/>
    <n v="7500"/>
    <n v="7125"/>
    <n v="4125"/>
    <n v="426"/>
    <n v="1648"/>
    <n v="926"/>
    <n v="0.12996491228070181"/>
    <s v="2025-11"/>
  </r>
  <r>
    <s v="ORD-00373"/>
    <x v="267"/>
    <x v="5"/>
    <x v="1"/>
    <x v="0"/>
    <x v="0"/>
    <n v="7"/>
    <n v="1500"/>
    <n v="0.1"/>
    <n v="10500"/>
    <n v="9450"/>
    <n v="5775.0000000000009"/>
    <n v="757"/>
    <n v="1915"/>
    <n v="1002.999999999999"/>
    <n v="0.106137566137566"/>
    <s v="2026-02"/>
  </r>
  <r>
    <s v="ORD-00374"/>
    <x v="268"/>
    <x v="6"/>
    <x v="5"/>
    <x v="2"/>
    <x v="0"/>
    <n v="1"/>
    <n v="4500"/>
    <n v="0.15"/>
    <n v="4500"/>
    <n v="3825"/>
    <n v="2925"/>
    <n v="1083"/>
    <n v="640"/>
    <n v="-823"/>
    <n v="-0.21516339869281051"/>
    <s v="2025-06"/>
  </r>
  <r>
    <s v="ORD-00375"/>
    <x v="165"/>
    <x v="6"/>
    <x v="4"/>
    <x v="0"/>
    <x v="2"/>
    <n v="1"/>
    <n v="4500"/>
    <n v="0.05"/>
    <n v="4500"/>
    <n v="4275"/>
    <n v="2925"/>
    <n v="1379"/>
    <n v="2251"/>
    <n v="-2280"/>
    <n v="-0.53333333333333333"/>
    <s v="2026-05"/>
  </r>
  <r>
    <s v="ORD-00376"/>
    <x v="149"/>
    <x v="7"/>
    <x v="5"/>
    <x v="1"/>
    <x v="0"/>
    <n v="2"/>
    <n v="65000"/>
    <n v="0.03"/>
    <n v="130000"/>
    <n v="126100"/>
    <n v="109200"/>
    <n v="1614"/>
    <n v="1859"/>
    <n v="13427"/>
    <n v="0.1064789849325932"/>
    <s v="2026-05"/>
  </r>
  <r>
    <s v="ORD-00377"/>
    <x v="269"/>
    <x v="5"/>
    <x v="2"/>
    <x v="1"/>
    <x v="1"/>
    <n v="1"/>
    <n v="1500"/>
    <n v="0.05"/>
    <n v="1500"/>
    <n v="1425"/>
    <n v="825.00000000000011"/>
    <n v="1751"/>
    <n v="819"/>
    <n v="-1970"/>
    <n v="-1.382456140350877"/>
    <s v="2026-01"/>
  </r>
  <r>
    <s v="ORD-00378"/>
    <x v="29"/>
    <x v="4"/>
    <x v="4"/>
    <x v="0"/>
    <x v="2"/>
    <n v="1"/>
    <n v="2500"/>
    <n v="0.08"/>
    <n v="2500"/>
    <n v="2300"/>
    <n v="1550"/>
    <n v="975"/>
    <n v="324"/>
    <n v="-549"/>
    <n v="-0.238695652173913"/>
    <s v="2026-05"/>
  </r>
  <r>
    <s v="ORD-00379"/>
    <x v="139"/>
    <x v="4"/>
    <x v="4"/>
    <x v="1"/>
    <x v="0"/>
    <n v="5"/>
    <n v="2500"/>
    <n v="0.03"/>
    <n v="12500"/>
    <n v="12125"/>
    <n v="7750"/>
    <n v="809"/>
    <n v="1349"/>
    <n v="2217"/>
    <n v="0.18284536082474229"/>
    <s v="2026-02"/>
  </r>
  <r>
    <s v="ORD-00380"/>
    <x v="270"/>
    <x v="2"/>
    <x v="0"/>
    <x v="2"/>
    <x v="2"/>
    <n v="2"/>
    <n v="28000"/>
    <n v="0.2"/>
    <n v="56000"/>
    <n v="44800"/>
    <n v="43680"/>
    <n v="830"/>
    <n v="1947"/>
    <n v="-1657"/>
    <n v="-3.6986607142857141E-2"/>
    <s v="2026-03"/>
  </r>
  <r>
    <s v="ORD-00381"/>
    <x v="192"/>
    <x v="7"/>
    <x v="1"/>
    <x v="0"/>
    <x v="2"/>
    <n v="1"/>
    <n v="65000"/>
    <n v="0.03"/>
    <n v="65000"/>
    <n v="63050"/>
    <n v="54600"/>
    <n v="1715"/>
    <n v="125"/>
    <n v="6610"/>
    <n v="0.1048374306106265"/>
    <s v="2025-01"/>
  </r>
  <r>
    <s v="ORD-00382"/>
    <x v="139"/>
    <x v="1"/>
    <x v="0"/>
    <x v="0"/>
    <x v="2"/>
    <n v="5"/>
    <n v="3500"/>
    <n v="0.08"/>
    <n v="17500"/>
    <n v="16100"/>
    <n v="11900"/>
    <n v="1291"/>
    <n v="1106"/>
    <n v="1803"/>
    <n v="0.11198757763975151"/>
    <s v="2026-02"/>
  </r>
  <r>
    <s v="ORD-00383"/>
    <x v="271"/>
    <x v="5"/>
    <x v="3"/>
    <x v="0"/>
    <x v="2"/>
    <n v="6"/>
    <n v="1500"/>
    <n v="0.05"/>
    <n v="9000"/>
    <n v="8550"/>
    <n v="4950"/>
    <n v="1792"/>
    <n v="258"/>
    <n v="1550"/>
    <n v="0.1812865497076023"/>
    <s v="2026-05"/>
  </r>
  <r>
    <s v="ORD-00384"/>
    <x v="198"/>
    <x v="1"/>
    <x v="0"/>
    <x v="1"/>
    <x v="2"/>
    <n v="4"/>
    <n v="3500"/>
    <n v="0.08"/>
    <n v="14000"/>
    <n v="12880"/>
    <n v="9520"/>
    <n v="658"/>
    <n v="2395"/>
    <n v="307"/>
    <n v="2.383540372670807E-2"/>
    <s v="2026-02"/>
  </r>
  <r>
    <s v="ORD-00385"/>
    <x v="47"/>
    <x v="2"/>
    <x v="4"/>
    <x v="0"/>
    <x v="0"/>
    <n v="1"/>
    <n v="28000"/>
    <n v="0.2"/>
    <n v="28000"/>
    <n v="22400"/>
    <n v="21840"/>
    <n v="1613"/>
    <n v="2357"/>
    <n v="-3410"/>
    <n v="-0.15223214285714279"/>
    <s v="2025-10"/>
  </r>
  <r>
    <s v="ORD-00386"/>
    <x v="34"/>
    <x v="6"/>
    <x v="5"/>
    <x v="2"/>
    <x v="0"/>
    <n v="5"/>
    <n v="4500"/>
    <n v="0.05"/>
    <n v="22500"/>
    <n v="21375"/>
    <n v="14625"/>
    <n v="692"/>
    <n v="719"/>
    <n v="5339"/>
    <n v="0.24977777777777779"/>
    <s v="2025-06"/>
  </r>
  <r>
    <s v="ORD-00387"/>
    <x v="272"/>
    <x v="4"/>
    <x v="0"/>
    <x v="2"/>
    <x v="0"/>
    <n v="7"/>
    <n v="2500"/>
    <n v="0.03"/>
    <n v="17500"/>
    <n v="16975"/>
    <n v="10850"/>
    <n v="471"/>
    <n v="679"/>
    <n v="4975"/>
    <n v="0.29307805596465392"/>
    <s v="2025-09"/>
  </r>
  <r>
    <s v="ORD-00388"/>
    <x v="273"/>
    <x v="4"/>
    <x v="3"/>
    <x v="1"/>
    <x v="1"/>
    <n v="5"/>
    <n v="2500"/>
    <n v="0.05"/>
    <n v="12500"/>
    <n v="11875"/>
    <n v="7750"/>
    <n v="1242"/>
    <n v="2106"/>
    <n v="777"/>
    <n v="6.5431578947368424E-2"/>
    <s v="2025-11"/>
  </r>
  <r>
    <s v="ORD-00389"/>
    <x v="222"/>
    <x v="5"/>
    <x v="5"/>
    <x v="2"/>
    <x v="0"/>
    <n v="4"/>
    <n v="1500"/>
    <n v="0.1"/>
    <n v="6000"/>
    <n v="5400"/>
    <n v="3300"/>
    <n v="1794"/>
    <n v="2272"/>
    <n v="-1966"/>
    <n v="-0.36407407407407422"/>
    <s v="2025-12"/>
  </r>
  <r>
    <s v="ORD-00390"/>
    <x v="274"/>
    <x v="2"/>
    <x v="2"/>
    <x v="0"/>
    <x v="0"/>
    <n v="2"/>
    <n v="28000"/>
    <n v="0.1"/>
    <n v="56000"/>
    <n v="50400"/>
    <n v="43680"/>
    <n v="1364"/>
    <n v="107"/>
    <n v="5249"/>
    <n v="0.1041468253968254"/>
    <s v="2026-04"/>
  </r>
  <r>
    <s v="ORD-00391"/>
    <x v="78"/>
    <x v="0"/>
    <x v="3"/>
    <x v="1"/>
    <x v="0"/>
    <n v="1"/>
    <n v="32000"/>
    <n v="0.03"/>
    <n v="32000"/>
    <n v="31040"/>
    <n v="26240"/>
    <n v="953"/>
    <n v="1977"/>
    <n v="1870"/>
    <n v="6.0244845360824743E-2"/>
    <s v="2025-04"/>
  </r>
  <r>
    <s v="ORD-00392"/>
    <x v="275"/>
    <x v="5"/>
    <x v="2"/>
    <x v="0"/>
    <x v="0"/>
    <n v="5"/>
    <n v="1500"/>
    <n v="0.05"/>
    <n v="7500"/>
    <n v="7125"/>
    <n v="4125"/>
    <n v="1379"/>
    <n v="2318"/>
    <n v="-697"/>
    <n v="-9.7824561403508772E-2"/>
    <s v="2025-06"/>
  </r>
  <r>
    <s v="ORD-00393"/>
    <x v="248"/>
    <x v="3"/>
    <x v="2"/>
    <x v="1"/>
    <x v="2"/>
    <n v="3"/>
    <n v="18000"/>
    <n v="0.03"/>
    <n v="54000"/>
    <n v="52380"/>
    <n v="43200"/>
    <n v="1378"/>
    <n v="448"/>
    <n v="7354"/>
    <n v="0.1403970981290569"/>
    <s v="2026-03"/>
  </r>
  <r>
    <s v="ORD-00394"/>
    <x v="9"/>
    <x v="7"/>
    <x v="5"/>
    <x v="1"/>
    <x v="2"/>
    <n v="2"/>
    <n v="65000"/>
    <n v="0.05"/>
    <n v="130000"/>
    <n v="123500"/>
    <n v="109200"/>
    <n v="866"/>
    <n v="1622"/>
    <n v="11812"/>
    <n v="9.5643724696356278E-2"/>
    <s v="2025-05"/>
  </r>
  <r>
    <s v="ORD-00395"/>
    <x v="153"/>
    <x v="5"/>
    <x v="4"/>
    <x v="1"/>
    <x v="2"/>
    <n v="4"/>
    <n v="1500"/>
    <n v="0.1"/>
    <n v="6000"/>
    <n v="5400"/>
    <n v="3300"/>
    <n v="1582"/>
    <n v="373"/>
    <n v="144.99999999999949"/>
    <n v="2.6851851851851769E-2"/>
    <s v="2025-04"/>
  </r>
  <r>
    <s v="ORD-00396"/>
    <x v="276"/>
    <x v="5"/>
    <x v="2"/>
    <x v="0"/>
    <x v="0"/>
    <n v="1"/>
    <n v="1500"/>
    <n v="0.03"/>
    <n v="1500"/>
    <n v="1455"/>
    <n v="825.00000000000011"/>
    <n v="1281"/>
    <n v="253"/>
    <n v="-904.00000000000011"/>
    <n v="-0.62130584192439875"/>
    <s v="2026-02"/>
  </r>
  <r>
    <s v="ORD-00397"/>
    <x v="114"/>
    <x v="7"/>
    <x v="1"/>
    <x v="1"/>
    <x v="2"/>
    <n v="1"/>
    <n v="65000"/>
    <n v="0.03"/>
    <n v="65000"/>
    <n v="63050"/>
    <n v="54600"/>
    <n v="1416"/>
    <n v="1524"/>
    <n v="5510"/>
    <n v="8.7390959555908004E-2"/>
    <s v="2025-10"/>
  </r>
  <r>
    <s v="ORD-00398"/>
    <x v="277"/>
    <x v="5"/>
    <x v="2"/>
    <x v="1"/>
    <x v="2"/>
    <n v="5"/>
    <n v="1500"/>
    <n v="0.1"/>
    <n v="7500"/>
    <n v="6750"/>
    <n v="4125"/>
    <n v="1023"/>
    <n v="1046"/>
    <n v="556"/>
    <n v="8.2370370370370372E-2"/>
    <s v="2025-04"/>
  </r>
  <r>
    <s v="ORD-00399"/>
    <x v="99"/>
    <x v="5"/>
    <x v="3"/>
    <x v="1"/>
    <x v="0"/>
    <n v="7"/>
    <n v="1500"/>
    <n v="0.15"/>
    <n v="10500"/>
    <n v="8925"/>
    <n v="5775.0000000000009"/>
    <n v="526"/>
    <n v="2301"/>
    <n v="322.99999999999909"/>
    <n v="3.6190476190476092E-2"/>
    <s v="2026-02"/>
  </r>
  <r>
    <s v="ORD-00400"/>
    <x v="158"/>
    <x v="0"/>
    <x v="3"/>
    <x v="0"/>
    <x v="2"/>
    <n v="2"/>
    <n v="32000"/>
    <n v="0.03"/>
    <n v="64000"/>
    <n v="62080"/>
    <n v="52480"/>
    <n v="420"/>
    <n v="1491"/>
    <n v="7689"/>
    <n v="0.12385631443298969"/>
    <s v="2025-05"/>
  </r>
  <r>
    <s v="ORD-00401"/>
    <x v="278"/>
    <x v="5"/>
    <x v="0"/>
    <x v="2"/>
    <x v="2"/>
    <n v="2"/>
    <n v="1500"/>
    <n v="0.15"/>
    <n v="3000"/>
    <n v="2550"/>
    <n v="1650"/>
    <n v="620"/>
    <n v="2020"/>
    <n v="-1740"/>
    <n v="-0.68235294117647072"/>
    <s v="2026-01"/>
  </r>
  <r>
    <s v="ORD-00402"/>
    <x v="279"/>
    <x v="2"/>
    <x v="4"/>
    <x v="0"/>
    <x v="2"/>
    <n v="1"/>
    <n v="28000"/>
    <n v="0.1"/>
    <n v="28000"/>
    <n v="25200"/>
    <n v="21840"/>
    <n v="1227"/>
    <n v="389"/>
    <n v="1744"/>
    <n v="6.9206349206349202E-2"/>
    <s v="2026-03"/>
  </r>
  <r>
    <s v="ORD-00403"/>
    <x v="184"/>
    <x v="1"/>
    <x v="5"/>
    <x v="0"/>
    <x v="2"/>
    <n v="7"/>
    <n v="3500"/>
    <n v="0"/>
    <n v="24500"/>
    <n v="24500"/>
    <n v="16660"/>
    <n v="880"/>
    <n v="924"/>
    <n v="6036"/>
    <n v="0.24636734693877549"/>
    <s v="2026-05"/>
  </r>
  <r>
    <s v="ORD-00404"/>
    <x v="280"/>
    <x v="7"/>
    <x v="0"/>
    <x v="0"/>
    <x v="2"/>
    <n v="2"/>
    <n v="65000"/>
    <n v="0.03"/>
    <n v="130000"/>
    <n v="126100"/>
    <n v="109200"/>
    <n v="1308"/>
    <n v="311"/>
    <n v="15281"/>
    <n v="0.1211816019032514"/>
    <s v="2026-05"/>
  </r>
  <r>
    <s v="ORD-00405"/>
    <x v="281"/>
    <x v="5"/>
    <x v="1"/>
    <x v="0"/>
    <x v="2"/>
    <n v="6"/>
    <n v="1500"/>
    <n v="0.1"/>
    <n v="9000"/>
    <n v="8100"/>
    <n v="4950"/>
    <n v="619"/>
    <n v="2088"/>
    <n v="443"/>
    <n v="5.4691358024691362E-2"/>
    <s v="2025-12"/>
  </r>
  <r>
    <s v="ORD-00406"/>
    <x v="10"/>
    <x v="7"/>
    <x v="3"/>
    <x v="0"/>
    <x v="2"/>
    <n v="3"/>
    <n v="65000"/>
    <n v="0.05"/>
    <n v="195000"/>
    <n v="185250"/>
    <n v="163800"/>
    <n v="1408"/>
    <n v="595"/>
    <n v="19447"/>
    <n v="0.1049770580296896"/>
    <s v="2026-01"/>
  </r>
  <r>
    <s v="ORD-00407"/>
    <x v="282"/>
    <x v="6"/>
    <x v="0"/>
    <x v="0"/>
    <x v="0"/>
    <n v="5"/>
    <n v="4500"/>
    <n v="0.08"/>
    <n v="22500"/>
    <n v="20700"/>
    <n v="14625"/>
    <n v="952"/>
    <n v="371"/>
    <n v="4752"/>
    <n v="0.22956521739130431"/>
    <s v="2025-07"/>
  </r>
  <r>
    <s v="ORD-00408"/>
    <x v="283"/>
    <x v="7"/>
    <x v="5"/>
    <x v="0"/>
    <x v="0"/>
    <n v="3"/>
    <n v="65000"/>
    <n v="0.08"/>
    <n v="195000"/>
    <n v="179400"/>
    <n v="163800"/>
    <n v="925"/>
    <n v="1683"/>
    <n v="12992"/>
    <n v="7.241917502787068E-2"/>
    <s v="2026-03"/>
  </r>
  <r>
    <s v="ORD-00409"/>
    <x v="271"/>
    <x v="7"/>
    <x v="1"/>
    <x v="1"/>
    <x v="0"/>
    <n v="1"/>
    <n v="65000"/>
    <n v="0.1"/>
    <n v="65000"/>
    <n v="58500"/>
    <n v="54600"/>
    <n v="762"/>
    <n v="1204"/>
    <n v="1934"/>
    <n v="3.3059829059829057E-2"/>
    <s v="2026-05"/>
  </r>
  <r>
    <s v="ORD-00410"/>
    <x v="4"/>
    <x v="4"/>
    <x v="4"/>
    <x v="2"/>
    <x v="2"/>
    <n v="6"/>
    <n v="2500"/>
    <n v="0.15"/>
    <n v="15000"/>
    <n v="12750"/>
    <n v="9300"/>
    <n v="606"/>
    <n v="1501"/>
    <n v="1343"/>
    <n v="0.10533333333333331"/>
    <s v="2025-06"/>
  </r>
  <r>
    <s v="ORD-00411"/>
    <x v="284"/>
    <x v="4"/>
    <x v="2"/>
    <x v="2"/>
    <x v="1"/>
    <n v="1"/>
    <n v="2500"/>
    <n v="0.03"/>
    <n v="2500"/>
    <n v="2425"/>
    <n v="1550"/>
    <n v="1364"/>
    <n v="681"/>
    <n v="-1170"/>
    <n v="-0.48247422680412372"/>
    <s v="2025-09"/>
  </r>
  <r>
    <s v="ORD-00412"/>
    <x v="77"/>
    <x v="0"/>
    <x v="5"/>
    <x v="0"/>
    <x v="0"/>
    <n v="1"/>
    <n v="32000"/>
    <n v="0.1"/>
    <n v="32000"/>
    <n v="28800"/>
    <n v="26240"/>
    <n v="374"/>
    <n v="2256"/>
    <n v="-70"/>
    <n v="-2.430555555555556E-3"/>
    <s v="2025-07"/>
  </r>
  <r>
    <s v="ORD-00413"/>
    <x v="89"/>
    <x v="5"/>
    <x v="3"/>
    <x v="1"/>
    <x v="1"/>
    <n v="4"/>
    <n v="1500"/>
    <n v="0.05"/>
    <n v="6000"/>
    <n v="5700"/>
    <n v="3300"/>
    <n v="1050"/>
    <n v="142"/>
    <n v="1208"/>
    <n v="0.21192982456140341"/>
    <s v="2026-02"/>
  </r>
  <r>
    <s v="ORD-00414"/>
    <x v="88"/>
    <x v="1"/>
    <x v="0"/>
    <x v="0"/>
    <x v="2"/>
    <n v="7"/>
    <n v="3500"/>
    <n v="0.03"/>
    <n v="24500"/>
    <n v="23765"/>
    <n v="16660"/>
    <n v="1538"/>
    <n v="1001"/>
    <n v="4566"/>
    <n v="0.1921312855038923"/>
    <s v="2025-06"/>
  </r>
  <r>
    <s v="ORD-00415"/>
    <x v="194"/>
    <x v="3"/>
    <x v="0"/>
    <x v="0"/>
    <x v="2"/>
    <n v="2"/>
    <n v="18000"/>
    <n v="0"/>
    <n v="36000"/>
    <n v="36000"/>
    <n v="28800"/>
    <n v="1463"/>
    <n v="1955"/>
    <n v="3782"/>
    <n v="0.1050555555555556"/>
    <s v="2026-04"/>
  </r>
  <r>
    <s v="ORD-00416"/>
    <x v="179"/>
    <x v="2"/>
    <x v="3"/>
    <x v="1"/>
    <x v="0"/>
    <n v="1"/>
    <n v="28000"/>
    <n v="0.03"/>
    <n v="28000"/>
    <n v="27160"/>
    <n v="21840"/>
    <n v="651"/>
    <n v="1637"/>
    <n v="3032"/>
    <n v="0.1116347569955817"/>
    <s v="2026-01"/>
  </r>
  <r>
    <s v="ORD-00417"/>
    <x v="102"/>
    <x v="0"/>
    <x v="1"/>
    <x v="0"/>
    <x v="2"/>
    <n v="2"/>
    <n v="32000"/>
    <n v="0.08"/>
    <n v="64000"/>
    <n v="58880"/>
    <n v="52480"/>
    <n v="650"/>
    <n v="694"/>
    <n v="5056"/>
    <n v="8.5869565217391308E-2"/>
    <s v="2025-06"/>
  </r>
  <r>
    <s v="ORD-00418"/>
    <x v="96"/>
    <x v="7"/>
    <x v="2"/>
    <x v="1"/>
    <x v="2"/>
    <n v="1"/>
    <n v="65000"/>
    <n v="0"/>
    <n v="65000"/>
    <n v="65000"/>
    <n v="54600"/>
    <n v="1788"/>
    <n v="2478"/>
    <n v="6134"/>
    <n v="9.4369230769230775E-2"/>
    <s v="2025-10"/>
  </r>
  <r>
    <s v="ORD-00419"/>
    <x v="285"/>
    <x v="7"/>
    <x v="5"/>
    <x v="1"/>
    <x v="2"/>
    <n v="2"/>
    <n v="65000"/>
    <n v="0.08"/>
    <n v="130000"/>
    <n v="119600"/>
    <n v="109200"/>
    <n v="1087"/>
    <n v="1441"/>
    <n v="7872"/>
    <n v="6.5819397993311032E-2"/>
    <s v="2025-02"/>
  </r>
  <r>
    <s v="ORD-00420"/>
    <x v="262"/>
    <x v="2"/>
    <x v="2"/>
    <x v="1"/>
    <x v="0"/>
    <n v="2"/>
    <n v="28000"/>
    <n v="0.05"/>
    <n v="56000"/>
    <n v="53200"/>
    <n v="43680"/>
    <n v="651"/>
    <n v="2436"/>
    <n v="6433"/>
    <n v="0.1209210526315789"/>
    <s v="2025-05"/>
  </r>
  <r>
    <s v="ORD-00421"/>
    <x v="276"/>
    <x v="6"/>
    <x v="4"/>
    <x v="0"/>
    <x v="1"/>
    <n v="7"/>
    <n v="4500"/>
    <n v="0.05"/>
    <n v="31500"/>
    <n v="29925"/>
    <n v="20475"/>
    <n v="1700"/>
    <n v="859"/>
    <n v="6891"/>
    <n v="0.23027568922305761"/>
    <s v="2026-02"/>
  </r>
  <r>
    <s v="ORD-00422"/>
    <x v="282"/>
    <x v="7"/>
    <x v="5"/>
    <x v="0"/>
    <x v="0"/>
    <n v="1"/>
    <n v="65000"/>
    <n v="0"/>
    <n v="65000"/>
    <n v="65000"/>
    <n v="54600"/>
    <n v="1797"/>
    <n v="1792"/>
    <n v="6811"/>
    <n v="0.10478461538461541"/>
    <s v="2025-07"/>
  </r>
  <r>
    <s v="ORD-00423"/>
    <x v="286"/>
    <x v="5"/>
    <x v="5"/>
    <x v="0"/>
    <x v="2"/>
    <n v="6"/>
    <n v="1500"/>
    <n v="0.08"/>
    <n v="9000"/>
    <n v="8280"/>
    <n v="4950"/>
    <n v="1305"/>
    <n v="1591"/>
    <n v="434"/>
    <n v="5.2415458937198067E-2"/>
    <s v="2026-03"/>
  </r>
  <r>
    <s v="ORD-00424"/>
    <x v="26"/>
    <x v="4"/>
    <x v="1"/>
    <x v="0"/>
    <x v="0"/>
    <n v="3"/>
    <n v="2500"/>
    <n v="0.03"/>
    <n v="7500"/>
    <n v="7275"/>
    <n v="4650"/>
    <n v="1568"/>
    <n v="1926"/>
    <n v="-869"/>
    <n v="-0.1194501718213058"/>
    <s v="2025-07"/>
  </r>
  <r>
    <s v="ORD-00425"/>
    <x v="287"/>
    <x v="6"/>
    <x v="3"/>
    <x v="0"/>
    <x v="2"/>
    <n v="2"/>
    <n v="4500"/>
    <n v="0.08"/>
    <n v="9000"/>
    <n v="8280"/>
    <n v="5850"/>
    <n v="1518"/>
    <n v="318"/>
    <n v="594"/>
    <n v="7.1739130434782611E-2"/>
    <s v="2026-05"/>
  </r>
  <r>
    <s v="ORD-00426"/>
    <x v="1"/>
    <x v="5"/>
    <x v="1"/>
    <x v="1"/>
    <x v="2"/>
    <n v="4"/>
    <n v="1500"/>
    <n v="0.05"/>
    <n v="6000"/>
    <n v="5700"/>
    <n v="3300"/>
    <n v="1706"/>
    <n v="1537"/>
    <n v="-843.00000000000045"/>
    <n v="-0.14789473684210541"/>
    <s v="2025-11"/>
  </r>
  <r>
    <s v="ORD-00427"/>
    <x v="288"/>
    <x v="4"/>
    <x v="5"/>
    <x v="1"/>
    <x v="2"/>
    <n v="2"/>
    <n v="2500"/>
    <n v="0.05"/>
    <n v="5000"/>
    <n v="4750"/>
    <n v="3100"/>
    <n v="1575"/>
    <n v="659"/>
    <n v="-584"/>
    <n v="-0.1229473684210526"/>
    <s v="2025-11"/>
  </r>
  <r>
    <s v="ORD-00428"/>
    <x v="289"/>
    <x v="2"/>
    <x v="4"/>
    <x v="2"/>
    <x v="0"/>
    <n v="1"/>
    <n v="28000"/>
    <n v="0.03"/>
    <n v="28000"/>
    <n v="27160"/>
    <n v="21840"/>
    <n v="794"/>
    <n v="1277"/>
    <n v="3249"/>
    <n v="0.1196244477172312"/>
    <s v="2025-09"/>
  </r>
  <r>
    <s v="ORD-00429"/>
    <x v="128"/>
    <x v="3"/>
    <x v="5"/>
    <x v="0"/>
    <x v="0"/>
    <n v="1"/>
    <n v="18000"/>
    <n v="0.03"/>
    <n v="18000"/>
    <n v="17460"/>
    <n v="14400"/>
    <n v="1067"/>
    <n v="709"/>
    <n v="1284"/>
    <n v="7.3539518900343645E-2"/>
    <s v="2026-02"/>
  </r>
  <r>
    <s v="ORD-00430"/>
    <x v="290"/>
    <x v="1"/>
    <x v="5"/>
    <x v="2"/>
    <x v="2"/>
    <n v="4"/>
    <n v="3500"/>
    <n v="0.15"/>
    <n v="14000"/>
    <n v="11900"/>
    <n v="9520"/>
    <n v="1360"/>
    <n v="182"/>
    <n v="838"/>
    <n v="7.0420168067226896E-2"/>
    <s v="2026-02"/>
  </r>
  <r>
    <s v="ORD-00431"/>
    <x v="258"/>
    <x v="3"/>
    <x v="0"/>
    <x v="0"/>
    <x v="2"/>
    <n v="2"/>
    <n v="18000"/>
    <n v="0.2"/>
    <n v="36000"/>
    <n v="28800"/>
    <n v="28800"/>
    <n v="856"/>
    <n v="941"/>
    <n v="-1797"/>
    <n v="-6.2395833333333331E-2"/>
    <s v="2026-01"/>
  </r>
  <r>
    <s v="ORD-00432"/>
    <x v="10"/>
    <x v="4"/>
    <x v="5"/>
    <x v="0"/>
    <x v="1"/>
    <n v="5"/>
    <n v="2500"/>
    <n v="0.15"/>
    <n v="12500"/>
    <n v="10625"/>
    <n v="7750"/>
    <n v="566"/>
    <n v="743"/>
    <n v="1566"/>
    <n v="0.14738823529411771"/>
    <s v="2026-01"/>
  </r>
  <r>
    <s v="ORD-00433"/>
    <x v="291"/>
    <x v="5"/>
    <x v="4"/>
    <x v="0"/>
    <x v="2"/>
    <n v="1"/>
    <n v="1500"/>
    <n v="0.08"/>
    <n v="1500"/>
    <n v="1380"/>
    <n v="825.00000000000011"/>
    <n v="1264"/>
    <n v="2317"/>
    <n v="-3026"/>
    <n v="-2.1927536231884059"/>
    <s v="2025-07"/>
  </r>
  <r>
    <s v="ORD-00434"/>
    <x v="200"/>
    <x v="0"/>
    <x v="4"/>
    <x v="0"/>
    <x v="1"/>
    <n v="3"/>
    <n v="32000"/>
    <n v="0.1"/>
    <n v="96000"/>
    <n v="86400"/>
    <n v="78720"/>
    <n v="1270"/>
    <n v="1123"/>
    <n v="5287"/>
    <n v="6.1192129629629631E-2"/>
    <s v="2026-01"/>
  </r>
  <r>
    <s v="ORD-00435"/>
    <x v="292"/>
    <x v="4"/>
    <x v="1"/>
    <x v="0"/>
    <x v="2"/>
    <n v="5"/>
    <n v="2500"/>
    <n v="0.05"/>
    <n v="12500"/>
    <n v="11875"/>
    <n v="7750"/>
    <n v="1537"/>
    <n v="1284"/>
    <n v="1304"/>
    <n v="0.1098105263157895"/>
    <s v="2025-11"/>
  </r>
  <r>
    <s v="ORD-00436"/>
    <x v="29"/>
    <x v="2"/>
    <x v="3"/>
    <x v="0"/>
    <x v="0"/>
    <n v="2"/>
    <n v="28000"/>
    <n v="0.05"/>
    <n v="56000"/>
    <n v="53200"/>
    <n v="43680"/>
    <n v="1387"/>
    <n v="2466"/>
    <n v="5667"/>
    <n v="0.10652255639097739"/>
    <s v="2026-05"/>
  </r>
  <r>
    <s v="ORD-00437"/>
    <x v="135"/>
    <x v="0"/>
    <x v="5"/>
    <x v="2"/>
    <x v="0"/>
    <n v="3"/>
    <n v="32000"/>
    <n v="0.08"/>
    <n v="96000"/>
    <n v="88320"/>
    <n v="78720"/>
    <n v="890"/>
    <n v="593"/>
    <n v="8117"/>
    <n v="9.1904438405797095E-2"/>
    <s v="2026-05"/>
  </r>
  <r>
    <s v="ORD-00438"/>
    <x v="293"/>
    <x v="7"/>
    <x v="4"/>
    <x v="0"/>
    <x v="1"/>
    <n v="3"/>
    <n v="65000"/>
    <n v="0.03"/>
    <n v="195000"/>
    <n v="189150"/>
    <n v="163800"/>
    <n v="995"/>
    <n v="1817"/>
    <n v="22538"/>
    <n v="0.11915411049431671"/>
    <s v="2025-07"/>
  </r>
  <r>
    <s v="ORD-00439"/>
    <x v="162"/>
    <x v="4"/>
    <x v="2"/>
    <x v="0"/>
    <x v="0"/>
    <n v="4"/>
    <n v="2500"/>
    <n v="0.1"/>
    <n v="10000"/>
    <n v="9000"/>
    <n v="6200"/>
    <n v="879"/>
    <n v="1742"/>
    <n v="179"/>
    <n v="1.988888888888889E-2"/>
    <s v="2025-12"/>
  </r>
  <r>
    <s v="ORD-00440"/>
    <x v="294"/>
    <x v="3"/>
    <x v="4"/>
    <x v="0"/>
    <x v="2"/>
    <n v="3"/>
    <n v="18000"/>
    <n v="0.08"/>
    <n v="54000"/>
    <n v="49680"/>
    <n v="43200"/>
    <n v="1428"/>
    <n v="355"/>
    <n v="4697"/>
    <n v="9.4545088566827695E-2"/>
    <s v="2025-05"/>
  </r>
  <r>
    <s v="ORD-00441"/>
    <x v="295"/>
    <x v="5"/>
    <x v="5"/>
    <x v="2"/>
    <x v="2"/>
    <n v="7"/>
    <n v="1500"/>
    <n v="0.05"/>
    <n v="10500"/>
    <n v="9975"/>
    <n v="5775.0000000000009"/>
    <n v="1226"/>
    <n v="1073"/>
    <n v="1900.9999999999991"/>
    <n v="0.19057644110275679"/>
    <s v="2025-05"/>
  </r>
  <r>
    <s v="ORD-00442"/>
    <x v="66"/>
    <x v="1"/>
    <x v="0"/>
    <x v="2"/>
    <x v="0"/>
    <n v="5"/>
    <n v="3500"/>
    <n v="0.1"/>
    <n v="17500"/>
    <n v="15750"/>
    <n v="11900"/>
    <n v="1059"/>
    <n v="2168"/>
    <n v="623"/>
    <n v="3.9555555555555552E-2"/>
    <s v="2025-08"/>
  </r>
  <r>
    <s v="ORD-00443"/>
    <x v="296"/>
    <x v="4"/>
    <x v="0"/>
    <x v="1"/>
    <x v="0"/>
    <n v="4"/>
    <n v="2500"/>
    <n v="0.05"/>
    <n v="10000"/>
    <n v="9500"/>
    <n v="6200"/>
    <n v="395"/>
    <n v="2287"/>
    <n v="618"/>
    <n v="6.5052631578947362E-2"/>
    <s v="2026-03"/>
  </r>
  <r>
    <s v="ORD-00444"/>
    <x v="273"/>
    <x v="1"/>
    <x v="3"/>
    <x v="2"/>
    <x v="1"/>
    <n v="5"/>
    <n v="3500"/>
    <n v="0.05"/>
    <n v="17500"/>
    <n v="16625"/>
    <n v="11900"/>
    <n v="251"/>
    <n v="2300"/>
    <n v="2174"/>
    <n v="0.13076691729323309"/>
    <s v="2025-11"/>
  </r>
  <r>
    <s v="ORD-00445"/>
    <x v="297"/>
    <x v="5"/>
    <x v="5"/>
    <x v="0"/>
    <x v="2"/>
    <n v="6"/>
    <n v="1500"/>
    <n v="0.05"/>
    <n v="9000"/>
    <n v="8550"/>
    <n v="4950"/>
    <n v="1585"/>
    <n v="413"/>
    <n v="1602"/>
    <n v="0.1873684210526316"/>
    <s v="2025-04"/>
  </r>
  <r>
    <s v="ORD-00446"/>
    <x v="217"/>
    <x v="4"/>
    <x v="5"/>
    <x v="0"/>
    <x v="0"/>
    <n v="5"/>
    <n v="2500"/>
    <n v="0.08"/>
    <n v="12500"/>
    <n v="11500"/>
    <n v="7750"/>
    <n v="861"/>
    <n v="2408"/>
    <n v="481"/>
    <n v="4.1826086956521742E-2"/>
    <s v="2026-03"/>
  </r>
  <r>
    <s v="ORD-00447"/>
    <x v="298"/>
    <x v="6"/>
    <x v="4"/>
    <x v="0"/>
    <x v="0"/>
    <n v="1"/>
    <n v="4500"/>
    <n v="0"/>
    <n v="4500"/>
    <n v="4500"/>
    <n v="2925"/>
    <n v="656"/>
    <n v="1408"/>
    <n v="-489"/>
    <n v="-0.1086666666666667"/>
    <s v="2025-08"/>
  </r>
  <r>
    <s v="ORD-00448"/>
    <x v="299"/>
    <x v="5"/>
    <x v="4"/>
    <x v="1"/>
    <x v="0"/>
    <n v="7"/>
    <n v="1500"/>
    <n v="0.05"/>
    <n v="10500"/>
    <n v="9975"/>
    <n v="5775.0000000000009"/>
    <n v="1268"/>
    <n v="1524"/>
    <n v="1407.9999999999991"/>
    <n v="0.1411528822055137"/>
    <s v="2025-09"/>
  </r>
  <r>
    <s v="ORD-00449"/>
    <x v="55"/>
    <x v="2"/>
    <x v="1"/>
    <x v="2"/>
    <x v="2"/>
    <n v="2"/>
    <n v="28000"/>
    <n v="0.03"/>
    <n v="56000"/>
    <n v="54320"/>
    <n v="43680"/>
    <n v="488"/>
    <n v="820"/>
    <n v="9332"/>
    <n v="0.17179675994108981"/>
    <s v="2025-08"/>
  </r>
  <r>
    <s v="ORD-00450"/>
    <x v="299"/>
    <x v="0"/>
    <x v="3"/>
    <x v="0"/>
    <x v="2"/>
    <n v="3"/>
    <n v="32000"/>
    <n v="0.03"/>
    <n v="96000"/>
    <n v="93120"/>
    <n v="78720"/>
    <n v="1457"/>
    <n v="2353"/>
    <n v="10590"/>
    <n v="0.1137242268041237"/>
    <s v="2025-09"/>
  </r>
  <r>
    <s v="ORD-00451"/>
    <x v="300"/>
    <x v="6"/>
    <x v="5"/>
    <x v="0"/>
    <x v="0"/>
    <n v="4"/>
    <n v="4500"/>
    <n v="0.08"/>
    <n v="18000"/>
    <n v="16560"/>
    <n v="11700"/>
    <n v="562"/>
    <n v="1632"/>
    <n v="2666"/>
    <n v="0.16099033816425121"/>
    <s v="2025-05"/>
  </r>
  <r>
    <s v="ORD-00452"/>
    <x v="301"/>
    <x v="2"/>
    <x v="4"/>
    <x v="2"/>
    <x v="0"/>
    <n v="3"/>
    <n v="28000"/>
    <n v="0.1"/>
    <n v="84000"/>
    <n v="75600"/>
    <n v="65520"/>
    <n v="1145"/>
    <n v="1477"/>
    <n v="7458"/>
    <n v="9.8650793650793656E-2"/>
    <s v="2026-05"/>
  </r>
  <r>
    <s v="ORD-00453"/>
    <x v="302"/>
    <x v="3"/>
    <x v="4"/>
    <x v="0"/>
    <x v="1"/>
    <n v="3"/>
    <n v="18000"/>
    <n v="0"/>
    <n v="54000"/>
    <n v="54000"/>
    <n v="43200"/>
    <n v="1656"/>
    <n v="344"/>
    <n v="8800"/>
    <n v="0.162962962962963"/>
    <s v="2025-11"/>
  </r>
  <r>
    <s v="ORD-00454"/>
    <x v="210"/>
    <x v="7"/>
    <x v="5"/>
    <x v="2"/>
    <x v="0"/>
    <n v="3"/>
    <n v="65000"/>
    <n v="0"/>
    <n v="195000"/>
    <n v="195000"/>
    <n v="163800"/>
    <n v="504"/>
    <n v="1130"/>
    <n v="29566"/>
    <n v="0.15162051282051281"/>
    <s v="2025-11"/>
  </r>
  <r>
    <s v="ORD-00455"/>
    <x v="303"/>
    <x v="6"/>
    <x v="4"/>
    <x v="1"/>
    <x v="0"/>
    <n v="1"/>
    <n v="4500"/>
    <n v="0.15"/>
    <n v="4500"/>
    <n v="3825"/>
    <n v="2925"/>
    <n v="450"/>
    <n v="1888"/>
    <n v="-1438"/>
    <n v="-0.37594771241830072"/>
    <s v="2026-01"/>
  </r>
  <r>
    <s v="ORD-00456"/>
    <x v="78"/>
    <x v="5"/>
    <x v="5"/>
    <x v="2"/>
    <x v="2"/>
    <n v="1"/>
    <n v="1500"/>
    <n v="0.1"/>
    <n v="1500"/>
    <n v="1350"/>
    <n v="825.00000000000011"/>
    <n v="1296"/>
    <n v="1947"/>
    <n v="-2718"/>
    <n v="-2.0133333333333332"/>
    <s v="2025-04"/>
  </r>
  <r>
    <s v="ORD-00457"/>
    <x v="208"/>
    <x v="5"/>
    <x v="0"/>
    <x v="2"/>
    <x v="2"/>
    <n v="3"/>
    <n v="1500"/>
    <n v="0.05"/>
    <n v="4500"/>
    <n v="4275"/>
    <n v="2475"/>
    <n v="1422"/>
    <n v="817"/>
    <n v="-439"/>
    <n v="-0.10269005847953221"/>
    <s v="2026-02"/>
  </r>
  <r>
    <s v="ORD-00458"/>
    <x v="304"/>
    <x v="0"/>
    <x v="1"/>
    <x v="2"/>
    <x v="2"/>
    <n v="3"/>
    <n v="32000"/>
    <n v="0"/>
    <n v="96000"/>
    <n v="96000"/>
    <n v="78720"/>
    <n v="1141"/>
    <n v="641"/>
    <n v="15498"/>
    <n v="0.16143750000000001"/>
    <s v="2025-02"/>
  </r>
  <r>
    <s v="ORD-00459"/>
    <x v="117"/>
    <x v="3"/>
    <x v="2"/>
    <x v="1"/>
    <x v="1"/>
    <n v="2"/>
    <n v="18000"/>
    <n v="0.05"/>
    <n v="36000"/>
    <n v="34200"/>
    <n v="28800"/>
    <n v="950"/>
    <n v="2332"/>
    <n v="2118"/>
    <n v="6.1929824561403508E-2"/>
    <s v="2025-10"/>
  </r>
  <r>
    <s v="ORD-00460"/>
    <x v="305"/>
    <x v="2"/>
    <x v="0"/>
    <x v="0"/>
    <x v="2"/>
    <n v="2"/>
    <n v="28000"/>
    <n v="0.08"/>
    <n v="56000"/>
    <n v="51520"/>
    <n v="43680"/>
    <n v="534"/>
    <n v="631"/>
    <n v="6675"/>
    <n v="0.12956133540372669"/>
    <s v="2025-08"/>
  </r>
  <r>
    <s v="ORD-00461"/>
    <x v="306"/>
    <x v="4"/>
    <x v="2"/>
    <x v="1"/>
    <x v="0"/>
    <n v="6"/>
    <n v="2500"/>
    <n v="0.1"/>
    <n v="15000"/>
    <n v="13500"/>
    <n v="9300"/>
    <n v="239"/>
    <n v="2206"/>
    <n v="1755"/>
    <n v="0.13"/>
    <s v="2026-05"/>
  </r>
  <r>
    <s v="ORD-00462"/>
    <x v="307"/>
    <x v="4"/>
    <x v="5"/>
    <x v="0"/>
    <x v="0"/>
    <n v="3"/>
    <n v="2500"/>
    <n v="0.05"/>
    <n v="7500"/>
    <n v="7125"/>
    <n v="4650"/>
    <n v="1097"/>
    <n v="1185"/>
    <n v="193"/>
    <n v="2.7087719298245619E-2"/>
    <s v="2025-09"/>
  </r>
  <r>
    <s v="ORD-00463"/>
    <x v="242"/>
    <x v="2"/>
    <x v="5"/>
    <x v="1"/>
    <x v="0"/>
    <n v="1"/>
    <n v="28000"/>
    <n v="0"/>
    <n v="28000"/>
    <n v="28000"/>
    <n v="21840"/>
    <n v="1271"/>
    <n v="2055"/>
    <n v="2834"/>
    <n v="0.1012142857142857"/>
    <s v="2025-05"/>
  </r>
  <r>
    <s v="ORD-00464"/>
    <x v="308"/>
    <x v="1"/>
    <x v="4"/>
    <x v="0"/>
    <x v="0"/>
    <n v="6"/>
    <n v="3500"/>
    <n v="0.1"/>
    <n v="21000"/>
    <n v="18900"/>
    <n v="14280"/>
    <n v="1537"/>
    <n v="1334"/>
    <n v="1748.999999999998"/>
    <n v="9.253968253968245E-2"/>
    <s v="2025-02"/>
  </r>
  <r>
    <s v="ORD-00465"/>
    <x v="135"/>
    <x v="0"/>
    <x v="4"/>
    <x v="1"/>
    <x v="0"/>
    <n v="2"/>
    <n v="32000"/>
    <n v="0.1"/>
    <n v="64000"/>
    <n v="57600"/>
    <n v="52480"/>
    <n v="600"/>
    <n v="1090"/>
    <n v="3430"/>
    <n v="5.9548611111111108E-2"/>
    <s v="2026-05"/>
  </r>
  <r>
    <s v="ORD-00466"/>
    <x v="309"/>
    <x v="5"/>
    <x v="0"/>
    <x v="0"/>
    <x v="0"/>
    <n v="2"/>
    <n v="1500"/>
    <n v="0.05"/>
    <n v="3000"/>
    <n v="2850"/>
    <n v="1650"/>
    <n v="466"/>
    <n v="153"/>
    <n v="580.99999999999977"/>
    <n v="0.20385964912280691"/>
    <s v="2026-06"/>
  </r>
  <r>
    <s v="ORD-00467"/>
    <x v="249"/>
    <x v="2"/>
    <x v="5"/>
    <x v="1"/>
    <x v="2"/>
    <n v="2"/>
    <n v="28000"/>
    <n v="0.15"/>
    <n v="56000"/>
    <n v="47600"/>
    <n v="43680"/>
    <n v="849"/>
    <n v="2447"/>
    <n v="624"/>
    <n v="1.3109243697478991E-2"/>
    <s v="2026-01"/>
  </r>
  <r>
    <s v="ORD-00468"/>
    <x v="310"/>
    <x v="4"/>
    <x v="3"/>
    <x v="1"/>
    <x v="2"/>
    <n v="2"/>
    <n v="2500"/>
    <n v="0.05"/>
    <n v="5000"/>
    <n v="4750"/>
    <n v="3100"/>
    <n v="1541"/>
    <n v="1492"/>
    <n v="-1383"/>
    <n v="-0.29115789473684212"/>
    <s v="2026-01"/>
  </r>
  <r>
    <s v="ORD-00469"/>
    <x v="167"/>
    <x v="6"/>
    <x v="4"/>
    <x v="1"/>
    <x v="2"/>
    <n v="3"/>
    <n v="4500"/>
    <n v="0.08"/>
    <n v="13500"/>
    <n v="12420"/>
    <n v="8775"/>
    <n v="1352"/>
    <n v="2115"/>
    <n v="178"/>
    <n v="1.43317230273752E-2"/>
    <s v="2025-06"/>
  </r>
  <r>
    <s v="ORD-00470"/>
    <x v="231"/>
    <x v="5"/>
    <x v="2"/>
    <x v="0"/>
    <x v="1"/>
    <n v="7"/>
    <n v="1500"/>
    <n v="0.03"/>
    <n v="10500"/>
    <n v="10185"/>
    <n v="5775.0000000000009"/>
    <n v="1198"/>
    <n v="1074"/>
    <n v="2137.9999999999991"/>
    <n v="0.20991654393716239"/>
    <s v="2025-07"/>
  </r>
  <r>
    <s v="ORD-00471"/>
    <x v="311"/>
    <x v="3"/>
    <x v="5"/>
    <x v="0"/>
    <x v="2"/>
    <n v="2"/>
    <n v="18000"/>
    <n v="0.1"/>
    <n v="36000"/>
    <n v="32400"/>
    <n v="28800"/>
    <n v="403"/>
    <n v="260"/>
    <n v="2937"/>
    <n v="9.0648148148148144E-2"/>
    <s v="2026-06"/>
  </r>
  <r>
    <s v="ORD-00472"/>
    <x v="312"/>
    <x v="1"/>
    <x v="3"/>
    <x v="2"/>
    <x v="2"/>
    <n v="5"/>
    <n v="3500"/>
    <n v="0.15"/>
    <n v="17500"/>
    <n v="14875"/>
    <n v="11900"/>
    <n v="1740"/>
    <n v="1937"/>
    <n v="-702"/>
    <n v="-4.7193277310924368E-2"/>
    <s v="2025-08"/>
  </r>
  <r>
    <s v="ORD-00473"/>
    <x v="313"/>
    <x v="1"/>
    <x v="0"/>
    <x v="2"/>
    <x v="0"/>
    <n v="7"/>
    <n v="3500"/>
    <n v="0.2"/>
    <n v="24500"/>
    <n v="19600"/>
    <n v="16660"/>
    <n v="429"/>
    <n v="2037"/>
    <n v="474"/>
    <n v="2.418367346938775E-2"/>
    <s v="2025-09"/>
  </r>
  <r>
    <s v="ORD-00474"/>
    <x v="314"/>
    <x v="6"/>
    <x v="4"/>
    <x v="2"/>
    <x v="1"/>
    <n v="3"/>
    <n v="4500"/>
    <n v="0.2"/>
    <n v="13500"/>
    <n v="10800"/>
    <n v="8775"/>
    <n v="498"/>
    <n v="1056"/>
    <n v="471"/>
    <n v="4.3611111111111107E-2"/>
    <s v="2025-04"/>
  </r>
  <r>
    <s v="ORD-00475"/>
    <x v="315"/>
    <x v="4"/>
    <x v="0"/>
    <x v="2"/>
    <x v="2"/>
    <n v="7"/>
    <n v="2500"/>
    <n v="0"/>
    <n v="17500"/>
    <n v="17500"/>
    <n v="10850"/>
    <n v="452"/>
    <n v="2004"/>
    <n v="4194"/>
    <n v="0.23965714285714279"/>
    <s v="2026-04"/>
  </r>
  <r>
    <s v="ORD-00476"/>
    <x v="63"/>
    <x v="6"/>
    <x v="3"/>
    <x v="2"/>
    <x v="0"/>
    <n v="7"/>
    <n v="4500"/>
    <n v="0"/>
    <n v="31500"/>
    <n v="31500"/>
    <n v="20475"/>
    <n v="700"/>
    <n v="265"/>
    <n v="10060"/>
    <n v="0.31936507936507941"/>
    <s v="2026-02"/>
  </r>
  <r>
    <s v="ORD-00477"/>
    <x v="26"/>
    <x v="5"/>
    <x v="4"/>
    <x v="2"/>
    <x v="0"/>
    <n v="7"/>
    <n v="1500"/>
    <n v="0.1"/>
    <n v="10500"/>
    <n v="9450"/>
    <n v="5775.0000000000009"/>
    <n v="1458"/>
    <n v="614"/>
    <n v="1602.9999999999991"/>
    <n v="0.16962962962962949"/>
    <s v="2025-07"/>
  </r>
  <r>
    <s v="ORD-00478"/>
    <x v="316"/>
    <x v="7"/>
    <x v="0"/>
    <x v="2"/>
    <x v="2"/>
    <n v="1"/>
    <n v="65000"/>
    <n v="0.08"/>
    <n v="65000"/>
    <n v="59800"/>
    <n v="54600"/>
    <n v="218"/>
    <n v="2221"/>
    <n v="2761"/>
    <n v="4.6170568561872911E-2"/>
    <s v="2025-10"/>
  </r>
  <r>
    <s v="ORD-00479"/>
    <x v="244"/>
    <x v="2"/>
    <x v="1"/>
    <x v="1"/>
    <x v="0"/>
    <n v="3"/>
    <n v="28000"/>
    <n v="0.08"/>
    <n v="84000"/>
    <n v="77280"/>
    <n v="65520"/>
    <n v="1414"/>
    <n v="1438"/>
    <n v="8908"/>
    <n v="0.1152691511387164"/>
    <s v="2025-04"/>
  </r>
  <r>
    <s v="ORD-00480"/>
    <x v="317"/>
    <x v="4"/>
    <x v="0"/>
    <x v="0"/>
    <x v="0"/>
    <n v="3"/>
    <n v="2500"/>
    <n v="0.1"/>
    <n v="7500"/>
    <n v="6750"/>
    <n v="4650"/>
    <n v="1378"/>
    <n v="1690"/>
    <n v="-968"/>
    <n v="-0.1434074074074074"/>
    <s v="2026-04"/>
  </r>
  <r>
    <s v="ORD-00481"/>
    <x v="108"/>
    <x v="7"/>
    <x v="3"/>
    <x v="0"/>
    <x v="0"/>
    <n v="3"/>
    <n v="65000"/>
    <n v="0.1"/>
    <n v="195000"/>
    <n v="175500"/>
    <n v="163800"/>
    <n v="1200"/>
    <n v="1305"/>
    <n v="9195"/>
    <n v="5.2393162393162392E-2"/>
    <s v="2026-04"/>
  </r>
  <r>
    <s v="ORD-00482"/>
    <x v="78"/>
    <x v="5"/>
    <x v="3"/>
    <x v="0"/>
    <x v="2"/>
    <n v="1"/>
    <n v="1500"/>
    <n v="0.03"/>
    <n v="1500"/>
    <n v="1455"/>
    <n v="825.00000000000011"/>
    <n v="605"/>
    <n v="1849"/>
    <n v="-1824"/>
    <n v="-1.25360824742268"/>
    <s v="2025-04"/>
  </r>
  <r>
    <s v="ORD-00483"/>
    <x v="318"/>
    <x v="3"/>
    <x v="3"/>
    <x v="1"/>
    <x v="1"/>
    <n v="1"/>
    <n v="18000"/>
    <n v="0.08"/>
    <n v="18000"/>
    <n v="16560"/>
    <n v="14400"/>
    <n v="1266"/>
    <n v="306"/>
    <n v="588"/>
    <n v="3.5507246376811602E-2"/>
    <s v="2025-10"/>
  </r>
  <r>
    <s v="ORD-00484"/>
    <x v="237"/>
    <x v="5"/>
    <x v="1"/>
    <x v="1"/>
    <x v="2"/>
    <n v="2"/>
    <n v="1500"/>
    <n v="0.05"/>
    <n v="3000"/>
    <n v="2850"/>
    <n v="1650"/>
    <n v="1172"/>
    <n v="1957"/>
    <n v="-1929"/>
    <n v="-0.67684210526315802"/>
    <s v="2026-03"/>
  </r>
  <r>
    <s v="ORD-00485"/>
    <x v="319"/>
    <x v="4"/>
    <x v="2"/>
    <x v="0"/>
    <x v="0"/>
    <n v="6"/>
    <n v="2500"/>
    <n v="0.1"/>
    <n v="15000"/>
    <n v="13500"/>
    <n v="9300"/>
    <n v="1252"/>
    <n v="395"/>
    <n v="2553"/>
    <n v="0.18911111111111109"/>
    <s v="2025-12"/>
  </r>
  <r>
    <s v="ORD-00486"/>
    <x v="320"/>
    <x v="4"/>
    <x v="4"/>
    <x v="2"/>
    <x v="1"/>
    <n v="7"/>
    <n v="2500"/>
    <n v="0.08"/>
    <n v="17500"/>
    <n v="16100"/>
    <n v="10850"/>
    <n v="1154"/>
    <n v="1362"/>
    <n v="2734"/>
    <n v="0.16981366459627331"/>
    <s v="2025-06"/>
  </r>
  <r>
    <s v="ORD-00487"/>
    <x v="321"/>
    <x v="7"/>
    <x v="5"/>
    <x v="0"/>
    <x v="0"/>
    <n v="3"/>
    <n v="65000"/>
    <n v="0.03"/>
    <n v="195000"/>
    <n v="189150"/>
    <n v="163800"/>
    <n v="1457"/>
    <n v="564"/>
    <n v="23329"/>
    <n v="0.1233359767380386"/>
    <s v="2025-08"/>
  </r>
  <r>
    <s v="ORD-00488"/>
    <x v="46"/>
    <x v="6"/>
    <x v="5"/>
    <x v="1"/>
    <x v="1"/>
    <n v="6"/>
    <n v="4500"/>
    <n v="0.05"/>
    <n v="27000"/>
    <n v="25650"/>
    <n v="17550"/>
    <n v="1532"/>
    <n v="1754"/>
    <n v="4814"/>
    <n v="0.1876803118908382"/>
    <s v="2025-09"/>
  </r>
  <r>
    <s v="ORD-00489"/>
    <x v="322"/>
    <x v="1"/>
    <x v="2"/>
    <x v="0"/>
    <x v="0"/>
    <n v="3"/>
    <n v="3500"/>
    <n v="0.08"/>
    <n v="10500"/>
    <n v="9660"/>
    <n v="7140.0000000000009"/>
    <n v="1321"/>
    <n v="2069"/>
    <n v="-870.00000000000091"/>
    <n v="-9.0062111801242337E-2"/>
    <s v="2025-03"/>
  </r>
  <r>
    <s v="ORD-00490"/>
    <x v="323"/>
    <x v="2"/>
    <x v="2"/>
    <x v="2"/>
    <x v="0"/>
    <n v="2"/>
    <n v="28000"/>
    <n v="0.15"/>
    <n v="56000"/>
    <n v="47600"/>
    <n v="43680"/>
    <n v="1127"/>
    <n v="663"/>
    <n v="2130"/>
    <n v="4.4747899159663873E-2"/>
    <s v="2026-04"/>
  </r>
  <r>
    <s v="ORD-00491"/>
    <x v="78"/>
    <x v="3"/>
    <x v="3"/>
    <x v="0"/>
    <x v="0"/>
    <n v="3"/>
    <n v="18000"/>
    <n v="0.1"/>
    <n v="54000"/>
    <n v="48600"/>
    <n v="43200"/>
    <n v="309"/>
    <n v="291"/>
    <n v="4800"/>
    <n v="9.8765432098765427E-2"/>
    <s v="2025-04"/>
  </r>
  <r>
    <s v="ORD-00492"/>
    <x v="324"/>
    <x v="5"/>
    <x v="1"/>
    <x v="2"/>
    <x v="2"/>
    <n v="1"/>
    <n v="1500"/>
    <n v="0.05"/>
    <n v="1500"/>
    <n v="1425"/>
    <n v="825.00000000000011"/>
    <n v="1236"/>
    <n v="135"/>
    <n v="-771.00000000000011"/>
    <n v="-0.54105263157894745"/>
    <s v="2025-04"/>
  </r>
  <r>
    <s v="ORD-00493"/>
    <x v="170"/>
    <x v="3"/>
    <x v="0"/>
    <x v="1"/>
    <x v="0"/>
    <n v="2"/>
    <n v="18000"/>
    <n v="0.15"/>
    <n v="36000"/>
    <n v="30600"/>
    <n v="28800"/>
    <n v="1599"/>
    <n v="130"/>
    <n v="71"/>
    <n v="2.3202614379084969E-3"/>
    <s v="2026-01"/>
  </r>
  <r>
    <s v="ORD-00494"/>
    <x v="264"/>
    <x v="1"/>
    <x v="2"/>
    <x v="0"/>
    <x v="0"/>
    <n v="6"/>
    <n v="3500"/>
    <n v="0.1"/>
    <n v="21000"/>
    <n v="18900"/>
    <n v="14280"/>
    <n v="1351"/>
    <n v="2385"/>
    <n v="883.99999999999818"/>
    <n v="4.6772486772486667E-2"/>
    <s v="2025-12"/>
  </r>
  <r>
    <s v="ORD-00495"/>
    <x v="182"/>
    <x v="7"/>
    <x v="1"/>
    <x v="0"/>
    <x v="2"/>
    <n v="1"/>
    <n v="65000"/>
    <n v="0.05"/>
    <n v="65000"/>
    <n v="61750"/>
    <n v="54600"/>
    <n v="1190"/>
    <n v="924"/>
    <n v="5036"/>
    <n v="8.1554655870445344E-2"/>
    <s v="2026-03"/>
  </r>
  <r>
    <s v="ORD-00496"/>
    <x v="325"/>
    <x v="6"/>
    <x v="1"/>
    <x v="0"/>
    <x v="0"/>
    <n v="5"/>
    <n v="4500"/>
    <n v="0.05"/>
    <n v="22500"/>
    <n v="21375"/>
    <n v="14625"/>
    <n v="729"/>
    <n v="1071"/>
    <n v="4950"/>
    <n v="0.23157894736842111"/>
    <s v="2026-02"/>
  </r>
  <r>
    <s v="ORD-00497"/>
    <x v="326"/>
    <x v="0"/>
    <x v="0"/>
    <x v="1"/>
    <x v="0"/>
    <n v="1"/>
    <n v="32000"/>
    <n v="0.2"/>
    <n v="32000"/>
    <n v="25600"/>
    <n v="26240"/>
    <n v="592"/>
    <n v="139"/>
    <n v="-1371"/>
    <n v="-5.3554687500000003E-2"/>
    <s v="2025-08"/>
  </r>
  <r>
    <s v="ORD-00498"/>
    <x v="296"/>
    <x v="7"/>
    <x v="5"/>
    <x v="2"/>
    <x v="2"/>
    <n v="3"/>
    <n v="65000"/>
    <n v="0.08"/>
    <n v="195000"/>
    <n v="179400"/>
    <n v="163800"/>
    <n v="1261"/>
    <n v="1334"/>
    <n v="13005"/>
    <n v="7.2491638795986621E-2"/>
    <s v="2026-03"/>
  </r>
  <r>
    <s v="ORD-00499"/>
    <x v="204"/>
    <x v="0"/>
    <x v="4"/>
    <x v="2"/>
    <x v="0"/>
    <n v="3"/>
    <n v="32000"/>
    <n v="0.05"/>
    <n v="96000"/>
    <n v="91200"/>
    <n v="78720"/>
    <n v="544"/>
    <n v="2371"/>
    <n v="9565"/>
    <n v="0.10487938596491229"/>
    <s v="2026-05"/>
  </r>
  <r>
    <s v="ORD-00500"/>
    <x v="7"/>
    <x v="6"/>
    <x v="3"/>
    <x v="0"/>
    <x v="0"/>
    <n v="3"/>
    <n v="4500"/>
    <n v="0.1"/>
    <n v="13500"/>
    <n v="12150"/>
    <n v="8775"/>
    <n v="387"/>
    <n v="1981"/>
    <n v="1007"/>
    <n v="8.2880658436213991E-2"/>
    <s v="2025-09"/>
  </r>
  <r>
    <s v="ORD-00501"/>
    <x v="140"/>
    <x v="7"/>
    <x v="2"/>
    <x v="0"/>
    <x v="1"/>
    <n v="1"/>
    <n v="65000"/>
    <n v="0.08"/>
    <n v="65000"/>
    <n v="59800"/>
    <n v="54600"/>
    <n v="685"/>
    <n v="1545"/>
    <n v="2970"/>
    <n v="4.9665551839464882E-2"/>
    <s v="2025-04"/>
  </r>
  <r>
    <s v="ORD-00502"/>
    <x v="198"/>
    <x v="4"/>
    <x v="3"/>
    <x v="0"/>
    <x v="2"/>
    <n v="5"/>
    <n v="2500"/>
    <n v="0.05"/>
    <n v="12500"/>
    <n v="11875"/>
    <n v="7750"/>
    <n v="919"/>
    <n v="505"/>
    <n v="2701"/>
    <n v="0.22745263157894741"/>
    <s v="2026-02"/>
  </r>
  <r>
    <s v="ORD-00503"/>
    <x v="33"/>
    <x v="4"/>
    <x v="4"/>
    <x v="0"/>
    <x v="0"/>
    <n v="2"/>
    <n v="2500"/>
    <n v="0.05"/>
    <n v="5000"/>
    <n v="4750"/>
    <n v="3100"/>
    <n v="898"/>
    <n v="1300"/>
    <n v="-548"/>
    <n v="-0.11536842105263161"/>
    <s v="2025-12"/>
  </r>
  <r>
    <s v="ORD-00504"/>
    <x v="327"/>
    <x v="7"/>
    <x v="3"/>
    <x v="1"/>
    <x v="0"/>
    <n v="3"/>
    <n v="65000"/>
    <n v="0.03"/>
    <n v="195000"/>
    <n v="189150"/>
    <n v="163800"/>
    <n v="961"/>
    <n v="1719"/>
    <n v="22670"/>
    <n v="0.1198519693365054"/>
    <s v="2026-05"/>
  </r>
  <r>
    <s v="ORD-00505"/>
    <x v="31"/>
    <x v="2"/>
    <x v="5"/>
    <x v="0"/>
    <x v="2"/>
    <n v="2"/>
    <n v="28000"/>
    <n v="0"/>
    <n v="56000"/>
    <n v="56000"/>
    <n v="43680"/>
    <n v="699"/>
    <n v="436"/>
    <n v="11185"/>
    <n v="0.19973214285714291"/>
    <s v="2026-04"/>
  </r>
  <r>
    <s v="ORD-00506"/>
    <x v="328"/>
    <x v="2"/>
    <x v="1"/>
    <x v="1"/>
    <x v="0"/>
    <n v="2"/>
    <n v="28000"/>
    <n v="0.15"/>
    <n v="56000"/>
    <n v="47600"/>
    <n v="43680"/>
    <n v="1502"/>
    <n v="427"/>
    <n v="1991"/>
    <n v="4.1827731092436968E-2"/>
    <s v="2025-11"/>
  </r>
  <r>
    <s v="ORD-00507"/>
    <x v="25"/>
    <x v="1"/>
    <x v="3"/>
    <x v="0"/>
    <x v="0"/>
    <n v="1"/>
    <n v="3500"/>
    <n v="0.1"/>
    <n v="3500"/>
    <n v="3150"/>
    <n v="2380"/>
    <n v="1495"/>
    <n v="986"/>
    <n v="-1711"/>
    <n v="-0.5431746031746032"/>
    <s v="2025-01"/>
  </r>
  <r>
    <s v="ORD-00508"/>
    <x v="28"/>
    <x v="0"/>
    <x v="4"/>
    <x v="1"/>
    <x v="0"/>
    <n v="1"/>
    <n v="32000"/>
    <n v="0.1"/>
    <n v="32000"/>
    <n v="28800"/>
    <n v="26240"/>
    <n v="437"/>
    <n v="1217"/>
    <n v="906"/>
    <n v="3.1458333333333331E-2"/>
    <s v="2025-12"/>
  </r>
  <r>
    <s v="ORD-00509"/>
    <x v="22"/>
    <x v="3"/>
    <x v="2"/>
    <x v="1"/>
    <x v="0"/>
    <n v="3"/>
    <n v="18000"/>
    <n v="0.08"/>
    <n v="54000"/>
    <n v="49680"/>
    <n v="43200"/>
    <n v="1690"/>
    <n v="242"/>
    <n v="4548"/>
    <n v="9.1545893719806759E-2"/>
    <s v="2025-07"/>
  </r>
  <r>
    <s v="ORD-00510"/>
    <x v="278"/>
    <x v="0"/>
    <x v="5"/>
    <x v="1"/>
    <x v="0"/>
    <n v="2"/>
    <n v="32000"/>
    <n v="0.08"/>
    <n v="64000"/>
    <n v="58880"/>
    <n v="52480"/>
    <n v="507"/>
    <n v="1817"/>
    <n v="4076"/>
    <n v="6.9225543478260876E-2"/>
    <s v="2026-01"/>
  </r>
  <r>
    <s v="ORD-00511"/>
    <x v="163"/>
    <x v="3"/>
    <x v="3"/>
    <x v="2"/>
    <x v="2"/>
    <n v="1"/>
    <n v="18000"/>
    <n v="0.05"/>
    <n v="18000"/>
    <n v="17100"/>
    <n v="14400"/>
    <n v="339"/>
    <n v="1604"/>
    <n v="757"/>
    <n v="4.4269005847953208E-2"/>
    <s v="2025-08"/>
  </r>
  <r>
    <s v="ORD-00512"/>
    <x v="329"/>
    <x v="4"/>
    <x v="0"/>
    <x v="1"/>
    <x v="2"/>
    <n v="6"/>
    <n v="2500"/>
    <n v="0.1"/>
    <n v="15000"/>
    <n v="13500"/>
    <n v="9300"/>
    <n v="306"/>
    <n v="982"/>
    <n v="2912"/>
    <n v="0.2157037037037037"/>
    <s v="2025-05"/>
  </r>
  <r>
    <s v="ORD-00513"/>
    <x v="6"/>
    <x v="2"/>
    <x v="3"/>
    <x v="0"/>
    <x v="2"/>
    <n v="1"/>
    <n v="28000"/>
    <n v="0.15"/>
    <n v="28000"/>
    <n v="23800"/>
    <n v="21840"/>
    <n v="623"/>
    <n v="1691"/>
    <n v="-354"/>
    <n v="-1.487394957983193E-2"/>
    <s v="2026-01"/>
  </r>
  <r>
    <s v="ORD-00514"/>
    <x v="118"/>
    <x v="3"/>
    <x v="0"/>
    <x v="0"/>
    <x v="2"/>
    <n v="3"/>
    <n v="18000"/>
    <n v="0.08"/>
    <n v="54000"/>
    <n v="49680"/>
    <n v="43200"/>
    <n v="1456"/>
    <n v="2068"/>
    <n v="2956"/>
    <n v="5.9500805152979057E-2"/>
    <s v="2025-08"/>
  </r>
  <r>
    <s v="ORD-00515"/>
    <x v="51"/>
    <x v="4"/>
    <x v="3"/>
    <x v="1"/>
    <x v="2"/>
    <n v="2"/>
    <n v="2500"/>
    <n v="0.08"/>
    <n v="5000"/>
    <n v="4600"/>
    <n v="3100"/>
    <n v="1070"/>
    <n v="767"/>
    <n v="-337"/>
    <n v="-7.3260869565217393E-2"/>
    <s v="2025-09"/>
  </r>
  <r>
    <s v="ORD-00516"/>
    <x v="330"/>
    <x v="2"/>
    <x v="2"/>
    <x v="2"/>
    <x v="2"/>
    <n v="2"/>
    <n v="28000"/>
    <n v="0.15"/>
    <n v="56000"/>
    <n v="47600"/>
    <n v="43680"/>
    <n v="1594"/>
    <n v="2324"/>
    <n v="2"/>
    <n v="4.2016806722689077E-5"/>
    <s v="2025-10"/>
  </r>
  <r>
    <s v="ORD-00517"/>
    <x v="331"/>
    <x v="3"/>
    <x v="1"/>
    <x v="0"/>
    <x v="2"/>
    <n v="1"/>
    <n v="18000"/>
    <n v="0.1"/>
    <n v="18000"/>
    <n v="16200"/>
    <n v="14400"/>
    <n v="1470"/>
    <n v="1617"/>
    <n v="-1287"/>
    <n v="-7.9444444444444443E-2"/>
    <s v="2025-03"/>
  </r>
  <r>
    <s v="ORD-00518"/>
    <x v="18"/>
    <x v="3"/>
    <x v="1"/>
    <x v="2"/>
    <x v="2"/>
    <n v="3"/>
    <n v="18000"/>
    <n v="0.1"/>
    <n v="54000"/>
    <n v="48600"/>
    <n v="43200"/>
    <n v="409"/>
    <n v="1067"/>
    <n v="3924"/>
    <n v="8.0740740740740738E-2"/>
    <s v="2026-04"/>
  </r>
  <r>
    <s v="ORD-00519"/>
    <x v="101"/>
    <x v="7"/>
    <x v="1"/>
    <x v="0"/>
    <x v="2"/>
    <n v="3"/>
    <n v="65000"/>
    <n v="0.03"/>
    <n v="195000"/>
    <n v="189150"/>
    <n v="163800"/>
    <n v="1510"/>
    <n v="1498"/>
    <n v="22342"/>
    <n v="0.1181178958498546"/>
    <s v="2026-06"/>
  </r>
  <r>
    <s v="ORD-00520"/>
    <x v="12"/>
    <x v="6"/>
    <x v="0"/>
    <x v="1"/>
    <x v="2"/>
    <n v="2"/>
    <n v="4500"/>
    <n v="0.15"/>
    <n v="9000"/>
    <n v="7650"/>
    <n v="5850"/>
    <n v="1115"/>
    <n v="251"/>
    <n v="434"/>
    <n v="5.6732026143790852E-2"/>
    <s v="2025-01"/>
  </r>
  <r>
    <s v="ORD-00521"/>
    <x v="332"/>
    <x v="0"/>
    <x v="1"/>
    <x v="2"/>
    <x v="1"/>
    <n v="3"/>
    <n v="32000"/>
    <n v="0.03"/>
    <n v="96000"/>
    <n v="93120"/>
    <n v="78720"/>
    <n v="1779"/>
    <n v="1810"/>
    <n v="10811"/>
    <n v="0.1160975085910653"/>
    <s v="2025-06"/>
  </r>
  <r>
    <s v="ORD-00522"/>
    <x v="98"/>
    <x v="0"/>
    <x v="4"/>
    <x v="0"/>
    <x v="0"/>
    <n v="3"/>
    <n v="32000"/>
    <n v="0"/>
    <n v="96000"/>
    <n v="96000"/>
    <n v="78720"/>
    <n v="1469"/>
    <n v="1701"/>
    <n v="14110"/>
    <n v="0.14697916666666669"/>
    <s v="2026-01"/>
  </r>
  <r>
    <s v="ORD-00523"/>
    <x v="333"/>
    <x v="6"/>
    <x v="4"/>
    <x v="0"/>
    <x v="2"/>
    <n v="5"/>
    <n v="4500"/>
    <n v="0.1"/>
    <n v="22500"/>
    <n v="20250"/>
    <n v="14625"/>
    <n v="1704"/>
    <n v="983"/>
    <n v="2938"/>
    <n v="0.14508641975308639"/>
    <s v="2025-10"/>
  </r>
  <r>
    <s v="ORD-00524"/>
    <x v="58"/>
    <x v="5"/>
    <x v="5"/>
    <x v="0"/>
    <x v="2"/>
    <n v="7"/>
    <n v="1500"/>
    <n v="0.05"/>
    <n v="10500"/>
    <n v="9975"/>
    <n v="5775.0000000000009"/>
    <n v="988"/>
    <n v="1083"/>
    <n v="2128.9999999999991"/>
    <n v="0.2134335839598997"/>
    <s v="2025-03"/>
  </r>
  <r>
    <s v="ORD-00525"/>
    <x v="334"/>
    <x v="0"/>
    <x v="0"/>
    <x v="0"/>
    <x v="0"/>
    <n v="3"/>
    <n v="32000"/>
    <n v="0.15"/>
    <n v="96000"/>
    <n v="81600"/>
    <n v="78720"/>
    <n v="938"/>
    <n v="971"/>
    <n v="971"/>
    <n v="1.1899509803921571E-2"/>
    <s v="2025-07"/>
  </r>
  <r>
    <s v="ORD-00526"/>
    <x v="334"/>
    <x v="5"/>
    <x v="4"/>
    <x v="0"/>
    <x v="2"/>
    <n v="1"/>
    <n v="1500"/>
    <n v="0"/>
    <n v="1500"/>
    <n v="1500"/>
    <n v="825.00000000000011"/>
    <n v="402"/>
    <n v="672"/>
    <n v="-399.00000000000011"/>
    <n v="-0.26600000000000013"/>
    <s v="2025-07"/>
  </r>
  <r>
    <s v="ORD-00527"/>
    <x v="335"/>
    <x v="1"/>
    <x v="5"/>
    <x v="1"/>
    <x v="0"/>
    <n v="3"/>
    <n v="3500"/>
    <n v="0.2"/>
    <n v="10500"/>
    <n v="8400"/>
    <n v="7140.0000000000009"/>
    <n v="1420"/>
    <n v="684"/>
    <n v="-844.00000000000091"/>
    <n v="-0.10047619047619059"/>
    <s v="2026-05"/>
  </r>
  <r>
    <s v="ORD-00528"/>
    <x v="221"/>
    <x v="4"/>
    <x v="4"/>
    <x v="2"/>
    <x v="1"/>
    <n v="4"/>
    <n v="2500"/>
    <n v="0.03"/>
    <n v="10000"/>
    <n v="9700"/>
    <n v="6200"/>
    <n v="916"/>
    <n v="990"/>
    <n v="1594"/>
    <n v="0.1643298969072165"/>
    <s v="2026-03"/>
  </r>
  <r>
    <s v="ORD-00529"/>
    <x v="299"/>
    <x v="7"/>
    <x v="2"/>
    <x v="0"/>
    <x v="0"/>
    <n v="3"/>
    <n v="65000"/>
    <n v="0.2"/>
    <n v="195000"/>
    <n v="156000"/>
    <n v="163800"/>
    <n v="1718"/>
    <n v="773"/>
    <n v="-10291"/>
    <n v="-6.5967948717948713E-2"/>
    <s v="2025-09"/>
  </r>
  <r>
    <s v="ORD-00530"/>
    <x v="99"/>
    <x v="6"/>
    <x v="5"/>
    <x v="0"/>
    <x v="1"/>
    <n v="5"/>
    <n v="4500"/>
    <n v="0.08"/>
    <n v="22500"/>
    <n v="20700"/>
    <n v="14625"/>
    <n v="960"/>
    <n v="1549"/>
    <n v="3566"/>
    <n v="0.17227053140096621"/>
    <s v="2026-02"/>
  </r>
  <r>
    <s v="ORD-00531"/>
    <x v="336"/>
    <x v="3"/>
    <x v="5"/>
    <x v="0"/>
    <x v="1"/>
    <n v="2"/>
    <n v="18000"/>
    <n v="0.1"/>
    <n v="36000"/>
    <n v="32400"/>
    <n v="28800"/>
    <n v="728"/>
    <n v="2137"/>
    <n v="735"/>
    <n v="2.268518518518519E-2"/>
    <s v="2025-06"/>
  </r>
  <r>
    <s v="ORD-00532"/>
    <x v="184"/>
    <x v="4"/>
    <x v="0"/>
    <x v="1"/>
    <x v="2"/>
    <n v="6"/>
    <n v="2500"/>
    <n v="0.03"/>
    <n v="15000"/>
    <n v="14550"/>
    <n v="9300"/>
    <n v="271"/>
    <n v="754"/>
    <n v="4225"/>
    <n v="0.29037800687285231"/>
    <s v="2026-05"/>
  </r>
  <r>
    <s v="ORD-00533"/>
    <x v="312"/>
    <x v="3"/>
    <x v="1"/>
    <x v="0"/>
    <x v="0"/>
    <n v="3"/>
    <n v="18000"/>
    <n v="0"/>
    <n v="54000"/>
    <n v="54000"/>
    <n v="43200"/>
    <n v="1181"/>
    <n v="506"/>
    <n v="9113"/>
    <n v="0.16875925925925919"/>
    <s v="2025-08"/>
  </r>
  <r>
    <s v="ORD-00534"/>
    <x v="115"/>
    <x v="5"/>
    <x v="2"/>
    <x v="1"/>
    <x v="0"/>
    <n v="6"/>
    <n v="1500"/>
    <n v="0.03"/>
    <n v="9000"/>
    <n v="8730"/>
    <n v="4950"/>
    <n v="1671"/>
    <n v="853"/>
    <n v="1256"/>
    <n v="0.14387170675830471"/>
    <s v="2025-05"/>
  </r>
  <r>
    <s v="ORD-00535"/>
    <x v="337"/>
    <x v="1"/>
    <x v="2"/>
    <x v="1"/>
    <x v="0"/>
    <n v="7"/>
    <n v="3500"/>
    <n v="0.05"/>
    <n v="24500"/>
    <n v="23275"/>
    <n v="16660"/>
    <n v="1086"/>
    <n v="118"/>
    <n v="5411"/>
    <n v="0.23248120300751879"/>
    <s v="2026-05"/>
  </r>
  <r>
    <s v="ORD-00536"/>
    <x v="308"/>
    <x v="5"/>
    <x v="4"/>
    <x v="0"/>
    <x v="1"/>
    <n v="4"/>
    <n v="1500"/>
    <n v="0.08"/>
    <n v="6000"/>
    <n v="5520"/>
    <n v="3300"/>
    <n v="321"/>
    <n v="531"/>
    <n v="1368"/>
    <n v="0.2478260869565217"/>
    <s v="2025-02"/>
  </r>
  <r>
    <s v="ORD-00537"/>
    <x v="267"/>
    <x v="2"/>
    <x v="4"/>
    <x v="0"/>
    <x v="2"/>
    <n v="1"/>
    <n v="28000"/>
    <n v="0.05"/>
    <n v="28000"/>
    <n v="26600"/>
    <n v="21840"/>
    <n v="1387"/>
    <n v="1251"/>
    <n v="2122"/>
    <n v="7.9774436090225567E-2"/>
    <s v="2026-02"/>
  </r>
  <r>
    <s v="ORD-00538"/>
    <x v="338"/>
    <x v="5"/>
    <x v="1"/>
    <x v="0"/>
    <x v="1"/>
    <n v="3"/>
    <n v="1500"/>
    <n v="0"/>
    <n v="4500"/>
    <n v="4500"/>
    <n v="2475"/>
    <n v="1413"/>
    <n v="1511"/>
    <n v="-899"/>
    <n v="-0.1997777777777778"/>
    <s v="2026-03"/>
  </r>
  <r>
    <s v="ORD-00539"/>
    <x v="339"/>
    <x v="0"/>
    <x v="5"/>
    <x v="0"/>
    <x v="0"/>
    <n v="3"/>
    <n v="32000"/>
    <n v="0.03"/>
    <n v="96000"/>
    <n v="93120"/>
    <n v="78720"/>
    <n v="991"/>
    <n v="270"/>
    <n v="13139"/>
    <n v="0.14109750859106529"/>
    <s v="2025-06"/>
  </r>
  <r>
    <s v="ORD-00540"/>
    <x v="340"/>
    <x v="0"/>
    <x v="1"/>
    <x v="0"/>
    <x v="0"/>
    <n v="3"/>
    <n v="32000"/>
    <n v="0.05"/>
    <n v="96000"/>
    <n v="91200"/>
    <n v="78720"/>
    <n v="1348"/>
    <n v="1581"/>
    <n v="9551"/>
    <n v="0.1047258771929825"/>
    <s v="2025-08"/>
  </r>
  <r>
    <s v="ORD-00541"/>
    <x v="201"/>
    <x v="0"/>
    <x v="3"/>
    <x v="2"/>
    <x v="2"/>
    <n v="2"/>
    <n v="32000"/>
    <n v="0.1"/>
    <n v="64000"/>
    <n v="57600"/>
    <n v="52480"/>
    <n v="372"/>
    <n v="552"/>
    <n v="4196"/>
    <n v="7.2847222222222216E-2"/>
    <s v="2025-12"/>
  </r>
  <r>
    <s v="ORD-00542"/>
    <x v="115"/>
    <x v="5"/>
    <x v="1"/>
    <x v="1"/>
    <x v="2"/>
    <n v="4"/>
    <n v="1500"/>
    <n v="0.1"/>
    <n v="6000"/>
    <n v="5400"/>
    <n v="3300"/>
    <n v="205"/>
    <n v="387"/>
    <n v="1508"/>
    <n v="0.27925925925925921"/>
    <s v="2025-05"/>
  </r>
  <r>
    <s v="ORD-00543"/>
    <x v="341"/>
    <x v="5"/>
    <x v="0"/>
    <x v="1"/>
    <x v="0"/>
    <n v="6"/>
    <n v="1500"/>
    <n v="0.05"/>
    <n v="9000"/>
    <n v="8550"/>
    <n v="4950"/>
    <n v="646"/>
    <n v="934"/>
    <n v="2020"/>
    <n v="0.2362573099415205"/>
    <s v="2025-04"/>
  </r>
  <r>
    <s v="ORD-00544"/>
    <x v="29"/>
    <x v="0"/>
    <x v="3"/>
    <x v="0"/>
    <x v="2"/>
    <n v="1"/>
    <n v="32000"/>
    <n v="0.1"/>
    <n v="32000"/>
    <n v="28800"/>
    <n v="26240"/>
    <n v="615"/>
    <n v="825"/>
    <n v="1120"/>
    <n v="3.888888888888889E-2"/>
    <s v="2026-05"/>
  </r>
  <r>
    <s v="ORD-00545"/>
    <x v="342"/>
    <x v="6"/>
    <x v="2"/>
    <x v="0"/>
    <x v="0"/>
    <n v="7"/>
    <n v="4500"/>
    <n v="0.03"/>
    <n v="31500"/>
    <n v="30555"/>
    <n v="20475"/>
    <n v="962"/>
    <n v="1638"/>
    <n v="7480"/>
    <n v="0.24480445099001799"/>
    <s v="2026-01"/>
  </r>
  <r>
    <s v="ORD-00546"/>
    <x v="331"/>
    <x v="2"/>
    <x v="4"/>
    <x v="0"/>
    <x v="2"/>
    <n v="1"/>
    <n v="28000"/>
    <n v="0.05"/>
    <n v="28000"/>
    <n v="26600"/>
    <n v="21840"/>
    <n v="1040"/>
    <n v="1914"/>
    <n v="1806"/>
    <n v="6.7894736842105258E-2"/>
    <s v="2025-03"/>
  </r>
  <r>
    <s v="ORD-00547"/>
    <x v="163"/>
    <x v="3"/>
    <x v="5"/>
    <x v="1"/>
    <x v="0"/>
    <n v="3"/>
    <n v="18000"/>
    <n v="0.05"/>
    <n v="54000"/>
    <n v="51300"/>
    <n v="43200"/>
    <n v="1123"/>
    <n v="2117"/>
    <n v="4860"/>
    <n v="9.4736842105263161E-2"/>
    <s v="2025-08"/>
  </r>
  <r>
    <s v="ORD-00548"/>
    <x v="192"/>
    <x v="6"/>
    <x v="3"/>
    <x v="0"/>
    <x v="2"/>
    <n v="2"/>
    <n v="4500"/>
    <n v="0.05"/>
    <n v="9000"/>
    <n v="8550"/>
    <n v="5850"/>
    <n v="838"/>
    <n v="2060"/>
    <n v="-198"/>
    <n v="-2.315789473684211E-2"/>
    <s v="2025-01"/>
  </r>
  <r>
    <s v="ORD-00549"/>
    <x v="84"/>
    <x v="2"/>
    <x v="5"/>
    <x v="0"/>
    <x v="1"/>
    <n v="3"/>
    <n v="28000"/>
    <n v="0.03"/>
    <n v="84000"/>
    <n v="81480"/>
    <n v="65520"/>
    <n v="604"/>
    <n v="784"/>
    <n v="14572"/>
    <n v="0.17884143348060871"/>
    <s v="2026-05"/>
  </r>
  <r>
    <s v="ORD-00550"/>
    <x v="13"/>
    <x v="5"/>
    <x v="0"/>
    <x v="0"/>
    <x v="2"/>
    <n v="1"/>
    <n v="1500"/>
    <n v="0.05"/>
    <n v="1500"/>
    <n v="1425"/>
    <n v="825.00000000000011"/>
    <n v="253"/>
    <n v="1454"/>
    <n v="-1107"/>
    <n v="-0.77684210526315789"/>
    <s v="2025-08"/>
  </r>
  <r>
    <s v="ORD-00551"/>
    <x v="298"/>
    <x v="2"/>
    <x v="1"/>
    <x v="1"/>
    <x v="2"/>
    <n v="2"/>
    <n v="28000"/>
    <n v="0.1"/>
    <n v="56000"/>
    <n v="50400"/>
    <n v="43680"/>
    <n v="690"/>
    <n v="530"/>
    <n v="5500"/>
    <n v="0.1091269841269841"/>
    <s v="2025-08"/>
  </r>
  <r>
    <s v="ORD-00552"/>
    <x v="71"/>
    <x v="0"/>
    <x v="3"/>
    <x v="0"/>
    <x v="2"/>
    <n v="2"/>
    <n v="32000"/>
    <n v="0.08"/>
    <n v="64000"/>
    <n v="58880"/>
    <n v="52480"/>
    <n v="1026"/>
    <n v="2430"/>
    <n v="2944"/>
    <n v="0.05"/>
    <s v="2025-03"/>
  </r>
  <r>
    <s v="ORD-00553"/>
    <x v="343"/>
    <x v="1"/>
    <x v="2"/>
    <x v="2"/>
    <x v="1"/>
    <n v="6"/>
    <n v="3500"/>
    <n v="0.03"/>
    <n v="21000"/>
    <n v="20370"/>
    <n v="14280"/>
    <n v="1286"/>
    <n v="352"/>
    <n v="4451.9999999999982"/>
    <n v="0.21855670103092781"/>
    <s v="2026-04"/>
  </r>
  <r>
    <s v="ORD-00554"/>
    <x v="344"/>
    <x v="3"/>
    <x v="3"/>
    <x v="1"/>
    <x v="2"/>
    <n v="2"/>
    <n v="18000"/>
    <n v="0.05"/>
    <n v="36000"/>
    <n v="34200"/>
    <n v="28800"/>
    <n v="275"/>
    <n v="1025"/>
    <n v="4100"/>
    <n v="0.11988304093567249"/>
    <s v="2026-02"/>
  </r>
  <r>
    <s v="ORD-00555"/>
    <x v="100"/>
    <x v="5"/>
    <x v="3"/>
    <x v="1"/>
    <x v="2"/>
    <n v="5"/>
    <n v="1500"/>
    <n v="0.05"/>
    <n v="7500"/>
    <n v="7125"/>
    <n v="4125"/>
    <n v="394"/>
    <n v="327"/>
    <n v="2279"/>
    <n v="0.31985964912280701"/>
    <s v="2026-03"/>
  </r>
  <r>
    <s v="ORD-00556"/>
    <x v="345"/>
    <x v="1"/>
    <x v="3"/>
    <x v="0"/>
    <x v="2"/>
    <n v="5"/>
    <n v="3500"/>
    <n v="0.1"/>
    <n v="17500"/>
    <n v="15750"/>
    <n v="11900"/>
    <n v="1211"/>
    <n v="384"/>
    <n v="2255"/>
    <n v="0.1431746031746032"/>
    <s v="2025-10"/>
  </r>
  <r>
    <s v="ORD-00557"/>
    <x v="317"/>
    <x v="3"/>
    <x v="1"/>
    <x v="0"/>
    <x v="0"/>
    <n v="2"/>
    <n v="18000"/>
    <n v="0"/>
    <n v="36000"/>
    <n v="36000"/>
    <n v="28800"/>
    <n v="1253"/>
    <n v="144"/>
    <n v="5803"/>
    <n v="0.16119444444444439"/>
    <s v="2026-04"/>
  </r>
  <r>
    <s v="ORD-00558"/>
    <x v="153"/>
    <x v="1"/>
    <x v="5"/>
    <x v="0"/>
    <x v="0"/>
    <n v="4"/>
    <n v="3500"/>
    <n v="0.15"/>
    <n v="14000"/>
    <n v="11900"/>
    <n v="9520"/>
    <n v="1590"/>
    <n v="1031"/>
    <n v="-241"/>
    <n v="-2.025210084033614E-2"/>
    <s v="2025-04"/>
  </r>
  <r>
    <s v="ORD-00559"/>
    <x v="86"/>
    <x v="2"/>
    <x v="1"/>
    <x v="0"/>
    <x v="2"/>
    <n v="2"/>
    <n v="28000"/>
    <n v="0"/>
    <n v="56000"/>
    <n v="56000"/>
    <n v="43680"/>
    <n v="837"/>
    <n v="377"/>
    <n v="11106"/>
    <n v="0.19832142857142859"/>
    <s v="2025-10"/>
  </r>
  <r>
    <s v="ORD-00560"/>
    <x v="310"/>
    <x v="0"/>
    <x v="0"/>
    <x v="1"/>
    <x v="1"/>
    <n v="3"/>
    <n v="32000"/>
    <n v="0"/>
    <n v="96000"/>
    <n v="96000"/>
    <n v="78720"/>
    <n v="689"/>
    <n v="1282"/>
    <n v="15309"/>
    <n v="0.15946874999999999"/>
    <s v="2026-01"/>
  </r>
  <r>
    <s v="ORD-00561"/>
    <x v="346"/>
    <x v="4"/>
    <x v="1"/>
    <x v="1"/>
    <x v="0"/>
    <n v="7"/>
    <n v="2500"/>
    <n v="0.05"/>
    <n v="17500"/>
    <n v="16625"/>
    <n v="10850"/>
    <n v="386"/>
    <n v="2007"/>
    <n v="3382"/>
    <n v="0.2034285714285714"/>
    <s v="2025-05"/>
  </r>
  <r>
    <s v="ORD-00562"/>
    <x v="347"/>
    <x v="3"/>
    <x v="2"/>
    <x v="1"/>
    <x v="0"/>
    <n v="2"/>
    <n v="18000"/>
    <n v="0"/>
    <n v="36000"/>
    <n v="36000"/>
    <n v="28800"/>
    <n v="1126"/>
    <n v="2276"/>
    <n v="3798"/>
    <n v="0.1055"/>
    <s v="2025-12"/>
  </r>
  <r>
    <s v="ORD-00563"/>
    <x v="348"/>
    <x v="5"/>
    <x v="1"/>
    <x v="1"/>
    <x v="0"/>
    <n v="7"/>
    <n v="1500"/>
    <n v="0.05"/>
    <n v="10500"/>
    <n v="9975"/>
    <n v="5775.0000000000009"/>
    <n v="1571"/>
    <n v="420"/>
    <n v="2208.9999999999991"/>
    <n v="0.2214536340852129"/>
    <s v="2025-06"/>
  </r>
  <r>
    <s v="ORD-00564"/>
    <x v="268"/>
    <x v="5"/>
    <x v="0"/>
    <x v="2"/>
    <x v="2"/>
    <n v="4"/>
    <n v="1500"/>
    <n v="0"/>
    <n v="6000"/>
    <n v="6000"/>
    <n v="3300"/>
    <n v="1519"/>
    <n v="917"/>
    <n v="263.99999999999949"/>
    <n v="4.3999999999999921E-2"/>
    <s v="2025-06"/>
  </r>
  <r>
    <s v="ORD-00565"/>
    <x v="349"/>
    <x v="2"/>
    <x v="3"/>
    <x v="0"/>
    <x v="2"/>
    <n v="3"/>
    <n v="28000"/>
    <n v="0.08"/>
    <n v="84000"/>
    <n v="77280"/>
    <n v="65520"/>
    <n v="1161"/>
    <n v="755"/>
    <n v="9844"/>
    <n v="0.1273809523809524"/>
    <s v="2025-11"/>
  </r>
  <r>
    <s v="ORD-00566"/>
    <x v="60"/>
    <x v="7"/>
    <x v="3"/>
    <x v="0"/>
    <x v="2"/>
    <n v="1"/>
    <n v="65000"/>
    <n v="0.05"/>
    <n v="65000"/>
    <n v="61750"/>
    <n v="54600"/>
    <n v="497"/>
    <n v="907"/>
    <n v="5746"/>
    <n v="9.3052631578947373E-2"/>
    <s v="2025-12"/>
  </r>
  <r>
    <s v="ORD-00567"/>
    <x v="177"/>
    <x v="3"/>
    <x v="1"/>
    <x v="0"/>
    <x v="0"/>
    <n v="1"/>
    <n v="18000"/>
    <n v="0.08"/>
    <n v="18000"/>
    <n v="16560"/>
    <n v="14400"/>
    <n v="667"/>
    <n v="1406"/>
    <n v="87"/>
    <n v="5.2536231884057968E-3"/>
    <s v="2025-12"/>
  </r>
  <r>
    <s v="ORD-00568"/>
    <x v="216"/>
    <x v="5"/>
    <x v="1"/>
    <x v="2"/>
    <x v="0"/>
    <n v="1"/>
    <n v="1500"/>
    <n v="0.05"/>
    <n v="1500"/>
    <n v="1425"/>
    <n v="825.00000000000011"/>
    <n v="400"/>
    <n v="621"/>
    <n v="-421.00000000000011"/>
    <n v="-0.29543859649122822"/>
    <s v="2026-05"/>
  </r>
  <r>
    <s v="ORD-00569"/>
    <x v="195"/>
    <x v="2"/>
    <x v="5"/>
    <x v="2"/>
    <x v="2"/>
    <n v="1"/>
    <n v="28000"/>
    <n v="0.08"/>
    <n v="28000"/>
    <n v="25760"/>
    <n v="21840"/>
    <n v="1631"/>
    <n v="2137"/>
    <n v="152"/>
    <n v="5.9006211180124227E-3"/>
    <s v="2026-01"/>
  </r>
  <r>
    <s v="ORD-00570"/>
    <x v="185"/>
    <x v="5"/>
    <x v="4"/>
    <x v="0"/>
    <x v="2"/>
    <n v="5"/>
    <n v="1500"/>
    <n v="0.08"/>
    <n v="7500"/>
    <n v="6900"/>
    <n v="4125"/>
    <n v="324"/>
    <n v="970"/>
    <n v="1481"/>
    <n v="0.21463768115942031"/>
    <s v="2025-10"/>
  </r>
  <r>
    <s v="ORD-00571"/>
    <x v="37"/>
    <x v="2"/>
    <x v="3"/>
    <x v="1"/>
    <x v="2"/>
    <n v="2"/>
    <n v="28000"/>
    <n v="0.1"/>
    <n v="56000"/>
    <n v="50400"/>
    <n v="43680"/>
    <n v="513"/>
    <n v="431"/>
    <n v="5776"/>
    <n v="0.1146031746031746"/>
    <s v="2025-05"/>
  </r>
  <r>
    <s v="ORD-00572"/>
    <x v="50"/>
    <x v="6"/>
    <x v="5"/>
    <x v="2"/>
    <x v="0"/>
    <n v="7"/>
    <n v="4500"/>
    <n v="0.1"/>
    <n v="31500"/>
    <n v="28350"/>
    <n v="20475"/>
    <n v="1579"/>
    <n v="539"/>
    <n v="5757"/>
    <n v="0.20306878306878309"/>
    <s v="2025-04"/>
  </r>
  <r>
    <s v="ORD-00573"/>
    <x v="350"/>
    <x v="6"/>
    <x v="4"/>
    <x v="1"/>
    <x v="0"/>
    <n v="3"/>
    <n v="4500"/>
    <n v="0.03"/>
    <n v="13500"/>
    <n v="13095"/>
    <n v="8775"/>
    <n v="322"/>
    <n v="1523"/>
    <n v="2475"/>
    <n v="0.18900343642611681"/>
    <s v="2026-03"/>
  </r>
  <r>
    <s v="ORD-00574"/>
    <x v="351"/>
    <x v="0"/>
    <x v="4"/>
    <x v="0"/>
    <x v="2"/>
    <n v="2"/>
    <n v="32000"/>
    <n v="0.1"/>
    <n v="64000"/>
    <n v="57600"/>
    <n v="52480"/>
    <n v="1111"/>
    <n v="1460"/>
    <n v="2549"/>
    <n v="4.4253472222222222E-2"/>
    <s v="2025-05"/>
  </r>
  <r>
    <s v="ORD-00575"/>
    <x v="227"/>
    <x v="5"/>
    <x v="0"/>
    <x v="0"/>
    <x v="0"/>
    <n v="1"/>
    <n v="1500"/>
    <n v="0.1"/>
    <n v="1500"/>
    <n v="1350"/>
    <n v="825.00000000000011"/>
    <n v="694"/>
    <n v="655"/>
    <n v="-824.00000000000011"/>
    <n v="-0.61037037037037045"/>
    <s v="2025-04"/>
  </r>
  <r>
    <s v="ORD-00576"/>
    <x v="352"/>
    <x v="4"/>
    <x v="0"/>
    <x v="0"/>
    <x v="2"/>
    <n v="6"/>
    <n v="2500"/>
    <n v="0"/>
    <n v="15000"/>
    <n v="15000"/>
    <n v="9300"/>
    <n v="1064"/>
    <n v="1368"/>
    <n v="3268"/>
    <n v="0.21786666666666671"/>
    <s v="2025-10"/>
  </r>
  <r>
    <s v="ORD-00577"/>
    <x v="353"/>
    <x v="6"/>
    <x v="4"/>
    <x v="1"/>
    <x v="2"/>
    <n v="6"/>
    <n v="4500"/>
    <n v="0.08"/>
    <n v="27000"/>
    <n v="24840"/>
    <n v="17550"/>
    <n v="1135"/>
    <n v="2398"/>
    <n v="3757"/>
    <n v="0.1512479871175523"/>
    <s v="2025-10"/>
  </r>
  <r>
    <s v="ORD-00578"/>
    <x v="71"/>
    <x v="7"/>
    <x v="5"/>
    <x v="0"/>
    <x v="2"/>
    <n v="3"/>
    <n v="65000"/>
    <n v="0.05"/>
    <n v="195000"/>
    <n v="185250"/>
    <n v="163800"/>
    <n v="1036"/>
    <n v="607"/>
    <n v="19807"/>
    <n v="0.1069203778677463"/>
    <s v="2025-03"/>
  </r>
  <r>
    <s v="ORD-00579"/>
    <x v="309"/>
    <x v="4"/>
    <x v="0"/>
    <x v="2"/>
    <x v="0"/>
    <n v="7"/>
    <n v="2500"/>
    <n v="0.2"/>
    <n v="17500"/>
    <n v="14000"/>
    <n v="10850"/>
    <n v="1567"/>
    <n v="2201"/>
    <n v="-618"/>
    <n v="-4.4142857142857143E-2"/>
    <s v="2026-06"/>
  </r>
  <r>
    <s v="ORD-00580"/>
    <x v="288"/>
    <x v="0"/>
    <x v="4"/>
    <x v="1"/>
    <x v="2"/>
    <n v="2"/>
    <n v="32000"/>
    <n v="0.05"/>
    <n v="64000"/>
    <n v="60800"/>
    <n v="52480"/>
    <n v="328"/>
    <n v="1972"/>
    <n v="6020"/>
    <n v="9.9013157894736845E-2"/>
    <s v="2025-11"/>
  </r>
  <r>
    <s v="ORD-00581"/>
    <x v="316"/>
    <x v="5"/>
    <x v="5"/>
    <x v="2"/>
    <x v="2"/>
    <n v="3"/>
    <n v="1500"/>
    <n v="0.08"/>
    <n v="4500"/>
    <n v="4140"/>
    <n v="2475"/>
    <n v="1587"/>
    <n v="2359"/>
    <n v="-2281"/>
    <n v="-0.55096618357487925"/>
    <s v="2025-10"/>
  </r>
  <r>
    <s v="ORD-00582"/>
    <x v="211"/>
    <x v="4"/>
    <x v="5"/>
    <x v="0"/>
    <x v="2"/>
    <n v="6"/>
    <n v="2500"/>
    <n v="0"/>
    <n v="15000"/>
    <n v="15000"/>
    <n v="9300"/>
    <n v="370"/>
    <n v="752"/>
    <n v="4578"/>
    <n v="0.30520000000000003"/>
    <s v="2025-07"/>
  </r>
  <r>
    <s v="ORD-00583"/>
    <x v="123"/>
    <x v="1"/>
    <x v="1"/>
    <x v="1"/>
    <x v="2"/>
    <n v="5"/>
    <n v="3500"/>
    <n v="0.1"/>
    <n v="17500"/>
    <n v="15750"/>
    <n v="11900"/>
    <n v="410"/>
    <n v="2135"/>
    <n v="1305"/>
    <n v="8.2857142857142851E-2"/>
    <s v="2025-07"/>
  </r>
  <r>
    <s v="ORD-00584"/>
    <x v="354"/>
    <x v="0"/>
    <x v="0"/>
    <x v="2"/>
    <x v="1"/>
    <n v="3"/>
    <n v="32000"/>
    <n v="0.05"/>
    <n v="96000"/>
    <n v="91200"/>
    <n v="78720"/>
    <n v="336"/>
    <n v="1143"/>
    <n v="11001"/>
    <n v="0.120625"/>
    <s v="2026-03"/>
  </r>
  <r>
    <s v="ORD-00585"/>
    <x v="355"/>
    <x v="0"/>
    <x v="0"/>
    <x v="0"/>
    <x v="0"/>
    <n v="3"/>
    <n v="32000"/>
    <n v="0"/>
    <n v="96000"/>
    <n v="96000"/>
    <n v="78720"/>
    <n v="865"/>
    <n v="1165"/>
    <n v="15250"/>
    <n v="0.15885416666666671"/>
    <s v="2026-02"/>
  </r>
  <r>
    <s v="ORD-00586"/>
    <x v="356"/>
    <x v="3"/>
    <x v="5"/>
    <x v="2"/>
    <x v="0"/>
    <n v="2"/>
    <n v="18000"/>
    <n v="0.03"/>
    <n v="36000"/>
    <n v="34920"/>
    <n v="28800"/>
    <n v="941"/>
    <n v="1492"/>
    <n v="3687"/>
    <n v="0.1055841924398625"/>
    <s v="2025-08"/>
  </r>
  <r>
    <s v="ORD-00587"/>
    <x v="130"/>
    <x v="5"/>
    <x v="4"/>
    <x v="2"/>
    <x v="0"/>
    <n v="6"/>
    <n v="1500"/>
    <n v="0.15"/>
    <n v="9000"/>
    <n v="7650"/>
    <n v="4950"/>
    <n v="462"/>
    <n v="366"/>
    <n v="1872"/>
    <n v="0.24470588235294119"/>
    <s v="2025-12"/>
  </r>
  <r>
    <s v="ORD-00588"/>
    <x v="357"/>
    <x v="6"/>
    <x v="3"/>
    <x v="1"/>
    <x v="1"/>
    <n v="6"/>
    <n v="4500"/>
    <n v="0.05"/>
    <n v="27000"/>
    <n v="25650"/>
    <n v="17550"/>
    <n v="1786"/>
    <n v="1752"/>
    <n v="4562"/>
    <n v="0.17785575048732941"/>
    <s v="2026-02"/>
  </r>
  <r>
    <s v="ORD-00589"/>
    <x v="226"/>
    <x v="1"/>
    <x v="0"/>
    <x v="2"/>
    <x v="0"/>
    <n v="1"/>
    <n v="3500"/>
    <n v="0.1"/>
    <n v="3500"/>
    <n v="3150"/>
    <n v="2380"/>
    <n v="1789"/>
    <n v="2263"/>
    <n v="-3282"/>
    <n v="-1.0419047619047619"/>
    <s v="2025-09"/>
  </r>
  <r>
    <s v="ORD-00590"/>
    <x v="358"/>
    <x v="2"/>
    <x v="2"/>
    <x v="1"/>
    <x v="2"/>
    <n v="3"/>
    <n v="28000"/>
    <n v="0.05"/>
    <n v="84000"/>
    <n v="79800"/>
    <n v="65520"/>
    <n v="1438"/>
    <n v="890"/>
    <n v="11952"/>
    <n v="0.14977443609022559"/>
    <s v="2026-05"/>
  </r>
  <r>
    <s v="ORD-00591"/>
    <x v="359"/>
    <x v="7"/>
    <x v="5"/>
    <x v="0"/>
    <x v="2"/>
    <n v="2"/>
    <n v="65000"/>
    <n v="0.05"/>
    <n v="130000"/>
    <n v="123500"/>
    <n v="109200"/>
    <n v="1064"/>
    <n v="2481"/>
    <n v="10755"/>
    <n v="8.7085020242914979E-2"/>
    <s v="2025-12"/>
  </r>
  <r>
    <s v="ORD-00592"/>
    <x v="312"/>
    <x v="5"/>
    <x v="0"/>
    <x v="0"/>
    <x v="0"/>
    <n v="5"/>
    <n v="1500"/>
    <n v="0.15"/>
    <n v="7500"/>
    <n v="6375"/>
    <n v="4125"/>
    <n v="821"/>
    <n v="2139"/>
    <n v="-710"/>
    <n v="-0.1113725490196078"/>
    <s v="2025-08"/>
  </r>
  <r>
    <s v="ORD-00593"/>
    <x v="135"/>
    <x v="1"/>
    <x v="3"/>
    <x v="0"/>
    <x v="2"/>
    <n v="6"/>
    <n v="3500"/>
    <n v="0.08"/>
    <n v="21000"/>
    <n v="19320"/>
    <n v="14280"/>
    <n v="621"/>
    <n v="2364"/>
    <n v="2054.9999999999982"/>
    <n v="0.1063664596273291"/>
    <s v="2026-05"/>
  </r>
  <r>
    <s v="ORD-00594"/>
    <x v="360"/>
    <x v="2"/>
    <x v="3"/>
    <x v="2"/>
    <x v="2"/>
    <n v="2"/>
    <n v="28000"/>
    <n v="0.03"/>
    <n v="56000"/>
    <n v="54320"/>
    <n v="43680"/>
    <n v="1719"/>
    <n v="480"/>
    <n v="8441"/>
    <n v="0.1553939617083947"/>
    <s v="2025-11"/>
  </r>
  <r>
    <s v="ORD-00595"/>
    <x v="361"/>
    <x v="5"/>
    <x v="3"/>
    <x v="0"/>
    <x v="0"/>
    <n v="5"/>
    <n v="1500"/>
    <n v="0.08"/>
    <n v="7500"/>
    <n v="6900"/>
    <n v="4125"/>
    <n v="1739"/>
    <n v="1012"/>
    <n v="24"/>
    <n v="3.478260869565218E-3"/>
    <s v="2026-03"/>
  </r>
  <r>
    <s v="ORD-00596"/>
    <x v="117"/>
    <x v="6"/>
    <x v="1"/>
    <x v="1"/>
    <x v="0"/>
    <n v="2"/>
    <n v="4500"/>
    <n v="0.15"/>
    <n v="9000"/>
    <n v="7650"/>
    <n v="5850"/>
    <n v="490"/>
    <n v="1019"/>
    <n v="291"/>
    <n v="3.8039215686274511E-2"/>
    <s v="2025-10"/>
  </r>
  <r>
    <s v="ORD-00597"/>
    <x v="208"/>
    <x v="3"/>
    <x v="0"/>
    <x v="0"/>
    <x v="2"/>
    <n v="2"/>
    <n v="18000"/>
    <n v="0"/>
    <n v="36000"/>
    <n v="36000"/>
    <n v="28800"/>
    <n v="1379"/>
    <n v="607"/>
    <n v="5214"/>
    <n v="0.14483333333333329"/>
    <s v="2026-02"/>
  </r>
  <r>
    <s v="ORD-00598"/>
    <x v="54"/>
    <x v="5"/>
    <x v="5"/>
    <x v="2"/>
    <x v="2"/>
    <n v="5"/>
    <n v="1500"/>
    <n v="0"/>
    <n v="7500"/>
    <n v="7500"/>
    <n v="4125"/>
    <n v="503"/>
    <n v="1041"/>
    <n v="1831"/>
    <n v="0.24413333333333331"/>
    <s v="2025-02"/>
  </r>
  <r>
    <s v="ORD-00599"/>
    <x v="362"/>
    <x v="4"/>
    <x v="1"/>
    <x v="0"/>
    <x v="1"/>
    <n v="2"/>
    <n v="2500"/>
    <n v="0.08"/>
    <n v="5000"/>
    <n v="4600"/>
    <n v="3100"/>
    <n v="421"/>
    <n v="1927"/>
    <n v="-848"/>
    <n v="-0.18434782608695649"/>
    <s v="2026-06"/>
  </r>
  <r>
    <s v="ORD-00600"/>
    <x v="6"/>
    <x v="7"/>
    <x v="3"/>
    <x v="1"/>
    <x v="0"/>
    <n v="3"/>
    <n v="65000"/>
    <n v="0.15"/>
    <n v="195000"/>
    <n v="165750"/>
    <n v="163800"/>
    <n v="798"/>
    <n v="1213"/>
    <n v="-61"/>
    <n v="-3.6802413273001507E-4"/>
    <s v="2026-01"/>
  </r>
  <r>
    <s v="ORD-00601"/>
    <x v="363"/>
    <x v="4"/>
    <x v="1"/>
    <x v="2"/>
    <x v="1"/>
    <n v="5"/>
    <n v="2500"/>
    <n v="0.05"/>
    <n v="12500"/>
    <n v="11875"/>
    <n v="7750"/>
    <n v="1580"/>
    <n v="1665"/>
    <n v="880"/>
    <n v="7.4105263157894743E-2"/>
    <s v="2025-02"/>
  </r>
  <r>
    <s v="ORD-00602"/>
    <x v="137"/>
    <x v="4"/>
    <x v="5"/>
    <x v="1"/>
    <x v="2"/>
    <n v="7"/>
    <n v="2500"/>
    <n v="0.2"/>
    <n v="17500"/>
    <n v="14000"/>
    <n v="10850"/>
    <n v="604"/>
    <n v="943"/>
    <n v="1603"/>
    <n v="0.1145"/>
    <s v="2026-06"/>
  </r>
  <r>
    <s v="ORD-00603"/>
    <x v="294"/>
    <x v="2"/>
    <x v="0"/>
    <x v="0"/>
    <x v="0"/>
    <n v="3"/>
    <n v="28000"/>
    <n v="0.05"/>
    <n v="84000"/>
    <n v="79800"/>
    <n v="65520"/>
    <n v="473"/>
    <n v="2406"/>
    <n v="11401"/>
    <n v="0.14286967418546359"/>
    <s v="2025-05"/>
  </r>
  <r>
    <s v="ORD-00604"/>
    <x v="188"/>
    <x v="2"/>
    <x v="5"/>
    <x v="1"/>
    <x v="2"/>
    <n v="1"/>
    <n v="28000"/>
    <n v="0.1"/>
    <n v="28000"/>
    <n v="25200"/>
    <n v="21840"/>
    <n v="577"/>
    <n v="679"/>
    <n v="2104"/>
    <n v="8.3492063492063492E-2"/>
    <s v="2025-07"/>
  </r>
  <r>
    <s v="ORD-00605"/>
    <x v="224"/>
    <x v="2"/>
    <x v="3"/>
    <x v="0"/>
    <x v="2"/>
    <n v="3"/>
    <n v="28000"/>
    <n v="0.08"/>
    <n v="84000"/>
    <n v="77280"/>
    <n v="65520"/>
    <n v="1248"/>
    <n v="1690"/>
    <n v="8822"/>
    <n v="0.114156314699793"/>
    <s v="2025-05"/>
  </r>
  <r>
    <s v="ORD-00606"/>
    <x v="155"/>
    <x v="4"/>
    <x v="4"/>
    <x v="1"/>
    <x v="0"/>
    <n v="7"/>
    <n v="2500"/>
    <n v="0.05"/>
    <n v="17500"/>
    <n v="16625"/>
    <n v="10850"/>
    <n v="1153"/>
    <n v="528"/>
    <n v="4094"/>
    <n v="0.24625563909774439"/>
    <s v="2026-02"/>
  </r>
  <r>
    <s v="ORD-00607"/>
    <x v="364"/>
    <x v="3"/>
    <x v="0"/>
    <x v="0"/>
    <x v="2"/>
    <n v="3"/>
    <n v="18000"/>
    <n v="0.03"/>
    <n v="54000"/>
    <n v="52380"/>
    <n v="43200"/>
    <n v="1089"/>
    <n v="1024"/>
    <n v="7067"/>
    <n v="0.13491790759832001"/>
    <s v="2025-05"/>
  </r>
  <r>
    <s v="ORD-00608"/>
    <x v="33"/>
    <x v="0"/>
    <x v="0"/>
    <x v="2"/>
    <x v="2"/>
    <n v="3"/>
    <n v="32000"/>
    <n v="0"/>
    <n v="96000"/>
    <n v="96000"/>
    <n v="78720"/>
    <n v="822"/>
    <n v="688"/>
    <n v="15770"/>
    <n v="0.16427083333333331"/>
    <s v="2025-12"/>
  </r>
  <r>
    <s v="ORD-00609"/>
    <x v="242"/>
    <x v="2"/>
    <x v="4"/>
    <x v="2"/>
    <x v="2"/>
    <n v="3"/>
    <n v="28000"/>
    <n v="0.08"/>
    <n v="84000"/>
    <n v="77280"/>
    <n v="65520"/>
    <n v="796"/>
    <n v="550"/>
    <n v="10414"/>
    <n v="0.13475672877846789"/>
    <s v="2025-05"/>
  </r>
  <r>
    <s v="ORD-00610"/>
    <x v="112"/>
    <x v="6"/>
    <x v="5"/>
    <x v="2"/>
    <x v="0"/>
    <n v="5"/>
    <n v="4500"/>
    <n v="0"/>
    <n v="22500"/>
    <n v="22500"/>
    <n v="14625"/>
    <n v="526"/>
    <n v="2162"/>
    <n v="5187"/>
    <n v="0.23053333333333331"/>
    <s v="2025-08"/>
  </r>
  <r>
    <s v="ORD-00611"/>
    <x v="365"/>
    <x v="5"/>
    <x v="5"/>
    <x v="2"/>
    <x v="1"/>
    <n v="1"/>
    <n v="1500"/>
    <n v="0.05"/>
    <n v="1500"/>
    <n v="1425"/>
    <n v="825.00000000000011"/>
    <n v="1431"/>
    <n v="1745"/>
    <n v="-2576"/>
    <n v="-1.8077192982456141"/>
    <s v="2026-01"/>
  </r>
  <r>
    <s v="ORD-00612"/>
    <x v="268"/>
    <x v="5"/>
    <x v="3"/>
    <x v="1"/>
    <x v="1"/>
    <n v="2"/>
    <n v="1500"/>
    <n v="0.1"/>
    <n v="3000"/>
    <n v="2700"/>
    <n v="1650"/>
    <n v="1136"/>
    <n v="519"/>
    <n v="-605.00000000000023"/>
    <n v="-0.22407407407407409"/>
    <s v="2025-06"/>
  </r>
  <r>
    <s v="ORD-00613"/>
    <x v="93"/>
    <x v="2"/>
    <x v="2"/>
    <x v="1"/>
    <x v="2"/>
    <n v="2"/>
    <n v="28000"/>
    <n v="0.05"/>
    <n v="56000"/>
    <n v="53200"/>
    <n v="43680"/>
    <n v="857"/>
    <n v="1442"/>
    <n v="7221"/>
    <n v="0.1357330827067669"/>
    <s v="2026-03"/>
  </r>
  <r>
    <s v="ORD-00614"/>
    <x v="366"/>
    <x v="0"/>
    <x v="1"/>
    <x v="0"/>
    <x v="1"/>
    <n v="1"/>
    <n v="32000"/>
    <n v="0.05"/>
    <n v="32000"/>
    <n v="30400"/>
    <n v="26240"/>
    <n v="667"/>
    <n v="913"/>
    <n v="2580"/>
    <n v="8.4868421052631579E-2"/>
    <s v="2025-09"/>
  </r>
  <r>
    <s v="ORD-00615"/>
    <x v="94"/>
    <x v="6"/>
    <x v="1"/>
    <x v="1"/>
    <x v="0"/>
    <n v="7"/>
    <n v="4500"/>
    <n v="0.05"/>
    <n v="31500"/>
    <n v="29925"/>
    <n v="20475"/>
    <n v="1492"/>
    <n v="247"/>
    <n v="7711"/>
    <n v="0.25767752715121128"/>
    <s v="2025-04"/>
  </r>
  <r>
    <s v="ORD-00616"/>
    <x v="107"/>
    <x v="0"/>
    <x v="5"/>
    <x v="1"/>
    <x v="0"/>
    <n v="1"/>
    <n v="32000"/>
    <n v="0.05"/>
    <n v="32000"/>
    <n v="30400"/>
    <n v="26240"/>
    <n v="787"/>
    <n v="594"/>
    <n v="2779"/>
    <n v="9.1414473684210532E-2"/>
    <s v="2025-04"/>
  </r>
  <r>
    <s v="ORD-00617"/>
    <x v="154"/>
    <x v="0"/>
    <x v="5"/>
    <x v="1"/>
    <x v="0"/>
    <n v="1"/>
    <n v="32000"/>
    <n v="0.08"/>
    <n v="32000"/>
    <n v="29440"/>
    <n v="26240"/>
    <n v="1237"/>
    <n v="473"/>
    <n v="1490"/>
    <n v="5.0611413043478257E-2"/>
    <s v="2026-03"/>
  </r>
  <r>
    <s v="ORD-00618"/>
    <x v="367"/>
    <x v="6"/>
    <x v="2"/>
    <x v="0"/>
    <x v="0"/>
    <n v="7"/>
    <n v="4500"/>
    <n v="0"/>
    <n v="31500"/>
    <n v="31500"/>
    <n v="20475"/>
    <n v="1498"/>
    <n v="1973"/>
    <n v="7554"/>
    <n v="0.23980952380952381"/>
    <s v="2025-03"/>
  </r>
  <r>
    <s v="ORD-00619"/>
    <x v="368"/>
    <x v="4"/>
    <x v="1"/>
    <x v="2"/>
    <x v="0"/>
    <n v="4"/>
    <n v="2500"/>
    <n v="0.1"/>
    <n v="10000"/>
    <n v="9000"/>
    <n v="6200"/>
    <n v="452"/>
    <n v="1300"/>
    <n v="1048"/>
    <n v="0.11644444444444441"/>
    <s v="2025-02"/>
  </r>
  <r>
    <s v="ORD-00620"/>
    <x v="369"/>
    <x v="3"/>
    <x v="3"/>
    <x v="0"/>
    <x v="0"/>
    <n v="2"/>
    <n v="18000"/>
    <n v="0.05"/>
    <n v="36000"/>
    <n v="34200"/>
    <n v="28800"/>
    <n v="1566"/>
    <n v="1119"/>
    <n v="2715"/>
    <n v="7.9385964912280699E-2"/>
    <s v="2025-11"/>
  </r>
  <r>
    <s v="ORD-00621"/>
    <x v="370"/>
    <x v="5"/>
    <x v="4"/>
    <x v="0"/>
    <x v="2"/>
    <n v="5"/>
    <n v="1500"/>
    <n v="0"/>
    <n v="7500"/>
    <n v="7500"/>
    <n v="4125"/>
    <n v="435"/>
    <n v="1562"/>
    <n v="1378"/>
    <n v="0.1837333333333333"/>
    <s v="2025-08"/>
  </r>
  <r>
    <s v="ORD-00622"/>
    <x v="281"/>
    <x v="7"/>
    <x v="0"/>
    <x v="1"/>
    <x v="0"/>
    <n v="1"/>
    <n v="65000"/>
    <n v="0.05"/>
    <n v="65000"/>
    <n v="61750"/>
    <n v="54600"/>
    <n v="826"/>
    <n v="163"/>
    <n v="6161"/>
    <n v="9.9773279352226726E-2"/>
    <s v="2025-12"/>
  </r>
  <r>
    <s v="ORD-00623"/>
    <x v="109"/>
    <x v="1"/>
    <x v="0"/>
    <x v="1"/>
    <x v="2"/>
    <n v="3"/>
    <n v="3500"/>
    <n v="0.05"/>
    <n v="10500"/>
    <n v="9975"/>
    <n v="7140.0000000000009"/>
    <n v="1686"/>
    <n v="2040"/>
    <n v="-891.00000000000091"/>
    <n v="-8.9323308270676777E-2"/>
    <s v="2025-11"/>
  </r>
  <r>
    <s v="ORD-00624"/>
    <x v="285"/>
    <x v="4"/>
    <x v="2"/>
    <x v="1"/>
    <x v="2"/>
    <n v="7"/>
    <n v="2500"/>
    <n v="0"/>
    <n v="17500"/>
    <n v="17500"/>
    <n v="10850"/>
    <n v="881"/>
    <n v="1258"/>
    <n v="4511"/>
    <n v="0.2577714285714286"/>
    <s v="2025-02"/>
  </r>
  <r>
    <s v="ORD-00625"/>
    <x v="371"/>
    <x v="1"/>
    <x v="4"/>
    <x v="0"/>
    <x v="2"/>
    <n v="5"/>
    <n v="3500"/>
    <n v="0.05"/>
    <n v="17500"/>
    <n v="16625"/>
    <n v="11900"/>
    <n v="732"/>
    <n v="395"/>
    <n v="3598"/>
    <n v="0.21642105263157899"/>
    <s v="2025-04"/>
  </r>
  <r>
    <s v="ORD-00626"/>
    <x v="101"/>
    <x v="1"/>
    <x v="1"/>
    <x v="0"/>
    <x v="0"/>
    <n v="6"/>
    <n v="3500"/>
    <n v="0.05"/>
    <n v="21000"/>
    <n v="19950"/>
    <n v="14280"/>
    <n v="1624"/>
    <n v="127"/>
    <n v="3918.9999999999982"/>
    <n v="0.19644110275689211"/>
    <s v="2026-06"/>
  </r>
  <r>
    <s v="ORD-00627"/>
    <x v="88"/>
    <x v="7"/>
    <x v="0"/>
    <x v="0"/>
    <x v="0"/>
    <n v="1"/>
    <n v="65000"/>
    <n v="0.1"/>
    <n v="65000"/>
    <n v="58500"/>
    <n v="54600"/>
    <n v="1298"/>
    <n v="1777"/>
    <n v="825"/>
    <n v="1.4102564102564099E-2"/>
    <s v="2025-06"/>
  </r>
  <r>
    <s v="ORD-00628"/>
    <x v="133"/>
    <x v="3"/>
    <x v="4"/>
    <x v="0"/>
    <x v="0"/>
    <n v="3"/>
    <n v="18000"/>
    <n v="0.08"/>
    <n v="54000"/>
    <n v="49680"/>
    <n v="43200"/>
    <n v="1464"/>
    <n v="2007"/>
    <n v="3009"/>
    <n v="6.0567632850241547E-2"/>
    <s v="2025-12"/>
  </r>
  <r>
    <s v="ORD-00629"/>
    <x v="372"/>
    <x v="7"/>
    <x v="5"/>
    <x v="0"/>
    <x v="0"/>
    <n v="1"/>
    <n v="65000"/>
    <n v="0.08"/>
    <n v="65000"/>
    <n v="59800"/>
    <n v="54600"/>
    <n v="1349"/>
    <n v="590"/>
    <n v="3261"/>
    <n v="5.4531772575250839E-2"/>
    <s v="2026-04"/>
  </r>
  <r>
    <s v="ORD-00630"/>
    <x v="120"/>
    <x v="0"/>
    <x v="0"/>
    <x v="0"/>
    <x v="2"/>
    <n v="3"/>
    <n v="32000"/>
    <n v="0.08"/>
    <n v="96000"/>
    <n v="88320"/>
    <n v="78720"/>
    <n v="1405"/>
    <n v="1622"/>
    <n v="6573"/>
    <n v="7.4422554347826089E-2"/>
    <s v="2025-02"/>
  </r>
  <r>
    <s v="ORD-00631"/>
    <x v="144"/>
    <x v="3"/>
    <x v="1"/>
    <x v="0"/>
    <x v="0"/>
    <n v="3"/>
    <n v="18000"/>
    <n v="0.05"/>
    <n v="54000"/>
    <n v="51300"/>
    <n v="43200"/>
    <n v="544"/>
    <n v="144"/>
    <n v="7412"/>
    <n v="0.1444834307992203"/>
    <s v="2025-01"/>
  </r>
  <r>
    <s v="ORD-00632"/>
    <x v="373"/>
    <x v="4"/>
    <x v="2"/>
    <x v="0"/>
    <x v="2"/>
    <n v="7"/>
    <n v="2500"/>
    <n v="0.1"/>
    <n v="17500"/>
    <n v="15750"/>
    <n v="10850"/>
    <n v="1233"/>
    <n v="2140"/>
    <n v="1527"/>
    <n v="9.6952380952380957E-2"/>
    <s v="2025-10"/>
  </r>
  <r>
    <s v="ORD-00633"/>
    <x v="119"/>
    <x v="0"/>
    <x v="2"/>
    <x v="0"/>
    <x v="2"/>
    <n v="3"/>
    <n v="32000"/>
    <n v="0.05"/>
    <n v="96000"/>
    <n v="91200"/>
    <n v="78720"/>
    <n v="1391"/>
    <n v="1260"/>
    <n v="9829"/>
    <n v="0.10777412280701749"/>
    <s v="2025-06"/>
  </r>
  <r>
    <s v="ORD-00634"/>
    <x v="374"/>
    <x v="7"/>
    <x v="2"/>
    <x v="2"/>
    <x v="0"/>
    <n v="1"/>
    <n v="65000"/>
    <n v="0.05"/>
    <n v="65000"/>
    <n v="61750"/>
    <n v="54600"/>
    <n v="987"/>
    <n v="2226"/>
    <n v="3937"/>
    <n v="6.375708502024291E-2"/>
    <s v="2026-06"/>
  </r>
  <r>
    <s v="ORD-00635"/>
    <x v="200"/>
    <x v="0"/>
    <x v="5"/>
    <x v="0"/>
    <x v="2"/>
    <n v="1"/>
    <n v="32000"/>
    <n v="0.15"/>
    <n v="32000"/>
    <n v="27200"/>
    <n v="26240"/>
    <n v="1719"/>
    <n v="290"/>
    <n v="-1049"/>
    <n v="-3.8566176470588243E-2"/>
    <s v="2026-01"/>
  </r>
  <r>
    <s v="ORD-00636"/>
    <x v="46"/>
    <x v="1"/>
    <x v="4"/>
    <x v="0"/>
    <x v="0"/>
    <n v="5"/>
    <n v="3500"/>
    <n v="0"/>
    <n v="17500"/>
    <n v="17500"/>
    <n v="11900"/>
    <n v="1387"/>
    <n v="475"/>
    <n v="3738"/>
    <n v="0.21360000000000001"/>
    <s v="2025-09"/>
  </r>
  <r>
    <s v="ORD-00637"/>
    <x v="327"/>
    <x v="5"/>
    <x v="4"/>
    <x v="2"/>
    <x v="2"/>
    <n v="7"/>
    <n v="1500"/>
    <n v="0.05"/>
    <n v="10500"/>
    <n v="9975"/>
    <n v="5775.0000000000009"/>
    <n v="771"/>
    <n v="890"/>
    <n v="2538.9999999999991"/>
    <n v="0.25453634085213023"/>
    <s v="2026-05"/>
  </r>
  <r>
    <s v="ORD-00638"/>
    <x v="270"/>
    <x v="4"/>
    <x v="2"/>
    <x v="0"/>
    <x v="2"/>
    <n v="5"/>
    <n v="2500"/>
    <n v="0.1"/>
    <n v="12500"/>
    <n v="11250"/>
    <n v="7750"/>
    <n v="288"/>
    <n v="898"/>
    <n v="2314"/>
    <n v="0.20568888888888889"/>
    <s v="2026-03"/>
  </r>
  <r>
    <s v="ORD-00639"/>
    <x v="341"/>
    <x v="2"/>
    <x v="3"/>
    <x v="0"/>
    <x v="2"/>
    <n v="1"/>
    <n v="28000"/>
    <n v="0.1"/>
    <n v="28000"/>
    <n v="25200"/>
    <n v="21840"/>
    <n v="1070"/>
    <n v="831"/>
    <n v="1459"/>
    <n v="5.7896825396825398E-2"/>
    <s v="2025-04"/>
  </r>
  <r>
    <s v="ORD-00640"/>
    <x v="241"/>
    <x v="4"/>
    <x v="3"/>
    <x v="0"/>
    <x v="0"/>
    <n v="6"/>
    <n v="2500"/>
    <n v="0.05"/>
    <n v="15000"/>
    <n v="14250"/>
    <n v="9300"/>
    <n v="524"/>
    <n v="1078"/>
    <n v="3348"/>
    <n v="0.2349473684210526"/>
    <s v="2026-04"/>
  </r>
  <r>
    <s v="ORD-00641"/>
    <x v="77"/>
    <x v="3"/>
    <x v="3"/>
    <x v="0"/>
    <x v="1"/>
    <n v="1"/>
    <n v="18000"/>
    <n v="0.05"/>
    <n v="18000"/>
    <n v="17100"/>
    <n v="14400"/>
    <n v="416"/>
    <n v="1615"/>
    <n v="669"/>
    <n v="3.9122807017543858E-2"/>
    <s v="2025-07"/>
  </r>
  <r>
    <s v="ORD-00642"/>
    <x v="375"/>
    <x v="0"/>
    <x v="0"/>
    <x v="0"/>
    <x v="2"/>
    <n v="2"/>
    <n v="32000"/>
    <n v="0.05"/>
    <n v="64000"/>
    <n v="60800"/>
    <n v="52480"/>
    <n v="1367"/>
    <n v="210"/>
    <n v="6743"/>
    <n v="0.1109046052631579"/>
    <s v="2025-08"/>
  </r>
  <r>
    <s v="ORD-00643"/>
    <x v="376"/>
    <x v="5"/>
    <x v="0"/>
    <x v="1"/>
    <x v="2"/>
    <n v="3"/>
    <n v="1500"/>
    <n v="0.15"/>
    <n v="4500"/>
    <n v="3825"/>
    <n v="2475"/>
    <n v="372"/>
    <n v="1072"/>
    <n v="-94"/>
    <n v="-2.4575163398692808E-2"/>
    <s v="2025-01"/>
  </r>
  <r>
    <s v="ORD-00644"/>
    <x v="182"/>
    <x v="6"/>
    <x v="5"/>
    <x v="1"/>
    <x v="2"/>
    <n v="2"/>
    <n v="4500"/>
    <n v="0.15"/>
    <n v="9000"/>
    <n v="7650"/>
    <n v="5850"/>
    <n v="484"/>
    <n v="2044"/>
    <n v="-728"/>
    <n v="-9.5163398692810458E-2"/>
    <s v="2026-03"/>
  </r>
  <r>
    <s v="ORD-00645"/>
    <x v="73"/>
    <x v="0"/>
    <x v="3"/>
    <x v="0"/>
    <x v="2"/>
    <n v="3"/>
    <n v="32000"/>
    <n v="0.05"/>
    <n v="96000"/>
    <n v="91200"/>
    <n v="78720"/>
    <n v="1507"/>
    <n v="998"/>
    <n v="9975"/>
    <n v="0.109375"/>
    <s v="2025-03"/>
  </r>
  <r>
    <s v="ORD-00646"/>
    <x v="175"/>
    <x v="3"/>
    <x v="0"/>
    <x v="2"/>
    <x v="2"/>
    <n v="1"/>
    <n v="18000"/>
    <n v="0.08"/>
    <n v="18000"/>
    <n v="16560"/>
    <n v="14400"/>
    <n v="1445"/>
    <n v="926"/>
    <n v="-211"/>
    <n v="-1.274154589371981E-2"/>
    <s v="2025-11"/>
  </r>
  <r>
    <s v="ORD-00647"/>
    <x v="123"/>
    <x v="4"/>
    <x v="3"/>
    <x v="0"/>
    <x v="1"/>
    <n v="7"/>
    <n v="2500"/>
    <n v="0"/>
    <n v="17500"/>
    <n v="17500"/>
    <n v="10850"/>
    <n v="868"/>
    <n v="290"/>
    <n v="5492"/>
    <n v="0.3138285714285714"/>
    <s v="2025-07"/>
  </r>
  <r>
    <s v="ORD-00648"/>
    <x v="377"/>
    <x v="6"/>
    <x v="3"/>
    <x v="0"/>
    <x v="2"/>
    <n v="5"/>
    <n v="4500"/>
    <n v="0"/>
    <n v="22500"/>
    <n v="22500"/>
    <n v="14625"/>
    <n v="482"/>
    <n v="2148"/>
    <n v="5245"/>
    <n v="0.2331111111111111"/>
    <s v="2026-04"/>
  </r>
  <r>
    <s v="ORD-00649"/>
    <x v="90"/>
    <x v="4"/>
    <x v="5"/>
    <x v="0"/>
    <x v="0"/>
    <n v="3"/>
    <n v="2500"/>
    <n v="0.08"/>
    <n v="7500"/>
    <n v="6900"/>
    <n v="4650"/>
    <n v="889"/>
    <n v="1607"/>
    <n v="-246"/>
    <n v="-3.5652173913043483E-2"/>
    <s v="2025-06"/>
  </r>
  <r>
    <s v="ORD-00650"/>
    <x v="378"/>
    <x v="3"/>
    <x v="0"/>
    <x v="2"/>
    <x v="0"/>
    <n v="1"/>
    <n v="18000"/>
    <n v="0.2"/>
    <n v="18000"/>
    <n v="14400"/>
    <n v="14400"/>
    <n v="202"/>
    <n v="471"/>
    <n v="-673"/>
    <n v="-4.673611111111111E-2"/>
    <s v="2026-03"/>
  </r>
  <r>
    <s v="ORD-00651"/>
    <x v="285"/>
    <x v="1"/>
    <x v="3"/>
    <x v="2"/>
    <x v="2"/>
    <n v="5"/>
    <n v="3500"/>
    <n v="0.05"/>
    <n v="17500"/>
    <n v="16625"/>
    <n v="11900"/>
    <n v="1091"/>
    <n v="1147"/>
    <n v="2487"/>
    <n v="0.149593984962406"/>
    <s v="2025-02"/>
  </r>
  <r>
    <s v="ORD-00652"/>
    <x v="303"/>
    <x v="6"/>
    <x v="3"/>
    <x v="2"/>
    <x v="2"/>
    <n v="3"/>
    <n v="4500"/>
    <n v="0.08"/>
    <n v="13500"/>
    <n v="12420"/>
    <n v="8775"/>
    <n v="1003"/>
    <n v="2394"/>
    <n v="248"/>
    <n v="1.9967793880837359E-2"/>
    <s v="2026-01"/>
  </r>
  <r>
    <s v="ORD-00653"/>
    <x v="70"/>
    <x v="3"/>
    <x v="1"/>
    <x v="0"/>
    <x v="2"/>
    <n v="1"/>
    <n v="18000"/>
    <n v="0"/>
    <n v="18000"/>
    <n v="18000"/>
    <n v="14400"/>
    <n v="1445"/>
    <n v="2007"/>
    <n v="148"/>
    <n v="8.2222222222222228E-3"/>
    <s v="2025-01"/>
  </r>
  <r>
    <s v="ORD-00654"/>
    <x v="129"/>
    <x v="7"/>
    <x v="4"/>
    <x v="0"/>
    <x v="2"/>
    <n v="1"/>
    <n v="65000"/>
    <n v="0.08"/>
    <n v="65000"/>
    <n v="59800"/>
    <n v="54600"/>
    <n v="701"/>
    <n v="2090"/>
    <n v="2409"/>
    <n v="4.028428093645485E-2"/>
    <s v="2026-04"/>
  </r>
  <r>
    <s v="ORD-00655"/>
    <x v="379"/>
    <x v="4"/>
    <x v="4"/>
    <x v="0"/>
    <x v="2"/>
    <n v="6"/>
    <n v="2500"/>
    <n v="0.05"/>
    <n v="15000"/>
    <n v="14250"/>
    <n v="9300"/>
    <n v="1580"/>
    <n v="1073"/>
    <n v="2297"/>
    <n v="0.16119298245614039"/>
    <s v="2025-04"/>
  </r>
  <r>
    <s v="ORD-00656"/>
    <x v="51"/>
    <x v="6"/>
    <x v="1"/>
    <x v="0"/>
    <x v="1"/>
    <n v="3"/>
    <n v="4500"/>
    <n v="0.15"/>
    <n v="13500"/>
    <n v="11475"/>
    <n v="8775"/>
    <n v="505"/>
    <n v="1038"/>
    <n v="1157"/>
    <n v="0.10082788671023971"/>
    <s v="2025-09"/>
  </r>
  <r>
    <s v="ORD-00657"/>
    <x v="44"/>
    <x v="0"/>
    <x v="4"/>
    <x v="2"/>
    <x v="2"/>
    <n v="2"/>
    <n v="32000"/>
    <n v="0.1"/>
    <n v="64000"/>
    <n v="57600"/>
    <n v="52480"/>
    <n v="792"/>
    <n v="1098"/>
    <n v="3230"/>
    <n v="5.6076388888888891E-2"/>
    <s v="2025-11"/>
  </r>
  <r>
    <s v="ORD-00658"/>
    <x v="234"/>
    <x v="7"/>
    <x v="0"/>
    <x v="2"/>
    <x v="0"/>
    <n v="1"/>
    <n v="65000"/>
    <n v="0.03"/>
    <n v="65000"/>
    <n v="63050"/>
    <n v="54600"/>
    <n v="908"/>
    <n v="1549"/>
    <n v="5993"/>
    <n v="9.5051546391752575E-2"/>
    <s v="2025-09"/>
  </r>
  <r>
    <s v="ORD-00659"/>
    <x v="362"/>
    <x v="6"/>
    <x v="5"/>
    <x v="0"/>
    <x v="0"/>
    <n v="2"/>
    <n v="4500"/>
    <n v="0.03"/>
    <n v="9000"/>
    <n v="8730"/>
    <n v="5850"/>
    <n v="1645"/>
    <n v="2398"/>
    <n v="-1163"/>
    <n v="-0.13321878579610541"/>
    <s v="2026-06"/>
  </r>
  <r>
    <s v="ORD-00660"/>
    <x v="380"/>
    <x v="5"/>
    <x v="5"/>
    <x v="1"/>
    <x v="2"/>
    <n v="4"/>
    <n v="1500"/>
    <n v="0.03"/>
    <n v="6000"/>
    <n v="5820"/>
    <n v="3300"/>
    <n v="1506"/>
    <n v="1806"/>
    <n v="-792.00000000000045"/>
    <n v="-0.1360824742268042"/>
    <s v="2025-02"/>
  </r>
  <r>
    <s v="ORD-00661"/>
    <x v="18"/>
    <x v="5"/>
    <x v="5"/>
    <x v="0"/>
    <x v="0"/>
    <n v="4"/>
    <n v="1500"/>
    <n v="0.2"/>
    <n v="6000"/>
    <n v="4800"/>
    <n v="3300"/>
    <n v="1687"/>
    <n v="901"/>
    <n v="-1088"/>
    <n v="-0.22666666666666679"/>
    <s v="2026-04"/>
  </r>
  <r>
    <s v="ORD-00662"/>
    <x v="217"/>
    <x v="1"/>
    <x v="5"/>
    <x v="2"/>
    <x v="1"/>
    <n v="1"/>
    <n v="3500"/>
    <n v="0.05"/>
    <n v="3500"/>
    <n v="3325"/>
    <n v="2380"/>
    <n v="494"/>
    <n v="288"/>
    <n v="163"/>
    <n v="4.9022556390977447E-2"/>
    <s v="2026-03"/>
  </r>
  <r>
    <s v="ORD-00663"/>
    <x v="322"/>
    <x v="4"/>
    <x v="1"/>
    <x v="2"/>
    <x v="0"/>
    <n v="6"/>
    <n v="2500"/>
    <n v="0.1"/>
    <n v="15000"/>
    <n v="13500"/>
    <n v="9300"/>
    <n v="1025"/>
    <n v="1958"/>
    <n v="1217"/>
    <n v="9.0148148148148144E-2"/>
    <s v="2025-03"/>
  </r>
  <r>
    <s v="ORD-00664"/>
    <x v="81"/>
    <x v="6"/>
    <x v="4"/>
    <x v="1"/>
    <x v="2"/>
    <n v="2"/>
    <n v="4500"/>
    <n v="0.08"/>
    <n v="9000"/>
    <n v="8280"/>
    <n v="5850"/>
    <n v="693"/>
    <n v="151"/>
    <n v="1586"/>
    <n v="0.19154589371980679"/>
    <s v="2025-12"/>
  </r>
  <r>
    <s v="ORD-00665"/>
    <x v="355"/>
    <x v="4"/>
    <x v="3"/>
    <x v="2"/>
    <x v="1"/>
    <n v="7"/>
    <n v="2500"/>
    <n v="0.05"/>
    <n v="17500"/>
    <n v="16625"/>
    <n v="10850"/>
    <n v="1658"/>
    <n v="2107"/>
    <n v="2010"/>
    <n v="0.12090225563909771"/>
    <s v="2026-02"/>
  </r>
  <r>
    <s v="ORD-00666"/>
    <x v="106"/>
    <x v="7"/>
    <x v="4"/>
    <x v="2"/>
    <x v="1"/>
    <n v="3"/>
    <n v="65000"/>
    <n v="0.03"/>
    <n v="195000"/>
    <n v="189150"/>
    <n v="163800"/>
    <n v="1181"/>
    <n v="1050"/>
    <n v="23119"/>
    <n v="0.12222574676182919"/>
    <s v="2025-10"/>
  </r>
  <r>
    <s v="ORD-00667"/>
    <x v="381"/>
    <x v="1"/>
    <x v="3"/>
    <x v="0"/>
    <x v="2"/>
    <n v="3"/>
    <n v="3500"/>
    <n v="0.05"/>
    <n v="10500"/>
    <n v="9975"/>
    <n v="7140.0000000000009"/>
    <n v="809"/>
    <n v="2084"/>
    <n v="-58.000000000000909"/>
    <n v="-5.8145363408522218E-3"/>
    <s v="2026-06"/>
  </r>
  <r>
    <s v="ORD-00668"/>
    <x v="382"/>
    <x v="7"/>
    <x v="3"/>
    <x v="1"/>
    <x v="2"/>
    <n v="2"/>
    <n v="65000"/>
    <n v="0.05"/>
    <n v="130000"/>
    <n v="123500"/>
    <n v="109200"/>
    <n v="1184"/>
    <n v="1330"/>
    <n v="11786"/>
    <n v="9.5433198380566797E-2"/>
    <s v="2025-04"/>
  </r>
  <r>
    <s v="ORD-00669"/>
    <x v="129"/>
    <x v="7"/>
    <x v="3"/>
    <x v="0"/>
    <x v="1"/>
    <n v="2"/>
    <n v="65000"/>
    <n v="0.15"/>
    <n v="130000"/>
    <n v="110500"/>
    <n v="109200"/>
    <n v="1096"/>
    <n v="919"/>
    <n v="-715"/>
    <n v="-6.4705882352941177E-3"/>
    <s v="2026-04"/>
  </r>
  <r>
    <s v="ORD-00670"/>
    <x v="383"/>
    <x v="4"/>
    <x v="1"/>
    <x v="1"/>
    <x v="0"/>
    <n v="5"/>
    <n v="2500"/>
    <n v="0.15"/>
    <n v="12500"/>
    <n v="10625"/>
    <n v="7750"/>
    <n v="691"/>
    <n v="160"/>
    <n v="2024"/>
    <n v="0.19049411764705881"/>
    <s v="2025-02"/>
  </r>
  <r>
    <s v="ORD-00671"/>
    <x v="332"/>
    <x v="2"/>
    <x v="3"/>
    <x v="2"/>
    <x v="0"/>
    <n v="3"/>
    <n v="28000"/>
    <n v="0"/>
    <n v="84000"/>
    <n v="84000"/>
    <n v="65520"/>
    <n v="734"/>
    <n v="2255"/>
    <n v="15491"/>
    <n v="0.1844166666666667"/>
    <s v="2025-06"/>
  </r>
  <r>
    <s v="ORD-00672"/>
    <x v="270"/>
    <x v="3"/>
    <x v="4"/>
    <x v="0"/>
    <x v="0"/>
    <n v="3"/>
    <n v="18000"/>
    <n v="0.08"/>
    <n v="54000"/>
    <n v="49680"/>
    <n v="43200"/>
    <n v="201"/>
    <n v="1133"/>
    <n v="5146"/>
    <n v="0.1035829307568438"/>
    <s v="2026-03"/>
  </r>
  <r>
    <s v="ORD-00673"/>
    <x v="149"/>
    <x v="6"/>
    <x v="1"/>
    <x v="0"/>
    <x v="2"/>
    <n v="1"/>
    <n v="4500"/>
    <n v="0.08"/>
    <n v="4500"/>
    <n v="4140"/>
    <n v="2925"/>
    <n v="637"/>
    <n v="850"/>
    <n v="-272"/>
    <n v="-6.5700483091787443E-2"/>
    <s v="2026-05"/>
  </r>
  <r>
    <s v="ORD-00674"/>
    <x v="308"/>
    <x v="1"/>
    <x v="0"/>
    <x v="0"/>
    <x v="2"/>
    <n v="1"/>
    <n v="3500"/>
    <n v="0"/>
    <n v="3500"/>
    <n v="3500"/>
    <n v="2380"/>
    <n v="1633"/>
    <n v="490"/>
    <n v="-1003"/>
    <n v="-0.28657142857142859"/>
    <s v="2025-02"/>
  </r>
  <r>
    <s v="ORD-00675"/>
    <x v="384"/>
    <x v="1"/>
    <x v="4"/>
    <x v="0"/>
    <x v="0"/>
    <n v="7"/>
    <n v="3500"/>
    <n v="0.05"/>
    <n v="24500"/>
    <n v="23275"/>
    <n v="16660"/>
    <n v="384"/>
    <n v="1690"/>
    <n v="4541"/>
    <n v="0.19510204081632651"/>
    <s v="2025-11"/>
  </r>
  <r>
    <s v="ORD-00676"/>
    <x v="352"/>
    <x v="0"/>
    <x v="1"/>
    <x v="2"/>
    <x v="0"/>
    <n v="1"/>
    <n v="32000"/>
    <n v="0"/>
    <n v="32000"/>
    <n v="32000"/>
    <n v="26240"/>
    <n v="368"/>
    <n v="2179"/>
    <n v="3213"/>
    <n v="0.10040625"/>
    <s v="2025-10"/>
  </r>
  <r>
    <s v="ORD-00677"/>
    <x v="59"/>
    <x v="1"/>
    <x v="2"/>
    <x v="0"/>
    <x v="2"/>
    <n v="6"/>
    <n v="3500"/>
    <n v="0.08"/>
    <n v="21000"/>
    <n v="19320"/>
    <n v="14280"/>
    <n v="717"/>
    <n v="325"/>
    <n v="3997.9999999999982"/>
    <n v="0.20693581780538289"/>
    <s v="2025-05"/>
  </r>
  <r>
    <s v="ORD-00678"/>
    <x v="385"/>
    <x v="0"/>
    <x v="3"/>
    <x v="2"/>
    <x v="2"/>
    <n v="3"/>
    <n v="32000"/>
    <n v="0.05"/>
    <n v="96000"/>
    <n v="91200"/>
    <n v="78720"/>
    <n v="255"/>
    <n v="819"/>
    <n v="11406"/>
    <n v="0.12506578947368421"/>
    <s v="2025-02"/>
  </r>
  <r>
    <s v="ORD-00679"/>
    <x v="117"/>
    <x v="6"/>
    <x v="1"/>
    <x v="2"/>
    <x v="2"/>
    <n v="3"/>
    <n v="4500"/>
    <n v="0.1"/>
    <n v="13500"/>
    <n v="12150"/>
    <n v="8775"/>
    <n v="329"/>
    <n v="738"/>
    <n v="2308"/>
    <n v="0.1899588477366255"/>
    <s v="2025-10"/>
  </r>
  <r>
    <s v="ORD-00680"/>
    <x v="386"/>
    <x v="0"/>
    <x v="5"/>
    <x v="1"/>
    <x v="2"/>
    <n v="2"/>
    <n v="32000"/>
    <n v="0"/>
    <n v="64000"/>
    <n v="64000"/>
    <n v="52480"/>
    <n v="1185"/>
    <n v="1092"/>
    <n v="9243"/>
    <n v="0.14442187500000001"/>
    <s v="2025-03"/>
  </r>
  <r>
    <s v="ORD-00681"/>
    <x v="140"/>
    <x v="6"/>
    <x v="5"/>
    <x v="0"/>
    <x v="1"/>
    <n v="1"/>
    <n v="4500"/>
    <n v="0"/>
    <n v="4500"/>
    <n v="4500"/>
    <n v="2925"/>
    <n v="1647"/>
    <n v="465"/>
    <n v="-537"/>
    <n v="-0.11933333333333331"/>
    <s v="2025-04"/>
  </r>
  <r>
    <s v="ORD-00682"/>
    <x v="61"/>
    <x v="2"/>
    <x v="1"/>
    <x v="2"/>
    <x v="2"/>
    <n v="1"/>
    <n v="28000"/>
    <n v="0.03"/>
    <n v="28000"/>
    <n v="27160"/>
    <n v="21840"/>
    <n v="1183"/>
    <n v="1396"/>
    <n v="2741"/>
    <n v="0.100920471281296"/>
    <s v="2025-04"/>
  </r>
  <r>
    <s v="ORD-00683"/>
    <x v="387"/>
    <x v="4"/>
    <x v="1"/>
    <x v="1"/>
    <x v="2"/>
    <n v="5"/>
    <n v="2500"/>
    <n v="0.08"/>
    <n v="12500"/>
    <n v="11500"/>
    <n v="7750"/>
    <n v="894"/>
    <n v="1024"/>
    <n v="1832"/>
    <n v="0.15930434782608699"/>
    <s v="2025-06"/>
  </r>
  <r>
    <s v="ORD-00684"/>
    <x v="157"/>
    <x v="3"/>
    <x v="5"/>
    <x v="0"/>
    <x v="2"/>
    <n v="1"/>
    <n v="18000"/>
    <n v="0.08"/>
    <n v="18000"/>
    <n v="16560"/>
    <n v="14400"/>
    <n v="1752"/>
    <n v="2220"/>
    <n v="-1812"/>
    <n v="-0.1094202898550725"/>
    <s v="2025-01"/>
  </r>
  <r>
    <s v="ORD-00685"/>
    <x v="234"/>
    <x v="4"/>
    <x v="4"/>
    <x v="0"/>
    <x v="0"/>
    <n v="4"/>
    <n v="2500"/>
    <n v="0.08"/>
    <n v="10000"/>
    <n v="9200"/>
    <n v="6200"/>
    <n v="758"/>
    <n v="2254"/>
    <n v="-12"/>
    <n v="-1.3043478260869571E-3"/>
    <s v="2025-09"/>
  </r>
  <r>
    <s v="ORD-00686"/>
    <x v="119"/>
    <x v="1"/>
    <x v="1"/>
    <x v="0"/>
    <x v="0"/>
    <n v="7"/>
    <n v="3500"/>
    <n v="0.1"/>
    <n v="24500"/>
    <n v="22050"/>
    <n v="16660"/>
    <n v="737"/>
    <n v="828"/>
    <n v="3825"/>
    <n v="0.17346938775510201"/>
    <s v="2025-06"/>
  </r>
  <r>
    <s v="ORD-00687"/>
    <x v="51"/>
    <x v="3"/>
    <x v="2"/>
    <x v="1"/>
    <x v="0"/>
    <n v="1"/>
    <n v="18000"/>
    <n v="0.03"/>
    <n v="18000"/>
    <n v="17460"/>
    <n v="14400"/>
    <n v="1009"/>
    <n v="886"/>
    <n v="1165"/>
    <n v="6.672394043528064E-2"/>
    <s v="2025-09"/>
  </r>
  <r>
    <s v="ORD-00688"/>
    <x v="264"/>
    <x v="0"/>
    <x v="2"/>
    <x v="1"/>
    <x v="0"/>
    <n v="3"/>
    <n v="32000"/>
    <n v="0.05"/>
    <n v="96000"/>
    <n v="91200"/>
    <n v="78720"/>
    <n v="766"/>
    <n v="765"/>
    <n v="10949"/>
    <n v="0.1200548245614035"/>
    <s v="2025-12"/>
  </r>
  <r>
    <s v="ORD-00689"/>
    <x v="9"/>
    <x v="6"/>
    <x v="5"/>
    <x v="0"/>
    <x v="2"/>
    <n v="6"/>
    <n v="4500"/>
    <n v="0.08"/>
    <n v="27000"/>
    <n v="24840"/>
    <n v="17550"/>
    <n v="607"/>
    <n v="1312"/>
    <n v="5371"/>
    <n v="0.21622383252818039"/>
    <s v="2025-05"/>
  </r>
  <r>
    <s v="ORD-00690"/>
    <x v="388"/>
    <x v="3"/>
    <x v="2"/>
    <x v="0"/>
    <x v="0"/>
    <n v="2"/>
    <n v="18000"/>
    <n v="0.08"/>
    <n v="36000"/>
    <n v="33120"/>
    <n v="28800"/>
    <n v="686"/>
    <n v="959"/>
    <n v="2675"/>
    <n v="8.0766908212560384E-2"/>
    <s v="2025-05"/>
  </r>
  <r>
    <s v="ORD-00691"/>
    <x v="295"/>
    <x v="4"/>
    <x v="4"/>
    <x v="0"/>
    <x v="2"/>
    <n v="2"/>
    <n v="2500"/>
    <n v="0.03"/>
    <n v="5000"/>
    <n v="4850"/>
    <n v="3100"/>
    <n v="398"/>
    <n v="637"/>
    <n v="715"/>
    <n v="0.14742268041237111"/>
    <s v="2025-05"/>
  </r>
  <r>
    <s v="ORD-00692"/>
    <x v="106"/>
    <x v="5"/>
    <x v="5"/>
    <x v="2"/>
    <x v="0"/>
    <n v="5"/>
    <n v="1500"/>
    <n v="0.05"/>
    <n v="7500"/>
    <n v="7125"/>
    <n v="4125"/>
    <n v="1737"/>
    <n v="497"/>
    <n v="766"/>
    <n v="0.1075087719298246"/>
    <s v="2025-10"/>
  </r>
  <r>
    <s v="ORD-00693"/>
    <x v="389"/>
    <x v="1"/>
    <x v="4"/>
    <x v="1"/>
    <x v="0"/>
    <n v="6"/>
    <n v="3500"/>
    <n v="0.03"/>
    <n v="21000"/>
    <n v="20370"/>
    <n v="14280"/>
    <n v="809"/>
    <n v="2429"/>
    <n v="2851.9999999999982"/>
    <n v="0.14000981836033369"/>
    <s v="2026-04"/>
  </r>
  <r>
    <s v="ORD-00694"/>
    <x v="77"/>
    <x v="5"/>
    <x v="2"/>
    <x v="1"/>
    <x v="1"/>
    <n v="2"/>
    <n v="1500"/>
    <n v="0.03"/>
    <n v="3000"/>
    <n v="2910"/>
    <n v="1650"/>
    <n v="757"/>
    <n v="998"/>
    <n v="-495.00000000000023"/>
    <n v="-0.17010309278350519"/>
    <s v="2025-07"/>
  </r>
  <r>
    <s v="ORD-00695"/>
    <x v="388"/>
    <x v="6"/>
    <x v="4"/>
    <x v="2"/>
    <x v="2"/>
    <n v="3"/>
    <n v="4500"/>
    <n v="0.05"/>
    <n v="13500"/>
    <n v="12825"/>
    <n v="8775"/>
    <n v="1732"/>
    <n v="337"/>
    <n v="1981"/>
    <n v="0.15446393762183239"/>
    <s v="2025-05"/>
  </r>
  <r>
    <s v="ORD-00696"/>
    <x v="390"/>
    <x v="5"/>
    <x v="0"/>
    <x v="0"/>
    <x v="1"/>
    <n v="4"/>
    <n v="1500"/>
    <n v="0.1"/>
    <n v="6000"/>
    <n v="5400"/>
    <n v="3300"/>
    <n v="1596"/>
    <n v="1194"/>
    <n v="-690.00000000000045"/>
    <n v="-0.12777777777777791"/>
    <s v="2026-04"/>
  </r>
  <r>
    <s v="ORD-00697"/>
    <x v="334"/>
    <x v="4"/>
    <x v="0"/>
    <x v="0"/>
    <x v="0"/>
    <n v="5"/>
    <n v="2500"/>
    <n v="0.1"/>
    <n v="12500"/>
    <n v="11250"/>
    <n v="7750"/>
    <n v="642"/>
    <n v="242"/>
    <n v="2616"/>
    <n v="0.23253333333333329"/>
    <s v="2025-07"/>
  </r>
  <r>
    <s v="ORD-00698"/>
    <x v="391"/>
    <x v="1"/>
    <x v="1"/>
    <x v="0"/>
    <x v="2"/>
    <n v="1"/>
    <n v="3500"/>
    <n v="0.08"/>
    <n v="3500"/>
    <n v="3220"/>
    <n v="2380"/>
    <n v="292"/>
    <n v="2089"/>
    <n v="-1541"/>
    <n v="-0.47857142857142859"/>
    <s v="2026-06"/>
  </r>
  <r>
    <s v="ORD-00699"/>
    <x v="392"/>
    <x v="4"/>
    <x v="3"/>
    <x v="1"/>
    <x v="2"/>
    <n v="6"/>
    <n v="2500"/>
    <n v="0.15"/>
    <n v="15000"/>
    <n v="12750"/>
    <n v="9300"/>
    <n v="671"/>
    <n v="646"/>
    <n v="2133"/>
    <n v="0.16729411764705879"/>
    <s v="2026-06"/>
  </r>
  <r>
    <s v="ORD-00700"/>
    <x v="393"/>
    <x v="0"/>
    <x v="1"/>
    <x v="0"/>
    <x v="2"/>
    <n v="2"/>
    <n v="32000"/>
    <n v="0.08"/>
    <n v="64000"/>
    <n v="58880"/>
    <n v="52480"/>
    <n v="721"/>
    <n v="733"/>
    <n v="4946"/>
    <n v="8.4001358695652173E-2"/>
    <s v="2026-05"/>
  </r>
  <r>
    <s v="ORD-00701"/>
    <x v="122"/>
    <x v="6"/>
    <x v="5"/>
    <x v="1"/>
    <x v="2"/>
    <n v="1"/>
    <n v="4500"/>
    <n v="0.2"/>
    <n v="4500"/>
    <n v="3600"/>
    <n v="2925"/>
    <n v="396"/>
    <n v="118"/>
    <n v="161"/>
    <n v="4.4722222222222219E-2"/>
    <s v="2025-01"/>
  </r>
  <r>
    <s v="ORD-00702"/>
    <x v="253"/>
    <x v="1"/>
    <x v="1"/>
    <x v="0"/>
    <x v="0"/>
    <n v="3"/>
    <n v="3500"/>
    <n v="0.05"/>
    <n v="10500"/>
    <n v="9975"/>
    <n v="7140.0000000000009"/>
    <n v="1664"/>
    <n v="1125"/>
    <n v="45.999999999999091"/>
    <n v="4.6115288220550466E-3"/>
    <s v="2026-06"/>
  </r>
  <r>
    <s v="ORD-00703"/>
    <x v="97"/>
    <x v="2"/>
    <x v="4"/>
    <x v="1"/>
    <x v="2"/>
    <n v="1"/>
    <n v="28000"/>
    <n v="0.1"/>
    <n v="28000"/>
    <n v="25200"/>
    <n v="21840"/>
    <n v="1231"/>
    <n v="973"/>
    <n v="1156"/>
    <n v="4.5873015873015871E-2"/>
    <s v="2026-04"/>
  </r>
  <r>
    <s v="ORD-00704"/>
    <x v="168"/>
    <x v="1"/>
    <x v="5"/>
    <x v="0"/>
    <x v="0"/>
    <n v="6"/>
    <n v="3500"/>
    <n v="0.08"/>
    <n v="21000"/>
    <n v="19320"/>
    <n v="14280"/>
    <n v="1529"/>
    <n v="577"/>
    <n v="2933.9999999999982"/>
    <n v="0.151863354037267"/>
    <s v="2025-01"/>
  </r>
  <r>
    <s v="ORD-00705"/>
    <x v="170"/>
    <x v="6"/>
    <x v="3"/>
    <x v="0"/>
    <x v="0"/>
    <n v="5"/>
    <n v="4500"/>
    <n v="0.05"/>
    <n v="22500"/>
    <n v="21375"/>
    <n v="14625"/>
    <n v="755"/>
    <n v="1965"/>
    <n v="4030"/>
    <n v="0.18853801169590639"/>
    <s v="2026-01"/>
  </r>
  <r>
    <s v="ORD-00706"/>
    <x v="58"/>
    <x v="2"/>
    <x v="4"/>
    <x v="0"/>
    <x v="0"/>
    <n v="2"/>
    <n v="28000"/>
    <n v="0.05"/>
    <n v="56000"/>
    <n v="53200"/>
    <n v="43680"/>
    <n v="465"/>
    <n v="1371"/>
    <n v="7684"/>
    <n v="0.14443609022556389"/>
    <s v="2025-03"/>
  </r>
  <r>
    <s v="ORD-00707"/>
    <x v="159"/>
    <x v="7"/>
    <x v="2"/>
    <x v="0"/>
    <x v="2"/>
    <n v="3"/>
    <n v="65000"/>
    <n v="0.1"/>
    <n v="195000"/>
    <n v="175500"/>
    <n v="163800"/>
    <n v="931"/>
    <n v="924"/>
    <n v="9845"/>
    <n v="5.6096866096866087E-2"/>
    <s v="2025-12"/>
  </r>
  <r>
    <s v="ORD-00708"/>
    <x v="192"/>
    <x v="6"/>
    <x v="0"/>
    <x v="1"/>
    <x v="2"/>
    <n v="1"/>
    <n v="4500"/>
    <n v="0.1"/>
    <n v="4500"/>
    <n v="4050"/>
    <n v="2925"/>
    <n v="743"/>
    <n v="1869"/>
    <n v="-1487"/>
    <n v="-0.36716049382716048"/>
    <s v="2025-01"/>
  </r>
  <r>
    <s v="ORD-00709"/>
    <x v="375"/>
    <x v="3"/>
    <x v="5"/>
    <x v="2"/>
    <x v="2"/>
    <n v="2"/>
    <n v="18000"/>
    <n v="0.05"/>
    <n v="36000"/>
    <n v="34200"/>
    <n v="28800"/>
    <n v="775"/>
    <n v="554"/>
    <n v="4071"/>
    <n v="0.1190350877192982"/>
    <s v="2025-08"/>
  </r>
  <r>
    <s v="ORD-00710"/>
    <x v="91"/>
    <x v="7"/>
    <x v="3"/>
    <x v="0"/>
    <x v="0"/>
    <n v="1"/>
    <n v="65000"/>
    <n v="0"/>
    <n v="65000"/>
    <n v="65000"/>
    <n v="54600"/>
    <n v="634"/>
    <n v="981"/>
    <n v="8785"/>
    <n v="0.13515384615384621"/>
    <s v="2026-02"/>
  </r>
  <r>
    <s v="ORD-00711"/>
    <x v="67"/>
    <x v="6"/>
    <x v="0"/>
    <x v="2"/>
    <x v="0"/>
    <n v="4"/>
    <n v="4500"/>
    <n v="0.03"/>
    <n v="18000"/>
    <n v="17460"/>
    <n v="11700"/>
    <n v="542"/>
    <n v="535"/>
    <n v="4683"/>
    <n v="0.26821305841924398"/>
    <s v="2025-06"/>
  </r>
  <r>
    <s v="ORD-00712"/>
    <x v="232"/>
    <x v="7"/>
    <x v="1"/>
    <x v="1"/>
    <x v="2"/>
    <n v="3"/>
    <n v="65000"/>
    <n v="0.05"/>
    <n v="195000"/>
    <n v="185250"/>
    <n v="163800"/>
    <n v="1265"/>
    <n v="2357"/>
    <n v="17828"/>
    <n v="9.6237516869095818E-2"/>
    <s v="2025-10"/>
  </r>
  <r>
    <s v="ORD-00713"/>
    <x v="371"/>
    <x v="7"/>
    <x v="4"/>
    <x v="0"/>
    <x v="2"/>
    <n v="2"/>
    <n v="65000"/>
    <n v="0"/>
    <n v="130000"/>
    <n v="130000"/>
    <n v="109200"/>
    <n v="1753"/>
    <n v="156"/>
    <n v="18891"/>
    <n v="0.1453153846153846"/>
    <s v="2025-04"/>
  </r>
  <r>
    <s v="ORD-00714"/>
    <x v="394"/>
    <x v="4"/>
    <x v="2"/>
    <x v="2"/>
    <x v="0"/>
    <n v="5"/>
    <n v="2500"/>
    <n v="0.03"/>
    <n v="12500"/>
    <n v="12125"/>
    <n v="7750"/>
    <n v="815"/>
    <n v="1373"/>
    <n v="2187"/>
    <n v="0.18037113402061861"/>
    <s v="2025-09"/>
  </r>
  <r>
    <s v="ORD-00715"/>
    <x v="83"/>
    <x v="2"/>
    <x v="1"/>
    <x v="1"/>
    <x v="2"/>
    <n v="1"/>
    <n v="28000"/>
    <n v="0.15"/>
    <n v="28000"/>
    <n v="23800"/>
    <n v="21840"/>
    <n v="1171"/>
    <n v="1381"/>
    <n v="-592"/>
    <n v="-2.4873949579831928E-2"/>
    <s v="2025-10"/>
  </r>
  <r>
    <s v="ORD-00716"/>
    <x v="134"/>
    <x v="3"/>
    <x v="0"/>
    <x v="2"/>
    <x v="0"/>
    <n v="2"/>
    <n v="18000"/>
    <n v="0.1"/>
    <n v="36000"/>
    <n v="32400"/>
    <n v="28800"/>
    <n v="743"/>
    <n v="1520"/>
    <n v="1337"/>
    <n v="4.1265432098765431E-2"/>
    <s v="2026-06"/>
  </r>
  <r>
    <s v="ORD-00717"/>
    <x v="395"/>
    <x v="1"/>
    <x v="2"/>
    <x v="1"/>
    <x v="2"/>
    <n v="6"/>
    <n v="3500"/>
    <n v="0.05"/>
    <n v="21000"/>
    <n v="19950"/>
    <n v="14280"/>
    <n v="1585"/>
    <n v="859"/>
    <n v="3225.9999999999982"/>
    <n v="0.16170426065162899"/>
    <s v="2025-02"/>
  </r>
  <r>
    <s v="ORD-00718"/>
    <x v="180"/>
    <x v="3"/>
    <x v="4"/>
    <x v="0"/>
    <x v="2"/>
    <n v="1"/>
    <n v="18000"/>
    <n v="0.05"/>
    <n v="18000"/>
    <n v="17100"/>
    <n v="14400"/>
    <n v="1099"/>
    <n v="2158"/>
    <n v="-557"/>
    <n v="-3.2573099415204677E-2"/>
    <s v="2025-01"/>
  </r>
  <r>
    <s v="ORD-00719"/>
    <x v="207"/>
    <x v="3"/>
    <x v="0"/>
    <x v="0"/>
    <x v="0"/>
    <n v="1"/>
    <n v="18000"/>
    <n v="0"/>
    <n v="18000"/>
    <n v="18000"/>
    <n v="14400"/>
    <n v="418"/>
    <n v="1610"/>
    <n v="1572"/>
    <n v="8.7333333333333332E-2"/>
    <s v="2026-04"/>
  </r>
  <r>
    <s v="ORD-00720"/>
    <x v="396"/>
    <x v="5"/>
    <x v="5"/>
    <x v="0"/>
    <x v="0"/>
    <n v="7"/>
    <n v="1500"/>
    <n v="0"/>
    <n v="10500"/>
    <n v="10500"/>
    <n v="5775.0000000000009"/>
    <n v="1632"/>
    <n v="2447"/>
    <n v="645.99999999999909"/>
    <n v="6.1523809523809439E-2"/>
    <s v="2025-12"/>
  </r>
  <r>
    <s v="ORD-00721"/>
    <x v="397"/>
    <x v="6"/>
    <x v="1"/>
    <x v="2"/>
    <x v="0"/>
    <n v="4"/>
    <n v="4500"/>
    <n v="0.05"/>
    <n v="18000"/>
    <n v="17100"/>
    <n v="11700"/>
    <n v="1535"/>
    <n v="198"/>
    <n v="3667"/>
    <n v="0.21444444444444441"/>
    <s v="2025-07"/>
  </r>
  <r>
    <s v="ORD-00722"/>
    <x v="198"/>
    <x v="2"/>
    <x v="2"/>
    <x v="1"/>
    <x v="2"/>
    <n v="1"/>
    <n v="28000"/>
    <n v="0.08"/>
    <n v="28000"/>
    <n v="25760"/>
    <n v="21840"/>
    <n v="789"/>
    <n v="1165"/>
    <n v="1966"/>
    <n v="7.6319875776397511E-2"/>
    <s v="2026-02"/>
  </r>
  <r>
    <s v="ORD-00723"/>
    <x v="325"/>
    <x v="7"/>
    <x v="4"/>
    <x v="0"/>
    <x v="2"/>
    <n v="1"/>
    <n v="65000"/>
    <n v="0.15"/>
    <n v="65000"/>
    <n v="55250"/>
    <n v="54600"/>
    <n v="576"/>
    <n v="754"/>
    <n v="-680"/>
    <n v="-1.2307692307692309E-2"/>
    <s v="2026-02"/>
  </r>
  <r>
    <s v="ORD-00724"/>
    <x v="345"/>
    <x v="2"/>
    <x v="2"/>
    <x v="0"/>
    <x v="0"/>
    <n v="2"/>
    <n v="28000"/>
    <n v="0.2"/>
    <n v="56000"/>
    <n v="44800"/>
    <n v="43680"/>
    <n v="1047"/>
    <n v="903"/>
    <n v="-830"/>
    <n v="-1.8526785714285711E-2"/>
    <s v="2025-10"/>
  </r>
  <r>
    <s v="ORD-00725"/>
    <x v="103"/>
    <x v="7"/>
    <x v="5"/>
    <x v="0"/>
    <x v="0"/>
    <n v="1"/>
    <n v="65000"/>
    <n v="0.15"/>
    <n v="65000"/>
    <n v="55250"/>
    <n v="54600"/>
    <n v="1138"/>
    <n v="1633"/>
    <n v="-2121"/>
    <n v="-3.8389140271493212E-2"/>
    <s v="2025-03"/>
  </r>
  <r>
    <s v="ORD-00726"/>
    <x v="231"/>
    <x v="5"/>
    <x v="2"/>
    <x v="0"/>
    <x v="2"/>
    <n v="5"/>
    <n v="1500"/>
    <n v="0.08"/>
    <n v="7500"/>
    <n v="6900"/>
    <n v="4125"/>
    <n v="628"/>
    <n v="533"/>
    <n v="1614"/>
    <n v="0.23391304347826089"/>
    <s v="2025-07"/>
  </r>
  <r>
    <s v="ORD-00727"/>
    <x v="275"/>
    <x v="1"/>
    <x v="3"/>
    <x v="0"/>
    <x v="0"/>
    <n v="2"/>
    <n v="3500"/>
    <n v="0.05"/>
    <n v="7000"/>
    <n v="6650"/>
    <n v="4760"/>
    <n v="1390"/>
    <n v="350"/>
    <n v="150"/>
    <n v="2.2556390977443611E-2"/>
    <s v="2025-06"/>
  </r>
  <r>
    <s v="ORD-00728"/>
    <x v="147"/>
    <x v="6"/>
    <x v="1"/>
    <x v="2"/>
    <x v="2"/>
    <n v="7"/>
    <n v="4500"/>
    <n v="0.05"/>
    <n v="31500"/>
    <n v="29925"/>
    <n v="20475"/>
    <n v="632"/>
    <n v="2206"/>
    <n v="6612"/>
    <n v="0.22095238095238101"/>
    <s v="2025-07"/>
  </r>
  <r>
    <s v="ORD-00729"/>
    <x v="398"/>
    <x v="6"/>
    <x v="0"/>
    <x v="1"/>
    <x v="1"/>
    <n v="7"/>
    <n v="4500"/>
    <n v="0.08"/>
    <n v="31500"/>
    <n v="28980"/>
    <n v="20475"/>
    <n v="1590"/>
    <n v="1291"/>
    <n v="5624"/>
    <n v="0.19406487232574191"/>
    <s v="2025-02"/>
  </r>
  <r>
    <s v="ORD-00730"/>
    <x v="399"/>
    <x v="5"/>
    <x v="2"/>
    <x v="2"/>
    <x v="2"/>
    <n v="2"/>
    <n v="1500"/>
    <n v="0.08"/>
    <n v="3000"/>
    <n v="2760"/>
    <n v="1650"/>
    <n v="1590"/>
    <n v="1584"/>
    <n v="-2064"/>
    <n v="-0.74782608695652175"/>
    <s v="2026-06"/>
  </r>
  <r>
    <s v="ORD-00731"/>
    <x v="84"/>
    <x v="6"/>
    <x v="2"/>
    <x v="0"/>
    <x v="0"/>
    <n v="4"/>
    <n v="4500"/>
    <n v="0.1"/>
    <n v="18000"/>
    <n v="16200"/>
    <n v="11700"/>
    <n v="1592"/>
    <n v="1237"/>
    <n v="1671"/>
    <n v="0.1031481481481481"/>
    <s v="2026-05"/>
  </r>
  <r>
    <s v="ORD-00732"/>
    <x v="400"/>
    <x v="3"/>
    <x v="2"/>
    <x v="0"/>
    <x v="2"/>
    <n v="3"/>
    <n v="18000"/>
    <n v="0.15"/>
    <n v="54000"/>
    <n v="45900"/>
    <n v="43200"/>
    <n v="1469"/>
    <n v="306"/>
    <n v="925"/>
    <n v="2.015250544662309E-2"/>
    <s v="2025-05"/>
  </r>
  <r>
    <s v="ORD-00733"/>
    <x v="401"/>
    <x v="7"/>
    <x v="1"/>
    <x v="0"/>
    <x v="0"/>
    <n v="2"/>
    <n v="65000"/>
    <n v="0.1"/>
    <n v="130000"/>
    <n v="117000"/>
    <n v="109200"/>
    <n v="602"/>
    <n v="513"/>
    <n v="6685"/>
    <n v="5.7136752136752143E-2"/>
    <s v="2025-02"/>
  </r>
  <r>
    <s v="ORD-00734"/>
    <x v="306"/>
    <x v="5"/>
    <x v="1"/>
    <x v="2"/>
    <x v="2"/>
    <n v="4"/>
    <n v="1500"/>
    <n v="0.2"/>
    <n v="6000"/>
    <n v="4800"/>
    <n v="3300"/>
    <n v="1523"/>
    <n v="1240"/>
    <n v="-1263"/>
    <n v="-0.26312500000000011"/>
    <s v="2026-05"/>
  </r>
  <r>
    <s v="ORD-00735"/>
    <x v="82"/>
    <x v="3"/>
    <x v="1"/>
    <x v="1"/>
    <x v="1"/>
    <n v="2"/>
    <n v="18000"/>
    <n v="0.05"/>
    <n v="36000"/>
    <n v="34200"/>
    <n v="28800"/>
    <n v="430"/>
    <n v="552"/>
    <n v="4418"/>
    <n v="0.12918128654970759"/>
    <s v="2026-01"/>
  </r>
  <r>
    <s v="ORD-00736"/>
    <x v="402"/>
    <x v="4"/>
    <x v="4"/>
    <x v="1"/>
    <x v="2"/>
    <n v="5"/>
    <n v="2500"/>
    <n v="0"/>
    <n v="12500"/>
    <n v="12500"/>
    <n v="7750"/>
    <n v="803"/>
    <n v="980"/>
    <n v="2967"/>
    <n v="0.23735999999999999"/>
    <s v="2025-03"/>
  </r>
  <r>
    <s v="ORD-00737"/>
    <x v="268"/>
    <x v="7"/>
    <x v="0"/>
    <x v="1"/>
    <x v="2"/>
    <n v="1"/>
    <n v="65000"/>
    <n v="0"/>
    <n v="65000"/>
    <n v="65000"/>
    <n v="54600"/>
    <n v="1797"/>
    <n v="1801"/>
    <n v="6802"/>
    <n v="0.10464615384615381"/>
    <s v="2025-06"/>
  </r>
  <r>
    <s v="ORD-00738"/>
    <x v="289"/>
    <x v="6"/>
    <x v="3"/>
    <x v="2"/>
    <x v="0"/>
    <n v="1"/>
    <n v="4500"/>
    <n v="0.08"/>
    <n v="4500"/>
    <n v="4140"/>
    <n v="2925"/>
    <n v="1778"/>
    <n v="1501"/>
    <n v="-2064"/>
    <n v="-0.49855072463768119"/>
    <s v="2025-09"/>
  </r>
  <r>
    <s v="ORD-00739"/>
    <x v="225"/>
    <x v="4"/>
    <x v="2"/>
    <x v="0"/>
    <x v="2"/>
    <n v="5"/>
    <n v="2500"/>
    <n v="0.15"/>
    <n v="12500"/>
    <n v="10625"/>
    <n v="7750"/>
    <n v="279"/>
    <n v="1947"/>
    <n v="649"/>
    <n v="6.108235294117647E-2"/>
    <s v="2025-08"/>
  </r>
  <r>
    <s v="ORD-00740"/>
    <x v="304"/>
    <x v="5"/>
    <x v="4"/>
    <x v="2"/>
    <x v="0"/>
    <n v="5"/>
    <n v="1500"/>
    <n v="0"/>
    <n v="7500"/>
    <n v="7500"/>
    <n v="4125"/>
    <n v="1753"/>
    <n v="2066"/>
    <n v="-444"/>
    <n v="-5.9200000000000003E-2"/>
    <s v="2025-02"/>
  </r>
  <r>
    <s v="ORD-00741"/>
    <x v="403"/>
    <x v="1"/>
    <x v="5"/>
    <x v="0"/>
    <x v="0"/>
    <n v="3"/>
    <n v="3500"/>
    <n v="0.1"/>
    <n v="10500"/>
    <n v="9450"/>
    <n v="7140.0000000000009"/>
    <n v="1450"/>
    <n v="844"/>
    <n v="15.999999999999091"/>
    <n v="1.6931216931215969E-3"/>
    <s v="2025-11"/>
  </r>
  <r>
    <s v="ORD-00742"/>
    <x v="223"/>
    <x v="0"/>
    <x v="0"/>
    <x v="0"/>
    <x v="2"/>
    <n v="1"/>
    <n v="32000"/>
    <n v="0.15"/>
    <n v="32000"/>
    <n v="27200"/>
    <n v="26240"/>
    <n v="1407"/>
    <n v="1491"/>
    <n v="-1938"/>
    <n v="-7.1249999999999994E-2"/>
    <s v="2025-07"/>
  </r>
  <r>
    <s v="ORD-00743"/>
    <x v="29"/>
    <x v="7"/>
    <x v="3"/>
    <x v="0"/>
    <x v="1"/>
    <n v="1"/>
    <n v="65000"/>
    <n v="0.08"/>
    <n v="65000"/>
    <n v="59800"/>
    <n v="54600"/>
    <n v="474"/>
    <n v="2358"/>
    <n v="2368"/>
    <n v="3.959866220735786E-2"/>
    <s v="2026-05"/>
  </r>
  <r>
    <s v="ORD-00744"/>
    <x v="214"/>
    <x v="5"/>
    <x v="5"/>
    <x v="0"/>
    <x v="1"/>
    <n v="1"/>
    <n v="1500"/>
    <n v="0"/>
    <n v="1500"/>
    <n v="1500"/>
    <n v="825.00000000000011"/>
    <n v="1142"/>
    <n v="357"/>
    <n v="-824.00000000000011"/>
    <n v="-0.54933333333333345"/>
    <s v="2025-01"/>
  </r>
  <r>
    <s v="ORD-00745"/>
    <x v="404"/>
    <x v="6"/>
    <x v="3"/>
    <x v="0"/>
    <x v="2"/>
    <n v="3"/>
    <n v="4500"/>
    <n v="0.03"/>
    <n v="13500"/>
    <n v="13095"/>
    <n v="8775"/>
    <n v="1774"/>
    <n v="528"/>
    <n v="2018"/>
    <n v="0.1541046200840015"/>
    <s v="2026-01"/>
  </r>
  <r>
    <s v="ORD-00746"/>
    <x v="157"/>
    <x v="5"/>
    <x v="4"/>
    <x v="1"/>
    <x v="1"/>
    <n v="5"/>
    <n v="1500"/>
    <n v="0.03"/>
    <n v="7500"/>
    <n v="7275"/>
    <n v="4125"/>
    <n v="506"/>
    <n v="1787"/>
    <n v="857"/>
    <n v="0.1178006872852234"/>
    <s v="2025-01"/>
  </r>
  <r>
    <s v="ORD-00747"/>
    <x v="405"/>
    <x v="5"/>
    <x v="5"/>
    <x v="0"/>
    <x v="2"/>
    <n v="2"/>
    <n v="1500"/>
    <n v="0.05"/>
    <n v="3000"/>
    <n v="2850"/>
    <n v="1650"/>
    <n v="543"/>
    <n v="1402"/>
    <n v="-745.00000000000023"/>
    <n v="-0.26140350877192992"/>
    <s v="2025-07"/>
  </r>
  <r>
    <s v="ORD-00748"/>
    <x v="367"/>
    <x v="0"/>
    <x v="2"/>
    <x v="0"/>
    <x v="2"/>
    <n v="1"/>
    <n v="32000"/>
    <n v="0.08"/>
    <n v="32000"/>
    <n v="29440"/>
    <n v="26240"/>
    <n v="994"/>
    <n v="1488"/>
    <n v="718"/>
    <n v="2.4388586956521741E-2"/>
    <s v="2025-03"/>
  </r>
  <r>
    <s v="ORD-00749"/>
    <x v="406"/>
    <x v="7"/>
    <x v="2"/>
    <x v="1"/>
    <x v="0"/>
    <n v="2"/>
    <n v="65000"/>
    <n v="0.03"/>
    <n v="130000"/>
    <n v="126100"/>
    <n v="109200"/>
    <n v="1319"/>
    <n v="1057"/>
    <n v="14524"/>
    <n v="0.11517842981760509"/>
    <s v="2025-04"/>
  </r>
  <r>
    <s v="ORD-00750"/>
    <x v="220"/>
    <x v="3"/>
    <x v="2"/>
    <x v="0"/>
    <x v="1"/>
    <n v="3"/>
    <n v="18000"/>
    <n v="0.1"/>
    <n v="54000"/>
    <n v="48600"/>
    <n v="43200"/>
    <n v="878"/>
    <n v="2068"/>
    <n v="2454"/>
    <n v="5.0493827160493818E-2"/>
    <s v="2025-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4E273F-D3A7-42AD-8A26-9FBBAA3677B8}"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Region" colHeaderCaption="Year">
  <location ref="F61:G68" firstHeaderRow="1"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items count="9">
        <item x="1"/>
        <item x="4"/>
        <item x="7"/>
        <item x="2"/>
        <item x="5"/>
        <item x="3"/>
        <item x="0"/>
        <item x="6"/>
        <item t="default"/>
      </items>
    </pivotField>
    <pivotField axis="axisRow" showAll="0" sortType="descending">
      <items count="7">
        <item x="0"/>
        <item x="3"/>
        <item x="5"/>
        <item x="2"/>
        <item x="1"/>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7">
    <i>
      <x v="1"/>
    </i>
    <i>
      <x v="4"/>
    </i>
    <i>
      <x/>
    </i>
    <i>
      <x v="2"/>
    </i>
    <i>
      <x v="5"/>
    </i>
    <i>
      <x v="3"/>
    </i>
    <i t="grand">
      <x/>
    </i>
  </rowItems>
  <colItems count="1">
    <i/>
  </colItems>
  <dataFields count="1">
    <dataField name="Revenue" fld="10" baseField="3" baseItem="0"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D34E1E-80BF-4744-8EA4-7F3A175F1A86}"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colHeaderCaption="Channel">
  <location ref="A40:E48" firstHeaderRow="1" firstDataRow="2" firstDataCol="1"/>
  <pivotFields count="20">
    <pivotField showAll="0"/>
    <pivotField numFmtId="164" showAll="0">
      <items count="15">
        <item x="0"/>
        <item x="1"/>
        <item x="2"/>
        <item x="3"/>
        <item x="4"/>
        <item x="5"/>
        <item x="6"/>
        <item x="7"/>
        <item x="8"/>
        <item x="9"/>
        <item x="10"/>
        <item x="11"/>
        <item x="12"/>
        <item x="13"/>
        <item t="default"/>
      </items>
    </pivotField>
    <pivotField showAll="0">
      <items count="9">
        <item x="1"/>
        <item x="4"/>
        <item x="7"/>
        <item x="2"/>
        <item x="5"/>
        <item x="3"/>
        <item x="0"/>
        <item x="6"/>
        <item t="default"/>
      </items>
    </pivotField>
    <pivotField axis="axisRow" showAll="0">
      <items count="7">
        <item x="0"/>
        <item x="3"/>
        <item x="5"/>
        <item x="2"/>
        <item x="1"/>
        <item x="4"/>
        <item t="default"/>
      </items>
    </pivotField>
    <pivotField axis="axisCol"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Fields count="1">
    <field x="4"/>
  </colFields>
  <colItems count="4">
    <i>
      <x/>
    </i>
    <i>
      <x v="1"/>
    </i>
    <i>
      <x v="2"/>
    </i>
    <i t="grand">
      <x/>
    </i>
  </colItems>
  <dataFields count="1">
    <dataField name="Net_sales " fld="10" baseField="2" baseItem="7"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7737AA-068E-4B10-9794-B8324C3B436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
  <location ref="F12:H21" firstHeaderRow="0" firstDataRow="1" firstDataCol="1"/>
  <pivotFields count="20">
    <pivotField showAll="0"/>
    <pivotField numFmtId="164" showAll="0">
      <items count="15">
        <item x="0"/>
        <item x="1"/>
        <item x="2"/>
        <item x="3"/>
        <item x="4"/>
        <item x="5"/>
        <item x="6"/>
        <item x="7"/>
        <item x="8"/>
        <item x="9"/>
        <item x="10"/>
        <item x="11"/>
        <item x="12"/>
        <item x="13"/>
        <item t="default"/>
      </items>
    </pivotField>
    <pivotField axis="axisRow" showAll="0" sortType="descending">
      <items count="9">
        <item x="1"/>
        <item x="4"/>
        <item x="7"/>
        <item x="2"/>
        <item x="5"/>
        <item x="3"/>
        <item x="0"/>
        <item x="6"/>
        <item t="default"/>
      </items>
      <autoSortScope>
        <pivotArea dataOnly="0" outline="0" fieldPosition="0">
          <references count="1">
            <reference field="4294967294" count="1" selected="0">
              <x v="1"/>
            </reference>
          </references>
        </pivotArea>
      </autoSortScope>
    </pivotField>
    <pivotField showAll="0">
      <items count="7">
        <item x="0"/>
        <item x="3"/>
        <item x="5"/>
        <item x="2"/>
        <item x="1"/>
        <item x="4"/>
        <item t="default"/>
      </items>
    </pivotField>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2"/>
  </rowFields>
  <rowItems count="9">
    <i>
      <x v="2"/>
    </i>
    <i>
      <x v="6"/>
    </i>
    <i>
      <x v="3"/>
    </i>
    <i>
      <x v="7"/>
    </i>
    <i>
      <x v="5"/>
    </i>
    <i>
      <x v="1"/>
    </i>
    <i>
      <x/>
    </i>
    <i>
      <x v="4"/>
    </i>
    <i t="grand">
      <x/>
    </i>
  </rowItems>
  <colFields count="1">
    <field x="-2"/>
  </colFields>
  <colItems count="2">
    <i>
      <x/>
    </i>
    <i i="1">
      <x v="1"/>
    </i>
  </colItems>
  <dataFields count="2">
    <dataField name="Net Sales" fld="10" baseField="3" baseItem="0" numFmtId="165"/>
    <dataField name="Net Profit" fld="14" baseField="2" baseItem="6"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CB75CA-A90F-42F7-9F12-4974065815D8}"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Months" colHeaderCaption="Year">
  <location ref="A61:D75" firstHeaderRow="1" firstDataRow="2" firstDataCol="1"/>
  <pivotFields count="20">
    <pivotField showAll="0"/>
    <pivotField axis="axisRow" numFmtId="164" showAll="0">
      <items count="15">
        <item x="0"/>
        <item x="1"/>
        <item x="2"/>
        <item x="3"/>
        <item x="4"/>
        <item x="5"/>
        <item x="6"/>
        <item x="7"/>
        <item x="8"/>
        <item x="9"/>
        <item x="10"/>
        <item x="11"/>
        <item x="12"/>
        <item x="13"/>
        <item t="default"/>
      </items>
    </pivotField>
    <pivotField showAll="0">
      <items count="9">
        <item x="1"/>
        <item x="4"/>
        <item x="7"/>
        <item x="2"/>
        <item x="5"/>
        <item x="3"/>
        <item x="0"/>
        <item x="6"/>
        <item t="default"/>
      </items>
    </pivotField>
    <pivotField showAll="0">
      <items count="7">
        <item x="0"/>
        <item x="3"/>
        <item x="5"/>
        <item x="2"/>
        <item x="1"/>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Fields count="1">
    <field x="19"/>
  </colFields>
  <colItems count="3">
    <i>
      <x v="1"/>
    </i>
    <i>
      <x v="2"/>
    </i>
    <i t="grand">
      <x/>
    </i>
  </colItems>
  <dataFields count="1">
    <dataField name="Revenue" fld="10" baseField="3" baseItem="0" numFmtId="165"/>
  </dataFields>
  <chartFormats count="2">
    <chartFormat chart="3" format="4" series="1">
      <pivotArea type="data" outline="0" fieldPosition="0">
        <references count="2">
          <reference field="4294967294" count="1" selected="0">
            <x v="0"/>
          </reference>
          <reference field="19" count="1" selected="0">
            <x v="1"/>
          </reference>
        </references>
      </pivotArea>
    </chartFormat>
    <chartFormat chart="3" format="5"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D8F71A-A105-4147-85A6-D094528B4F92}"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s" colHeaderCaption="Region">
  <location ref="A26:H36" firstHeaderRow="1" firstDataRow="2" firstDataCol="1"/>
  <pivotFields count="20">
    <pivotField showAll="0"/>
    <pivotField numFmtId="164" showAll="0">
      <items count="15">
        <item x="0"/>
        <item x="1"/>
        <item x="2"/>
        <item x="3"/>
        <item x="4"/>
        <item x="5"/>
        <item x="6"/>
        <item x="7"/>
        <item x="8"/>
        <item x="9"/>
        <item x="10"/>
        <item x="11"/>
        <item x="12"/>
        <item x="13"/>
        <item t="default"/>
      </items>
    </pivotField>
    <pivotField axis="axisRow" showAll="0">
      <items count="9">
        <item x="1"/>
        <item x="4"/>
        <item x="7"/>
        <item x="2"/>
        <item x="5"/>
        <item x="3"/>
        <item x="0"/>
        <item x="6"/>
        <item t="default"/>
      </items>
    </pivotField>
    <pivotField axis="axisCol" showAll="0">
      <items count="7">
        <item x="0"/>
        <item x="3"/>
        <item x="5"/>
        <item x="2"/>
        <item x="1"/>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2"/>
  </rowFields>
  <rowItems count="9">
    <i>
      <x/>
    </i>
    <i>
      <x v="1"/>
    </i>
    <i>
      <x v="2"/>
    </i>
    <i>
      <x v="3"/>
    </i>
    <i>
      <x v="4"/>
    </i>
    <i>
      <x v="5"/>
    </i>
    <i>
      <x v="6"/>
    </i>
    <i>
      <x v="7"/>
    </i>
    <i t="grand">
      <x/>
    </i>
  </rowItems>
  <colFields count="1">
    <field x="3"/>
  </colFields>
  <colItems count="7">
    <i>
      <x/>
    </i>
    <i>
      <x v="1"/>
    </i>
    <i>
      <x v="2"/>
    </i>
    <i>
      <x v="3"/>
    </i>
    <i>
      <x v="4"/>
    </i>
    <i>
      <x v="5"/>
    </i>
    <i t="grand">
      <x/>
    </i>
  </colItems>
  <dataFields count="1">
    <dataField name="Net_sales " fld="10" baseField="2" baseItem="7"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BF9A4E-9DE8-4658-9BF9-80C88C4BE95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_Type">
  <location ref="J20:L24" firstHeaderRow="0"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items count="9">
        <item x="1"/>
        <item x="4"/>
        <item x="7"/>
        <item x="2"/>
        <item x="5"/>
        <item x="3"/>
        <item x="0"/>
        <item x="6"/>
        <item t="default"/>
      </items>
    </pivotField>
    <pivotField showAll="0">
      <items count="7">
        <item x="0"/>
        <item x="3"/>
        <item x="5"/>
        <item x="2"/>
        <item x="1"/>
        <item x="4"/>
        <item t="default"/>
      </items>
    </pivotField>
    <pivotField showAll="0">
      <items count="4">
        <item x="2"/>
        <item x="0"/>
        <item x="1"/>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5"/>
  </rowFields>
  <rowItems count="4">
    <i>
      <x v="1"/>
    </i>
    <i>
      <x v="2"/>
    </i>
    <i>
      <x/>
    </i>
    <i t="grand">
      <x/>
    </i>
  </rowItems>
  <colFields count="1">
    <field x="-2"/>
  </colFields>
  <colItems count="2">
    <i>
      <x/>
    </i>
    <i i="1">
      <x v="1"/>
    </i>
  </colItems>
  <dataFields count="2">
    <dataField name="Net Sales" fld="10" baseField="3" baseItem="0" numFmtId="165"/>
    <dataField name="Average order Value" fld="10" subtotal="average" baseField="5"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F2143F-8E76-4017-B677-051066E59FA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egion">
  <location ref="A12:D19" firstHeaderRow="0"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items count="9">
        <item x="1"/>
        <item x="4"/>
        <item x="7"/>
        <item x="2"/>
        <item x="5"/>
        <item x="3"/>
        <item x="0"/>
        <item x="6"/>
        <item t="default"/>
      </items>
    </pivotField>
    <pivotField axis="axisRow" showAll="0" sortType="descending">
      <items count="7">
        <item x="0"/>
        <item x="3"/>
        <item x="5"/>
        <item x="2"/>
        <item x="1"/>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dataField="1"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3"/>
  </rowFields>
  <rowItems count="7">
    <i>
      <x v="1"/>
    </i>
    <i>
      <x v="4"/>
    </i>
    <i>
      <x/>
    </i>
    <i>
      <x v="2"/>
    </i>
    <i>
      <x v="5"/>
    </i>
    <i>
      <x v="3"/>
    </i>
    <i t="grand">
      <x/>
    </i>
  </rowItems>
  <colFields count="1">
    <field x="-2"/>
  </colFields>
  <colItems count="3">
    <i>
      <x/>
    </i>
    <i i="1">
      <x v="1"/>
    </i>
    <i i="2">
      <x v="2"/>
    </i>
  </colItems>
  <dataFields count="3">
    <dataField name="Net Sales" fld="10" baseField="3" baseItem="4" numFmtId="165"/>
    <dataField name="Net Profit" fld="14" baseField="3" baseItem="1" numFmtId="165"/>
    <dataField name="Profit margin" fld="17"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7EA7B4-93CE-4783-ADB7-8CE64C321A0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hannel">
  <location ref="J13:K17" firstHeaderRow="1"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items count="9">
        <item x="1"/>
        <item x="4"/>
        <item x="7"/>
        <item x="2"/>
        <item x="5"/>
        <item x="3"/>
        <item x="0"/>
        <item x="6"/>
        <item t="default"/>
      </items>
    </pivotField>
    <pivotField showAll="0">
      <items count="7">
        <item x="0"/>
        <item x="3"/>
        <item x="5"/>
        <item x="2"/>
        <item x="1"/>
        <item x="4"/>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4"/>
  </rowFields>
  <rowItems count="4">
    <i>
      <x v="1"/>
    </i>
    <i>
      <x v="2"/>
    </i>
    <i>
      <x/>
    </i>
    <i t="grand">
      <x/>
    </i>
  </rowItems>
  <colItems count="1">
    <i/>
  </colItems>
  <dataFields count="1">
    <dataField name="Net Sales" fld="10" baseField="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4008B8-BDA7-45E2-BB18-573A4AF492BF}"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Region" colHeaderCaption="Year">
  <location ref="F72:G76" firstHeaderRow="1"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items count="9">
        <item x="1"/>
        <item x="4"/>
        <item x="7"/>
        <item x="2"/>
        <item x="5"/>
        <item x="3"/>
        <item x="0"/>
        <item x="6"/>
        <item t="default"/>
      </items>
    </pivotField>
    <pivotField showAll="0" sortType="descending">
      <items count="7">
        <item x="0"/>
        <item x="3"/>
        <item x="5"/>
        <item x="2"/>
        <item x="1"/>
        <item x="4"/>
        <item t="default"/>
      </items>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1"/>
    </i>
    <i>
      <x v="2"/>
    </i>
    <i t="grand">
      <x/>
    </i>
  </rowItems>
  <colItems count="1">
    <i/>
  </colItems>
  <dataFields count="1">
    <dataField name="Revenue" fld="10" baseField="3" baseItem="0" numFmtId="165"/>
  </dataFields>
  <chartFormats count="6">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1"/>
          </reference>
        </references>
      </pivotArea>
    </chartFormat>
    <chartFormat chart="11"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B5631B-B62F-4A6F-A52A-F76E22E5BA11}"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Products" colHeaderCaption="Year">
  <location ref="I61:J70" firstHeaderRow="1" firstDataRow="1" firstDataCol="1"/>
  <pivotFields count="20">
    <pivotField showAll="0"/>
    <pivotField numFmtId="164" showAll="0">
      <items count="15">
        <item x="0"/>
        <item x="1"/>
        <item x="2"/>
        <item x="3"/>
        <item x="4"/>
        <item x="5"/>
        <item x="6"/>
        <item x="7"/>
        <item x="8"/>
        <item x="9"/>
        <item x="10"/>
        <item x="11"/>
        <item x="12"/>
        <item x="13"/>
        <item t="default"/>
      </items>
    </pivotField>
    <pivotField axis="axisRow" showAll="0" sortType="ascending">
      <items count="9">
        <item x="1"/>
        <item x="4"/>
        <item x="7"/>
        <item x="2"/>
        <item x="5"/>
        <item x="3"/>
        <item x="0"/>
        <item x="6"/>
        <item t="default"/>
      </items>
      <autoSortScope>
        <pivotArea dataOnly="0" outline="0" fieldPosition="0">
          <references count="1">
            <reference field="4294967294" count="1" selected="0">
              <x v="0"/>
            </reference>
          </references>
        </pivotArea>
      </autoSortScope>
    </pivotField>
    <pivotField showAll="0">
      <items count="7">
        <item x="0"/>
        <item x="3"/>
        <item x="5"/>
        <item x="2"/>
        <item x="1"/>
        <item x="4"/>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9">
    <i>
      <x v="4"/>
    </i>
    <i>
      <x/>
    </i>
    <i>
      <x v="1"/>
    </i>
    <i>
      <x v="5"/>
    </i>
    <i>
      <x v="7"/>
    </i>
    <i>
      <x v="3"/>
    </i>
    <i>
      <x v="6"/>
    </i>
    <i>
      <x v="2"/>
    </i>
    <i t="grand">
      <x/>
    </i>
  </rowItems>
  <colItems count="1">
    <i/>
  </colItems>
  <dataFields count="1">
    <dataField name="Profit " fld="14" baseField="2" baseItem="2" numFmtId="165"/>
  </dataField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15FD4A-DE7B-4980-8740-7EE6FEC03627}"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Month" colHeaderCaption="Year">
  <location ref="G40:M55" firstHeaderRow="1" firstDataRow="3" firstDataCol="1"/>
  <pivotFields count="20">
    <pivotField showAll="0"/>
    <pivotField axis="axisRow" numFmtId="164" showAll="0">
      <items count="15">
        <item x="0"/>
        <item x="1"/>
        <item x="2"/>
        <item x="3"/>
        <item x="4"/>
        <item x="5"/>
        <item x="6"/>
        <item x="7"/>
        <item x="8"/>
        <item x="9"/>
        <item x="10"/>
        <item x="11"/>
        <item x="12"/>
        <item x="13"/>
        <item t="default"/>
      </items>
    </pivotField>
    <pivotField showAll="0">
      <items count="9">
        <item x="1"/>
        <item x="4"/>
        <item x="7"/>
        <item x="2"/>
        <item x="5"/>
        <item x="3"/>
        <item x="0"/>
        <item x="6"/>
        <item t="default"/>
      </items>
    </pivotField>
    <pivotField showAll="0">
      <items count="7">
        <item x="0"/>
        <item x="3"/>
        <item x="5"/>
        <item x="2"/>
        <item x="1"/>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dataField="1" showAll="0"/>
    <pivotField showAll="0"/>
    <pivotField showAll="0"/>
    <pivotField dragToRow="0" dragToCol="0" dragToPage="0" showAll="0" defaultSubtotal="0"/>
    <pivotField showAll="0">
      <items count="7">
        <item sd="0" x="0"/>
        <item sd="0" x="1"/>
        <item sd="0" x="2"/>
        <item sd="0" x="3"/>
        <item sd="0" x="4"/>
        <item sd="0" x="5"/>
        <item t="default"/>
      </items>
    </pivotField>
    <pivotField axis="axisCol" showAll="0">
      <items count="5">
        <item sd="0" x="0"/>
        <item x="1"/>
        <item x="2"/>
        <item sd="0" x="3"/>
        <item t="default"/>
      </items>
    </pivotField>
  </pivotFields>
  <rowFields count="1">
    <field x="1"/>
  </rowFields>
  <rowItems count="13">
    <i>
      <x v="1"/>
    </i>
    <i>
      <x v="2"/>
    </i>
    <i>
      <x v="3"/>
    </i>
    <i>
      <x v="4"/>
    </i>
    <i>
      <x v="5"/>
    </i>
    <i>
      <x v="6"/>
    </i>
    <i>
      <x v="7"/>
    </i>
    <i>
      <x v="8"/>
    </i>
    <i>
      <x v="9"/>
    </i>
    <i>
      <x v="10"/>
    </i>
    <i>
      <x v="11"/>
    </i>
    <i>
      <x v="12"/>
    </i>
    <i t="grand">
      <x/>
    </i>
  </rowItems>
  <colFields count="2">
    <field x="19"/>
    <field x="-2"/>
  </colFields>
  <colItems count="6">
    <i>
      <x v="1"/>
      <x/>
    </i>
    <i r="1" i="1">
      <x v="1"/>
    </i>
    <i>
      <x v="2"/>
      <x/>
    </i>
    <i r="1" i="1">
      <x v="1"/>
    </i>
    <i t="grand">
      <x/>
    </i>
    <i t="grand" i="1">
      <x/>
    </i>
  </colItems>
  <dataFields count="2">
    <dataField name="Net_sales " fld="10" baseField="2" baseItem="7" numFmtId="165"/>
    <dataField name="Profit " fld="14" baseField="1" baseItem="6"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E2E54DC-BACD-43B5-B0B7-5641529A2B1E}" autoFormatId="16" applyNumberFormats="0" applyBorderFormats="0" applyFontFormats="0" applyPatternFormats="0" applyAlignmentFormats="0" applyWidthHeightFormats="0">
  <queryTableRefresh nextId="25">
    <queryTableFields count="23">
      <queryTableField id="1" name="Order_ID" tableColumnId="1"/>
      <queryTableField id="2" name="Date" tableColumnId="2"/>
      <queryTableField id="3" name="Product" tableColumnId="3"/>
      <queryTableField id="19" dataBound="0" tableColumnId="19"/>
      <queryTableField id="4" name="Region" tableColumnId="4"/>
      <queryTableField id="5" name="Channel" tableColumnId="5"/>
      <queryTableField id="6" name="Customer_Type" tableColumnId="6"/>
      <queryTableField id="7" name="Quantity" tableColumnId="7"/>
      <queryTableField id="8" name="Unit_Price" tableColumnId="8"/>
      <queryTableField id="9" name="Discount" tableColumnId="9"/>
      <queryTableField id="10" name="Gross_Sales" tableColumnId="10"/>
      <queryTableField id="11" name="Net_Sales" tableColumnId="11"/>
      <queryTableField id="12" name="Product_Cost" tableColumnId="12"/>
      <queryTableField id="13" name="Shipping_Cost" tableColumnId="13"/>
      <queryTableField id="14" name="Marketing_Cost" tableColumnId="14"/>
      <queryTableField id="20" dataBound="0" tableColumnId="20"/>
      <queryTableField id="15" name="Profit" tableColumnId="15"/>
      <queryTableField id="16" name="Profit_Margin" tableColumnId="16"/>
      <queryTableField id="23" dataBound="0" tableColumnId="23"/>
      <queryTableField id="21" dataBound="0" tableColumnId="21"/>
      <queryTableField id="22" dataBound="0" tableColumnId="22"/>
      <queryTableField id="24" dataBound="0" tableColumnId="24"/>
      <queryTableField id="17" name="Month" tableColumnId="17"/>
    </queryTableFields>
  </queryTableRefresh>
  <extLst>
    <ext xmlns:x15="http://schemas.microsoft.com/office/spreadsheetml/2010/11/main" uri="{883FBD77-0823-4a55-B5E3-86C4891E6966}">
      <x15:queryTable sourceDataName="Query - Cleaned_Sales_data(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32B02E6-7459-4419-8998-45AB2EF66F8B}" sourceName="Date">
  <pivotTables>
    <pivotTable tabId="8" name="PivotTable5"/>
  </pivotTables>
  <data>
    <tabular pivotCacheId="1270412784">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CE3A45-781E-4B1D-A06C-E510191CEE54}" sourceName="Region">
  <pivotTables>
    <pivotTable tabId="8" name="PivotTable5"/>
  </pivotTables>
  <data>
    <tabular pivotCacheId="1270412784">
      <items count="6">
        <i x="0" s="1"/>
        <i x="3" s="1"/>
        <i x="5"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8F0FDE85-9C86-4193-BEA1-5BCA02EF63D9}" cache="Slicer_Date" caption="Month" rowHeight="241300"/>
  <slicer name="Region" xr10:uid="{D6C458DC-0EC3-4A23-9E0B-9717E718FEA5}"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FCA0FE-B730-4480-BF06-0B9ADD3781EF}" name="Cleaned_Sales_data" displayName="Cleaned_Sales_data" ref="A1:W751" tableType="queryTable" totalsRowShown="0">
  <autoFilter ref="A1:W751" xr:uid="{282A4893-E729-4F8D-A4A7-739E02D2689F}"/>
  <tableColumns count="23">
    <tableColumn id="1" xr3:uid="{E010134C-A678-4ED0-BD49-D13D9370191D}" uniqueName="1" name="Order_ID" queryTableFieldId="1"/>
    <tableColumn id="2" xr3:uid="{91A3F10E-3BBA-401C-B000-B62651917FDD}" uniqueName="2" name="Date" queryTableFieldId="2" dataDxfId="18"/>
    <tableColumn id="3" xr3:uid="{7C30889F-9DED-4A47-AB8B-0323F765F3CF}" uniqueName="3" name="Product" queryTableFieldId="3"/>
    <tableColumn id="19" xr3:uid="{FDE8EF7B-9740-493D-A94F-12DB1E707425}" uniqueName="19" name="Category" queryTableFieldId="19" dataDxfId="17">
      <calculatedColumnFormula>INDEX(Raw_product_master[Category],MATCH(Cleaned_Sales_data[[#This Row],[Product]],Raw_product_master[Product],0))</calculatedColumnFormula>
    </tableColumn>
    <tableColumn id="4" xr3:uid="{0B4A77BF-847D-4B0A-AE9D-7D6B7E98E6D8}" uniqueName="4" name="Region" queryTableFieldId="4"/>
    <tableColumn id="5" xr3:uid="{D85D3C05-1518-44CF-A3BA-B0410B0C5082}" uniqueName="5" name="Channel" queryTableFieldId="5"/>
    <tableColumn id="6" xr3:uid="{6D3FB929-1F1A-44AE-9186-AEBF544FE78C}" uniqueName="6" name="Customer_Type" queryTableFieldId="6"/>
    <tableColumn id="7" xr3:uid="{ABEF27A4-45B2-4A22-8052-5DB3C0571A25}" uniqueName="7" name="Quantity" queryTableFieldId="7"/>
    <tableColumn id="8" xr3:uid="{6AEBD880-10CD-468E-93AE-9F81BFE1EFB4}" uniqueName="8" name="Unit_Price" queryTableFieldId="8"/>
    <tableColumn id="9" xr3:uid="{B1D000A7-EC79-42AD-A534-9B24469E6A06}" uniqueName="9" name="Discount" queryTableFieldId="9" dataCellStyle="Percent"/>
    <tableColumn id="10" xr3:uid="{3A551E69-5911-4318-8805-AAFE663BC863}" uniqueName="10" name="Gross_Sales" queryTableFieldId="10"/>
    <tableColumn id="11" xr3:uid="{9908247C-E7D8-4C38-A4AF-E6DC171ED221}" uniqueName="11" name="Net_Sales" queryTableFieldId="11"/>
    <tableColumn id="12" xr3:uid="{9CA0E55B-9C57-473B-AA71-A7379515E28C}" uniqueName="12" name="Product_Cost" queryTableFieldId="12"/>
    <tableColumn id="13" xr3:uid="{32DF09BF-AA56-4293-8965-47C3F3425CC0}" uniqueName="13" name="Shipping_Cost" queryTableFieldId="13"/>
    <tableColumn id="14" xr3:uid="{5CFE69C1-DFC6-4FF0-BE1F-6DD6A11B5046}" uniqueName="14" name="Marketing_Cost" queryTableFieldId="14"/>
    <tableColumn id="20" xr3:uid="{F191A30F-26D6-4C13-A11E-62302582A8C1}" uniqueName="20" name="Standard Cost" queryTableFieldId="20" dataDxfId="16">
      <calculatedColumnFormula>INDEX(Raw_product_master[Standard_Cost_Per_Unit],MATCH(Cleaned_Sales_data[[#This Row],[Product]],Raw_product_master[Product],0))</calculatedColumnFormula>
    </tableColumn>
    <tableColumn id="15" xr3:uid="{377BC922-EBBE-4944-AB47-A16B56068B03}" uniqueName="15" name="Profit" queryTableFieldId="15"/>
    <tableColumn id="16" xr3:uid="{D4C09AF4-B8C1-491A-9DC7-C0E689AFA1DD}" uniqueName="16" name="Profit_Margin" queryTableFieldId="16" dataDxfId="15" dataCellStyle="Percent"/>
    <tableColumn id="23" xr3:uid="{A93010D3-B33B-4D17-A8C9-DACB7D578A32}" uniqueName="23" name="Target_Margin" queryTableFieldId="23" dataDxfId="14" dataCellStyle="Percent">
      <calculatedColumnFormula>INDEX(Raw_product_master[Target_Margin], MATCH(Cleaned_Sales_data[[#This Row],[Product]],Raw_product_master[Product], 0 ))</calculatedColumnFormula>
    </tableColumn>
    <tableColumn id="21" xr3:uid="{535DA9D8-29BA-4997-91F9-95BCF2258E35}" uniqueName="21" name="Profit Status" queryTableFieldId="21" dataDxfId="13">
      <calculatedColumnFormula>IF(Cleaned_Sales_data[[#This Row],[Profit]]&gt;0, "Profitable", "Loss")</calculatedColumnFormula>
    </tableColumn>
    <tableColumn id="22" xr3:uid="{B609DF5D-7543-414B-B32B-B08A5781F4C6}" uniqueName="22" name="Profit Level" queryTableFieldId="22" dataDxfId="12">
      <calculatedColumnFormula>_xlfn.IFS(Cleaned_Sales_data[[#This Row],[Profit]]&gt;=10000, "High", Cleaned_Sales_data[[#This Row],[Profit]]&gt;=5000, "Medium", Cleaned_Sales_data[[#This Row],[Profit]]&gt;=0, "Low", Cleaned_Sales_data[[#This Row],[Profit]] &lt;0, "Loss")</calculatedColumnFormula>
    </tableColumn>
    <tableColumn id="24" xr3:uid="{DF4C2A2D-5633-4D9B-A619-D0A5D3F69994}" uniqueName="24" name="Margin_status" queryTableFieldId="24" dataDxfId="11">
      <calculatedColumnFormula>IF(R2&lt;S2, "UnderPerforming", "On Target")</calculatedColumnFormula>
    </tableColumn>
    <tableColumn id="17" xr3:uid="{CA8E3A88-FCD8-47CD-B66D-E556DC0EEBE5}" uniqueName="17" name="Month" queryTableFieldId="17"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AA75D2-FC3D-46A0-8DC8-2F4C4F5C1A8F}" name="Raw_Sales_Data" displayName="Raw_Sales_Data" ref="A1:Q751" totalsRowShown="0" headerRowDxfId="9" headerRowBorderDxfId="8" tableBorderDxfId="7">
  <autoFilter ref="A1:Q751" xr:uid="{124636AE-5CEC-4154-8773-40D00C92E74D}"/>
  <tableColumns count="17">
    <tableColumn id="1" xr3:uid="{640CA340-5E8A-4B07-97AB-80EA839AD704}" name="Order_ID"/>
    <tableColumn id="2" xr3:uid="{0B88FB2A-7BEE-4627-8AE3-3F859BDA2ADB}" name="Date" dataDxfId="6"/>
    <tableColumn id="3" xr3:uid="{04E3D046-4F34-4878-9AC7-BDB93E53A663}" name="Product"/>
    <tableColumn id="4" xr3:uid="{7FA4ADEA-A172-4254-B348-04C4BB09D162}" name="Region"/>
    <tableColumn id="5" xr3:uid="{B65DC5B7-D17E-497D-8BB9-D51C99A42DA3}" name="Channel"/>
    <tableColumn id="6" xr3:uid="{6F194D80-CDF5-46FB-8445-262152BFB271}" name="Customer_Type"/>
    <tableColumn id="7" xr3:uid="{874153F3-7CBD-4EB6-850F-63D849DE9A59}" name="Quantity"/>
    <tableColumn id="8" xr3:uid="{612C55BC-6179-4A20-BCBB-4D773AF0FBCE}" name="Unit_Price"/>
    <tableColumn id="9" xr3:uid="{A1601A20-2E2E-4AC2-A9D2-9C642E02F81B}" name="Discount"/>
    <tableColumn id="10" xr3:uid="{B8CA16F3-EE97-4588-95A7-5114B42465F2}" name="Gross_Sales"/>
    <tableColumn id="11" xr3:uid="{05C80F6A-BE1A-4512-AEBE-BFD99A06E3B1}" name="Net_Sales"/>
    <tableColumn id="12" xr3:uid="{3B182B6D-DA0B-4BB7-9EDC-F1CDE4C74FC2}" name="Product_Cost"/>
    <tableColumn id="13" xr3:uid="{1E4E9B29-A42E-4400-A2C7-AB07C6E603F0}" name="Shipping_Cost"/>
    <tableColumn id="14" xr3:uid="{2A121460-E071-4CEE-9D3F-9E71F959E51C}" name="Marketing_Cost"/>
    <tableColumn id="15" xr3:uid="{C66B5486-A811-45E9-952F-396F8A224E53}" name="Profit"/>
    <tableColumn id="16" xr3:uid="{482D263D-5C98-4951-97AB-65EA8FD9D878}" name="Profit_Margin"/>
    <tableColumn id="17" xr3:uid="{FADCCC4D-BA53-4099-BC14-3FEAA2D14962}"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DA964A-F6E9-487D-B9DF-B5EA44F6D673}" name="Raw_product_master" displayName="Raw_product_master" ref="A1:D9" totalsRowShown="0" headerRowDxfId="5" headerRowBorderDxfId="4" tableBorderDxfId="3">
  <autoFilter ref="A1:D9" xr:uid="{981E3891-62BB-4FF7-B28C-0B39AC8E3547}"/>
  <tableColumns count="4">
    <tableColumn id="1" xr3:uid="{1FE094B6-CD3F-4BCA-9F07-CCAEA3A52E46}" name="Product"/>
    <tableColumn id="2" xr3:uid="{5671F027-1DE7-4220-B929-16504554778B}" name="Category"/>
    <tableColumn id="3" xr3:uid="{36F0990E-618B-4AB0-88A3-CA19FBE09B7C}" name="Standard_Cost_Per_Unit"/>
    <tableColumn id="4" xr3:uid="{530E240B-F097-4753-A80A-063C2D7050B1}" name="Target_Margi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3D5D73-AF54-4CE5-9D15-834CEBF8D013}" name="Raw_assumption" displayName="Raw_assumption" ref="A1:B4" totalsRowShown="0" headerRowDxfId="2" headerRowBorderDxfId="1" tableBorderDxfId="0">
  <autoFilter ref="A1:B4" xr:uid="{47FA3895-5F1A-4655-9B1E-2E393675C314}"/>
  <tableColumns count="2">
    <tableColumn id="1" xr3:uid="{DD7CDEBC-D6EB-42E2-94B8-A9C536263C58}" name="Assumption"/>
    <tableColumn id="2" xr3:uid="{3190007D-4382-40B0-82F4-992559BBC51F}" name="Val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6872-2466-4B70-AAB9-E2DD4976DA65}">
  <dimension ref="A1:Q1"/>
  <sheetViews>
    <sheetView showGridLines="0" tabSelected="1" zoomScale="70" zoomScaleNormal="70" workbookViewId="0">
      <selection activeCell="W28" sqref="W28"/>
    </sheetView>
  </sheetViews>
  <sheetFormatPr defaultRowHeight="15"/>
  <sheetData>
    <row r="1" spans="1:17" ht="28.5">
      <c r="A1" s="13" t="s">
        <v>873</v>
      </c>
      <c r="B1" s="13"/>
      <c r="C1" s="13"/>
      <c r="D1" s="13"/>
      <c r="E1" s="13"/>
      <c r="F1" s="13"/>
      <c r="G1" s="13"/>
      <c r="H1" s="13"/>
      <c r="I1" s="13"/>
      <c r="J1" s="13"/>
      <c r="K1" s="13"/>
      <c r="L1" s="13"/>
      <c r="M1" s="13"/>
      <c r="N1" s="13"/>
      <c r="O1" s="13"/>
      <c r="P1" s="13"/>
      <c r="Q1" s="13"/>
    </row>
  </sheetData>
  <mergeCells count="1">
    <mergeCell ref="A1:Q1"/>
  </mergeCells>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B9EC9-2EBA-434B-A326-B9809FB4A136}">
  <dimension ref="A1:M76"/>
  <sheetViews>
    <sheetView showGridLines="0" zoomScale="85" zoomScaleNormal="85" workbookViewId="0">
      <selection activeCell="J14" sqref="J14"/>
    </sheetView>
  </sheetViews>
  <sheetFormatPr defaultRowHeight="15"/>
  <cols>
    <col min="1" max="1" width="11.28515625" bestFit="1" customWidth="1"/>
    <col min="2" max="2" width="15" bestFit="1" customWidth="1"/>
    <col min="3" max="3" width="13.42578125" bestFit="1" customWidth="1"/>
    <col min="4" max="5" width="15" bestFit="1" customWidth="1"/>
    <col min="6" max="6" width="11.28515625" bestFit="1" customWidth="1"/>
    <col min="7" max="7" width="15" bestFit="1" customWidth="1"/>
    <col min="8" max="8" width="13.42578125" bestFit="1" customWidth="1"/>
    <col min="9" max="9" width="12.140625" bestFit="1" customWidth="1"/>
    <col min="10" max="10" width="13.42578125" bestFit="1" customWidth="1"/>
    <col min="11" max="11" width="21.42578125" bestFit="1" customWidth="1"/>
    <col min="12" max="12" width="25.5703125" bestFit="1" customWidth="1"/>
    <col min="13" max="13" width="18.7109375" bestFit="1" customWidth="1"/>
    <col min="14" max="14" width="12.42578125" bestFit="1" customWidth="1"/>
    <col min="15" max="16" width="13.42578125" bestFit="1" customWidth="1"/>
    <col min="17" max="17" width="15.5703125" bestFit="1" customWidth="1"/>
    <col min="18" max="18" width="12.28515625" bestFit="1" customWidth="1"/>
    <col min="19" max="21" width="13.42578125" bestFit="1" customWidth="1"/>
    <col min="22" max="22" width="12.28515625" bestFit="1" customWidth="1"/>
    <col min="23" max="23" width="13.42578125" bestFit="1" customWidth="1"/>
    <col min="24" max="24" width="12.28515625" bestFit="1" customWidth="1"/>
    <col min="25" max="25" width="13.42578125" bestFit="1" customWidth="1"/>
    <col min="26" max="26" width="15" bestFit="1" customWidth="1"/>
  </cols>
  <sheetData>
    <row r="1" spans="1:12" ht="21">
      <c r="A1" s="19" t="s">
        <v>822</v>
      </c>
      <c r="B1" s="19"/>
      <c r="C1" s="19"/>
      <c r="D1" s="19"/>
      <c r="E1" s="19"/>
      <c r="F1" s="19"/>
      <c r="G1" s="19"/>
      <c r="H1" s="19"/>
      <c r="I1" s="19"/>
      <c r="J1" s="19"/>
      <c r="K1" s="19"/>
    </row>
    <row r="2" spans="1:12">
      <c r="A2" s="7" t="s">
        <v>823</v>
      </c>
      <c r="B2" s="7" t="s">
        <v>824</v>
      </c>
      <c r="C2" s="14" t="s">
        <v>825</v>
      </c>
      <c r="D2" s="14"/>
      <c r="E2" s="14" t="s">
        <v>826</v>
      </c>
      <c r="F2" s="14"/>
      <c r="G2" s="14"/>
      <c r="H2" s="14" t="s">
        <v>827</v>
      </c>
      <c r="I2" s="14"/>
      <c r="J2" s="14"/>
      <c r="K2" s="20" t="s">
        <v>837</v>
      </c>
      <c r="L2" s="20"/>
    </row>
    <row r="3" spans="1:12">
      <c r="A3" s="4">
        <f>SUM(Cleaned_Sales_data[Net_Sales])</f>
        <v>27886745</v>
      </c>
      <c r="B3" s="4">
        <f>SUM(Cleaned_Sales_data[Profit])</f>
        <v>2395103</v>
      </c>
      <c r="C3" s="18">
        <f>B3/A3</f>
        <v>8.5886789584083759E-2</v>
      </c>
      <c r="D3" s="18"/>
      <c r="E3" s="17">
        <f>COUNTIFS('Cleaned_Sales_Data (Part A &amp; B)'!Q2:Q751, "&lt;0")</f>
        <v>177</v>
      </c>
      <c r="F3" s="17"/>
      <c r="G3" s="17"/>
      <c r="H3" s="22">
        <f>SUMIFS('Cleaned_Sales_Data (Part A &amp; B)'!Q2:Q751, 'Cleaned_Sales_Data (Part A &amp; B)'!Q2:Q751, "&lt;0")</f>
        <v>-240438</v>
      </c>
      <c r="I3" s="22"/>
      <c r="J3" s="22"/>
      <c r="K3" s="21">
        <f>SUMIFS('Cleaned_Sales_Data (Part A &amp; B)'!L2:L751,'Cleaned_Sales_Data (Part A &amp; B)'!E2:E751, "Delhi", 'Cleaned_Sales_Data (Part A &amp; B)'!C2:C751,"Laptop")</f>
        <v>1933750</v>
      </c>
      <c r="L3" s="21"/>
    </row>
    <row r="5" spans="1:12">
      <c r="A5" s="14" t="s">
        <v>828</v>
      </c>
      <c r="B5" s="14"/>
      <c r="C5" s="14" t="s">
        <v>829</v>
      </c>
      <c r="D5" s="14"/>
      <c r="E5" s="20" t="s">
        <v>830</v>
      </c>
      <c r="F5" s="20"/>
      <c r="G5" s="20"/>
      <c r="H5" s="20" t="s">
        <v>831</v>
      </c>
      <c r="I5" s="14"/>
      <c r="J5" s="20" t="s">
        <v>834</v>
      </c>
      <c r="K5" s="20"/>
    </row>
    <row r="6" spans="1:12">
      <c r="A6" s="22">
        <f>A3/COUNTIF(Cleaned_Sales_data[Order_ID],"&lt;&gt;")</f>
        <v>37182.326666666668</v>
      </c>
      <c r="B6" s="22"/>
      <c r="C6" s="22">
        <f>MAX('Cleaned_Sales_Data (Part A &amp; B)'!L2:L751)</f>
        <v>195000</v>
      </c>
      <c r="D6" s="22"/>
      <c r="E6" s="16" t="s">
        <v>75</v>
      </c>
      <c r="F6" s="16"/>
      <c r="G6" s="16"/>
      <c r="H6" s="16" t="s">
        <v>34</v>
      </c>
      <c r="I6" s="16"/>
      <c r="J6" s="16" t="s">
        <v>31</v>
      </c>
      <c r="K6" s="16"/>
    </row>
    <row r="8" spans="1:12">
      <c r="A8" s="20" t="s">
        <v>838</v>
      </c>
      <c r="B8" s="20"/>
      <c r="E8" s="8"/>
    </row>
    <row r="9" spans="1:12">
      <c r="A9" s="17">
        <f>COUNTIFS('Cleaned_Sales_Data (Part A &amp; B)'!F2:F751, "Corporate", 'Cleaned_Sales_Data (Part A &amp; B)'!Q2:Q751,"&lt;0")</f>
        <v>38</v>
      </c>
      <c r="B9" s="17"/>
    </row>
    <row r="11" spans="1:12">
      <c r="A11" s="14" t="s">
        <v>833</v>
      </c>
      <c r="B11" s="14"/>
      <c r="C11" s="14"/>
      <c r="D11" s="14"/>
      <c r="F11" s="14" t="s">
        <v>840</v>
      </c>
      <c r="G11" s="14"/>
      <c r="H11" s="14"/>
    </row>
    <row r="12" spans="1:12">
      <c r="A12" s="5" t="s">
        <v>3</v>
      </c>
      <c r="B12" t="s">
        <v>835</v>
      </c>
      <c r="C12" t="s">
        <v>836</v>
      </c>
      <c r="D12" t="s">
        <v>832</v>
      </c>
      <c r="F12" s="5" t="s">
        <v>2</v>
      </c>
      <c r="G12" t="s">
        <v>835</v>
      </c>
      <c r="H12" t="s">
        <v>836</v>
      </c>
      <c r="J12" s="14" t="s">
        <v>821</v>
      </c>
      <c r="K12" s="14"/>
    </row>
    <row r="13" spans="1:12">
      <c r="A13" s="6" t="s">
        <v>34</v>
      </c>
      <c r="B13" s="4">
        <v>5808410</v>
      </c>
      <c r="C13" s="4">
        <v>490560</v>
      </c>
      <c r="D13" s="9">
        <v>8.4456847915350325E-2</v>
      </c>
      <c r="F13" s="6" t="s">
        <v>75</v>
      </c>
      <c r="G13" s="4">
        <v>10512450</v>
      </c>
      <c r="H13" s="4">
        <v>728705</v>
      </c>
      <c r="J13" s="5" t="s">
        <v>4</v>
      </c>
      <c r="K13" t="s">
        <v>835</v>
      </c>
    </row>
    <row r="14" spans="1:12">
      <c r="A14" s="6" t="s">
        <v>25</v>
      </c>
      <c r="B14" s="4">
        <v>4716460</v>
      </c>
      <c r="C14" s="4">
        <v>413536</v>
      </c>
      <c r="D14" s="9">
        <v>8.7679318811142257E-2</v>
      </c>
      <c r="F14" s="6" t="s">
        <v>18</v>
      </c>
      <c r="G14" s="4">
        <v>5830720</v>
      </c>
      <c r="H14" s="4">
        <v>494094</v>
      </c>
      <c r="J14" s="6" t="s">
        <v>20</v>
      </c>
      <c r="K14" s="4">
        <v>13564080</v>
      </c>
    </row>
    <row r="15" spans="1:12">
      <c r="A15" s="6" t="s">
        <v>19</v>
      </c>
      <c r="B15" s="4">
        <v>4645485</v>
      </c>
      <c r="C15" s="4">
        <v>424492</v>
      </c>
      <c r="D15" s="9">
        <v>9.1377326586997917E-2</v>
      </c>
      <c r="F15" s="6" t="s">
        <v>30</v>
      </c>
      <c r="G15" s="4">
        <v>4068680</v>
      </c>
      <c r="H15" s="4">
        <v>435595</v>
      </c>
      <c r="J15" s="6" t="s">
        <v>26</v>
      </c>
      <c r="K15" s="4">
        <v>8959570</v>
      </c>
    </row>
    <row r="16" spans="1:12">
      <c r="A16" s="6" t="s">
        <v>63</v>
      </c>
      <c r="B16" s="4">
        <v>4535600</v>
      </c>
      <c r="C16" s="4">
        <v>386782</v>
      </c>
      <c r="D16" s="9">
        <v>8.5276920363347733E-2</v>
      </c>
      <c r="F16" s="6" t="s">
        <v>61</v>
      </c>
      <c r="G16" s="4">
        <v>1742895</v>
      </c>
      <c r="H16" s="4">
        <v>279418</v>
      </c>
      <c r="J16" s="6" t="s">
        <v>38</v>
      </c>
      <c r="K16" s="4">
        <v>5363095</v>
      </c>
    </row>
    <row r="17" spans="1:12">
      <c r="A17" s="6" t="s">
        <v>51</v>
      </c>
      <c r="B17" s="4">
        <v>4203480</v>
      </c>
      <c r="C17" s="4">
        <v>384461</v>
      </c>
      <c r="D17" s="9">
        <v>9.1462550077554786E-2</v>
      </c>
      <c r="F17" s="6" t="s">
        <v>46</v>
      </c>
      <c r="G17" s="4">
        <v>3158820</v>
      </c>
      <c r="H17" s="4">
        <v>261992</v>
      </c>
      <c r="J17" s="6" t="s">
        <v>820</v>
      </c>
      <c r="K17" s="4">
        <v>27886745</v>
      </c>
    </row>
    <row r="18" spans="1:12">
      <c r="A18" s="6" t="s">
        <v>31</v>
      </c>
      <c r="B18" s="4">
        <v>3977310</v>
      </c>
      <c r="C18" s="4">
        <v>295272</v>
      </c>
      <c r="D18" s="9">
        <v>7.4239121416233581E-2</v>
      </c>
      <c r="F18" s="6" t="s">
        <v>50</v>
      </c>
      <c r="G18" s="4">
        <v>964975</v>
      </c>
      <c r="H18" s="4">
        <v>103585</v>
      </c>
    </row>
    <row r="19" spans="1:12">
      <c r="A19" s="6" t="s">
        <v>820</v>
      </c>
      <c r="B19" s="4">
        <v>27886745</v>
      </c>
      <c r="C19" s="4">
        <v>2395103</v>
      </c>
      <c r="D19" s="9">
        <v>8.5886789584083759E-2</v>
      </c>
      <c r="F19" s="6" t="s">
        <v>24</v>
      </c>
      <c r="G19" s="4">
        <v>1037575</v>
      </c>
      <c r="H19" s="4">
        <v>99896</v>
      </c>
      <c r="J19" s="14" t="s">
        <v>842</v>
      </c>
      <c r="K19" s="14"/>
      <c r="L19" s="14"/>
    </row>
    <row r="20" spans="1:12">
      <c r="F20" s="6" t="s">
        <v>53</v>
      </c>
      <c r="G20" s="4">
        <v>570630</v>
      </c>
      <c r="H20" s="4">
        <v>-8182.0000000000127</v>
      </c>
      <c r="J20" s="5" t="s">
        <v>5</v>
      </c>
      <c r="K20" t="s">
        <v>835</v>
      </c>
      <c r="L20" t="s">
        <v>841</v>
      </c>
    </row>
    <row r="21" spans="1:12">
      <c r="A21" s="14"/>
      <c r="B21" s="14"/>
      <c r="F21" s="6" t="s">
        <v>820</v>
      </c>
      <c r="G21" s="4">
        <v>27886745</v>
      </c>
      <c r="H21" s="4">
        <v>2395103</v>
      </c>
      <c r="J21" s="6" t="s">
        <v>35</v>
      </c>
      <c r="K21" s="4">
        <v>13300705</v>
      </c>
      <c r="L21" s="4">
        <v>38441.343930635841</v>
      </c>
    </row>
    <row r="22" spans="1:12">
      <c r="J22" s="6" t="s">
        <v>21</v>
      </c>
      <c r="K22" s="4">
        <v>10423455</v>
      </c>
      <c r="L22" s="4">
        <v>34978.036912751675</v>
      </c>
    </row>
    <row r="23" spans="1:12">
      <c r="I23" s="5"/>
      <c r="J23" s="6" t="s">
        <v>27</v>
      </c>
      <c r="K23" s="4">
        <v>4162585</v>
      </c>
      <c r="L23" s="4">
        <v>39269.669811320753</v>
      </c>
    </row>
    <row r="24" spans="1:12">
      <c r="J24" s="6" t="s">
        <v>820</v>
      </c>
      <c r="K24" s="4">
        <v>27886745</v>
      </c>
      <c r="L24" s="4">
        <v>37182.326666666668</v>
      </c>
    </row>
    <row r="25" spans="1:12">
      <c r="A25" s="20" t="s">
        <v>845</v>
      </c>
      <c r="B25" s="20"/>
      <c r="C25" s="20"/>
      <c r="D25" s="20"/>
      <c r="E25" s="20"/>
      <c r="F25" s="20"/>
      <c r="G25" s="20"/>
      <c r="H25" s="20"/>
    </row>
    <row r="26" spans="1:12">
      <c r="A26" s="5" t="s">
        <v>844</v>
      </c>
      <c r="B26" s="5" t="s">
        <v>3</v>
      </c>
    </row>
    <row r="27" spans="1:12">
      <c r="A27" s="5" t="s">
        <v>843</v>
      </c>
      <c r="B27" t="s">
        <v>19</v>
      </c>
      <c r="C27" t="s">
        <v>34</v>
      </c>
      <c r="D27" t="s">
        <v>63</v>
      </c>
      <c r="E27" t="s">
        <v>31</v>
      </c>
      <c r="F27" t="s">
        <v>25</v>
      </c>
      <c r="G27" t="s">
        <v>51</v>
      </c>
      <c r="H27" t="s">
        <v>820</v>
      </c>
    </row>
    <row r="28" spans="1:12">
      <c r="A28" s="6" t="s">
        <v>24</v>
      </c>
      <c r="B28" s="4">
        <v>175805</v>
      </c>
      <c r="C28" s="4">
        <v>155960</v>
      </c>
      <c r="D28" s="4">
        <v>124075</v>
      </c>
      <c r="E28" s="4">
        <v>210630</v>
      </c>
      <c r="F28" s="4">
        <v>203420</v>
      </c>
      <c r="G28" s="4">
        <v>167685</v>
      </c>
      <c r="H28" s="4">
        <v>1037575</v>
      </c>
    </row>
    <row r="29" spans="1:12">
      <c r="A29" s="6" t="s">
        <v>50</v>
      </c>
      <c r="B29" s="4">
        <v>188075</v>
      </c>
      <c r="C29" s="4">
        <v>123075</v>
      </c>
      <c r="D29" s="4">
        <v>166600</v>
      </c>
      <c r="E29" s="4">
        <v>185750</v>
      </c>
      <c r="F29" s="4">
        <v>139175</v>
      </c>
      <c r="G29" s="4">
        <v>162300</v>
      </c>
      <c r="H29" s="4">
        <v>964975</v>
      </c>
    </row>
    <row r="30" spans="1:12">
      <c r="A30" s="6" t="s">
        <v>75</v>
      </c>
      <c r="B30" s="4">
        <v>1825850</v>
      </c>
      <c r="C30" s="4">
        <v>2397850</v>
      </c>
      <c r="D30" s="4">
        <v>1933750</v>
      </c>
      <c r="E30" s="4">
        <v>1145950</v>
      </c>
      <c r="F30" s="4">
        <v>2029300</v>
      </c>
      <c r="G30" s="4">
        <v>1179750</v>
      </c>
      <c r="H30" s="4">
        <v>10512450</v>
      </c>
    </row>
    <row r="31" spans="1:12">
      <c r="A31" s="6" t="s">
        <v>30</v>
      </c>
      <c r="B31" s="4">
        <v>434840</v>
      </c>
      <c r="C31" s="4">
        <v>1009120</v>
      </c>
      <c r="D31" s="4">
        <v>473480</v>
      </c>
      <c r="E31" s="4">
        <v>744240</v>
      </c>
      <c r="F31" s="4">
        <v>731360</v>
      </c>
      <c r="G31" s="4">
        <v>675640</v>
      </c>
      <c r="H31" s="4">
        <v>4068680</v>
      </c>
    </row>
    <row r="32" spans="1:12">
      <c r="A32" s="6" t="s">
        <v>53</v>
      </c>
      <c r="B32" s="4">
        <v>87045</v>
      </c>
      <c r="C32" s="4">
        <v>84360</v>
      </c>
      <c r="D32" s="4">
        <v>108165</v>
      </c>
      <c r="E32" s="4">
        <v>59340</v>
      </c>
      <c r="F32" s="4">
        <v>86805</v>
      </c>
      <c r="G32" s="4">
        <v>144915</v>
      </c>
      <c r="H32" s="4">
        <v>570630</v>
      </c>
    </row>
    <row r="33" spans="1:13">
      <c r="A33" s="6" t="s">
        <v>46</v>
      </c>
      <c r="B33" s="4">
        <v>629820</v>
      </c>
      <c r="C33" s="4">
        <v>541620</v>
      </c>
      <c r="D33" s="4">
        <v>505800</v>
      </c>
      <c r="E33" s="4">
        <v>604980</v>
      </c>
      <c r="F33" s="4">
        <v>417060</v>
      </c>
      <c r="G33" s="4">
        <v>459540</v>
      </c>
      <c r="H33" s="4">
        <v>3158820</v>
      </c>
    </row>
    <row r="34" spans="1:13">
      <c r="A34" s="6" t="s">
        <v>18</v>
      </c>
      <c r="B34" s="4">
        <v>999040</v>
      </c>
      <c r="C34" s="4">
        <v>1240960</v>
      </c>
      <c r="D34" s="4">
        <v>866880</v>
      </c>
      <c r="E34" s="4">
        <v>772800</v>
      </c>
      <c r="F34" s="4">
        <v>826560</v>
      </c>
      <c r="G34" s="4">
        <v>1124480</v>
      </c>
      <c r="H34" s="4">
        <v>5830720</v>
      </c>
    </row>
    <row r="35" spans="1:13">
      <c r="A35" s="6" t="s">
        <v>61</v>
      </c>
      <c r="B35" s="4">
        <v>305010</v>
      </c>
      <c r="C35" s="4">
        <v>255465</v>
      </c>
      <c r="D35" s="4">
        <v>356850</v>
      </c>
      <c r="E35" s="4">
        <v>253620</v>
      </c>
      <c r="F35" s="4">
        <v>282780</v>
      </c>
      <c r="G35" s="4">
        <v>289170</v>
      </c>
      <c r="H35" s="4">
        <v>1742895</v>
      </c>
    </row>
    <row r="36" spans="1:13">
      <c r="A36" s="6" t="s">
        <v>820</v>
      </c>
      <c r="B36" s="4">
        <v>4645485</v>
      </c>
      <c r="C36" s="4">
        <v>5808410</v>
      </c>
      <c r="D36" s="4">
        <v>4535600</v>
      </c>
      <c r="E36" s="4">
        <v>3977310</v>
      </c>
      <c r="F36" s="4">
        <v>4716460</v>
      </c>
      <c r="G36" s="4">
        <v>4203480</v>
      </c>
      <c r="H36" s="4">
        <v>27886745</v>
      </c>
    </row>
    <row r="39" spans="1:13">
      <c r="A39" s="20" t="s">
        <v>846</v>
      </c>
      <c r="B39" s="20"/>
      <c r="C39" s="20"/>
      <c r="D39" s="20"/>
      <c r="E39" s="20"/>
      <c r="G39" s="14" t="s">
        <v>865</v>
      </c>
      <c r="H39" s="14"/>
      <c r="I39" s="14"/>
      <c r="J39" s="14"/>
      <c r="K39" s="14"/>
      <c r="L39" s="14"/>
      <c r="M39" s="14"/>
    </row>
    <row r="40" spans="1:13">
      <c r="A40" s="5" t="s">
        <v>844</v>
      </c>
      <c r="B40" s="5" t="s">
        <v>4</v>
      </c>
      <c r="H40" s="5" t="s">
        <v>861</v>
      </c>
    </row>
    <row r="41" spans="1:13">
      <c r="A41" s="5" t="s">
        <v>3</v>
      </c>
      <c r="B41" t="s">
        <v>38</v>
      </c>
      <c r="C41" t="s">
        <v>20</v>
      </c>
      <c r="D41" t="s">
        <v>26</v>
      </c>
      <c r="E41" t="s">
        <v>820</v>
      </c>
      <c r="H41" t="s">
        <v>847</v>
      </c>
      <c r="J41" t="s">
        <v>860</v>
      </c>
      <c r="L41" t="s">
        <v>862</v>
      </c>
      <c r="M41" t="s">
        <v>863</v>
      </c>
    </row>
    <row r="42" spans="1:13">
      <c r="A42" s="6" t="s">
        <v>19</v>
      </c>
      <c r="B42" s="4">
        <v>1076580</v>
      </c>
      <c r="C42" s="4">
        <v>1976740</v>
      </c>
      <c r="D42" s="4">
        <v>1592165</v>
      </c>
      <c r="E42" s="4">
        <v>4645485</v>
      </c>
      <c r="G42" s="5" t="s">
        <v>16</v>
      </c>
      <c r="H42" t="s">
        <v>844</v>
      </c>
      <c r="I42" t="s">
        <v>864</v>
      </c>
      <c r="J42" t="s">
        <v>844</v>
      </c>
      <c r="K42" t="s">
        <v>864</v>
      </c>
    </row>
    <row r="43" spans="1:13">
      <c r="A43" s="6" t="s">
        <v>34</v>
      </c>
      <c r="B43" s="4">
        <v>893525</v>
      </c>
      <c r="C43" s="4">
        <v>2698235</v>
      </c>
      <c r="D43" s="4">
        <v>2216650</v>
      </c>
      <c r="E43" s="4">
        <v>5808410</v>
      </c>
      <c r="G43" s="12" t="s">
        <v>848</v>
      </c>
      <c r="H43" s="4">
        <v>950465</v>
      </c>
      <c r="I43" s="4">
        <v>59150</v>
      </c>
      <c r="J43" s="4">
        <v>1721690</v>
      </c>
      <c r="K43" s="4">
        <v>129683</v>
      </c>
      <c r="L43" s="4">
        <v>2672155</v>
      </c>
      <c r="M43" s="4">
        <v>188833</v>
      </c>
    </row>
    <row r="44" spans="1:13">
      <c r="A44" s="6" t="s">
        <v>63</v>
      </c>
      <c r="B44" s="4">
        <v>1094120</v>
      </c>
      <c r="C44" s="4">
        <v>2278800</v>
      </c>
      <c r="D44" s="4">
        <v>1162680</v>
      </c>
      <c r="E44" s="4">
        <v>4535600</v>
      </c>
      <c r="G44" s="12" t="s">
        <v>849</v>
      </c>
      <c r="H44" s="4">
        <v>1223865</v>
      </c>
      <c r="I44" s="4">
        <v>112548</v>
      </c>
      <c r="J44" s="4">
        <v>1277860</v>
      </c>
      <c r="K44" s="4">
        <v>156964</v>
      </c>
      <c r="L44" s="4">
        <v>2501725</v>
      </c>
      <c r="M44" s="4">
        <v>269512</v>
      </c>
    </row>
    <row r="45" spans="1:13">
      <c r="A45" s="6" t="s">
        <v>31</v>
      </c>
      <c r="B45" s="4">
        <v>500345</v>
      </c>
      <c r="C45" s="4">
        <v>1966675</v>
      </c>
      <c r="D45" s="4">
        <v>1510290</v>
      </c>
      <c r="E45" s="4">
        <v>3977310</v>
      </c>
      <c r="G45" s="12" t="s">
        <v>850</v>
      </c>
      <c r="H45" s="4">
        <v>1584070</v>
      </c>
      <c r="I45" s="4">
        <v>106271</v>
      </c>
      <c r="J45" s="4">
        <v>1720715</v>
      </c>
      <c r="K45" s="4">
        <v>123686</v>
      </c>
      <c r="L45" s="4">
        <v>3304785</v>
      </c>
      <c r="M45" s="4">
        <v>229957</v>
      </c>
    </row>
    <row r="46" spans="1:13">
      <c r="A46" s="6" t="s">
        <v>25</v>
      </c>
      <c r="B46" s="4">
        <v>912165</v>
      </c>
      <c r="C46" s="4">
        <v>2216905</v>
      </c>
      <c r="D46" s="4">
        <v>1587390</v>
      </c>
      <c r="E46" s="4">
        <v>4716460</v>
      </c>
      <c r="G46" s="12" t="s">
        <v>851</v>
      </c>
      <c r="H46" s="4">
        <v>2614960</v>
      </c>
      <c r="I46" s="4">
        <v>200967</v>
      </c>
      <c r="J46" s="4">
        <v>1471285</v>
      </c>
      <c r="K46" s="4">
        <v>126403</v>
      </c>
      <c r="L46" s="4">
        <v>4086245</v>
      </c>
      <c r="M46" s="4">
        <v>327370</v>
      </c>
    </row>
    <row r="47" spans="1:13">
      <c r="A47" s="6" t="s">
        <v>51</v>
      </c>
      <c r="B47" s="4">
        <v>886360</v>
      </c>
      <c r="C47" s="4">
        <v>2426725</v>
      </c>
      <c r="D47" s="4">
        <v>890395</v>
      </c>
      <c r="E47" s="4">
        <v>4203480</v>
      </c>
      <c r="G47" s="12" t="s">
        <v>852</v>
      </c>
      <c r="H47" s="4">
        <v>1409255</v>
      </c>
      <c r="I47" s="4">
        <v>153853</v>
      </c>
      <c r="J47" s="4">
        <v>2097615</v>
      </c>
      <c r="K47" s="4">
        <v>211376</v>
      </c>
      <c r="L47" s="4">
        <v>3506870</v>
      </c>
      <c r="M47" s="4">
        <v>365229</v>
      </c>
    </row>
    <row r="48" spans="1:13">
      <c r="A48" s="6" t="s">
        <v>820</v>
      </c>
      <c r="B48" s="4">
        <v>5363095</v>
      </c>
      <c r="C48" s="4">
        <v>13564080</v>
      </c>
      <c r="D48" s="4">
        <v>8959570</v>
      </c>
      <c r="E48" s="4">
        <v>27886745</v>
      </c>
      <c r="G48" s="12" t="s">
        <v>853</v>
      </c>
      <c r="H48" s="4">
        <v>1736865</v>
      </c>
      <c r="I48" s="4">
        <v>170639</v>
      </c>
      <c r="J48" s="4">
        <v>1155355</v>
      </c>
      <c r="K48" s="4">
        <v>73216</v>
      </c>
      <c r="L48" s="4">
        <v>2892220</v>
      </c>
      <c r="M48" s="4">
        <v>243855</v>
      </c>
    </row>
    <row r="49" spans="1:13">
      <c r="G49" s="12" t="s">
        <v>854</v>
      </c>
      <c r="H49" s="4">
        <v>1302050</v>
      </c>
      <c r="I49" s="4">
        <v>117423</v>
      </c>
      <c r="J49" s="4"/>
      <c r="K49" s="4"/>
      <c r="L49" s="4">
        <v>1302050</v>
      </c>
      <c r="M49" s="4">
        <v>117423</v>
      </c>
    </row>
    <row r="50" spans="1:13">
      <c r="G50" s="12" t="s">
        <v>855</v>
      </c>
      <c r="H50" s="4">
        <v>1886910</v>
      </c>
      <c r="I50" s="4">
        <v>187448</v>
      </c>
      <c r="J50" s="4"/>
      <c r="K50" s="4"/>
      <c r="L50" s="4">
        <v>1886910</v>
      </c>
      <c r="M50" s="4">
        <v>187448</v>
      </c>
    </row>
    <row r="51" spans="1:13">
      <c r="G51" s="12" t="s">
        <v>856</v>
      </c>
      <c r="H51" s="4">
        <v>921155</v>
      </c>
      <c r="I51" s="4">
        <v>63990</v>
      </c>
      <c r="J51" s="4"/>
      <c r="K51" s="4"/>
      <c r="L51" s="4">
        <v>921155</v>
      </c>
      <c r="M51" s="4">
        <v>63990</v>
      </c>
    </row>
    <row r="52" spans="1:13">
      <c r="G52" s="12" t="s">
        <v>857</v>
      </c>
      <c r="H52" s="4">
        <v>1881365</v>
      </c>
      <c r="I52" s="4">
        <v>141093</v>
      </c>
      <c r="J52" s="4"/>
      <c r="K52" s="4"/>
      <c r="L52" s="4">
        <v>1881365</v>
      </c>
      <c r="M52" s="4">
        <v>141093</v>
      </c>
    </row>
    <row r="53" spans="1:13">
      <c r="G53" s="12" t="s">
        <v>858</v>
      </c>
      <c r="H53" s="4">
        <v>1065115</v>
      </c>
      <c r="I53" s="4">
        <v>113320</v>
      </c>
      <c r="J53" s="4"/>
      <c r="K53" s="4"/>
      <c r="L53" s="4">
        <v>1065115</v>
      </c>
      <c r="M53" s="4">
        <v>113320</v>
      </c>
    </row>
    <row r="54" spans="1:13">
      <c r="G54" s="12" t="s">
        <v>859</v>
      </c>
      <c r="H54" s="4">
        <v>1866150</v>
      </c>
      <c r="I54" s="4">
        <v>147073</v>
      </c>
      <c r="J54" s="4"/>
      <c r="K54" s="4"/>
      <c r="L54" s="4">
        <v>1866150</v>
      </c>
      <c r="M54" s="4">
        <v>147073</v>
      </c>
    </row>
    <row r="55" spans="1:13">
      <c r="G55" s="12" t="s">
        <v>820</v>
      </c>
      <c r="H55" s="4">
        <v>18442225</v>
      </c>
      <c r="I55" s="4">
        <v>1573775</v>
      </c>
      <c r="J55" s="4">
        <v>9444520</v>
      </c>
      <c r="K55" s="4">
        <v>821328</v>
      </c>
      <c r="L55" s="4">
        <v>27886745</v>
      </c>
      <c r="M55" s="4">
        <v>2395103</v>
      </c>
    </row>
    <row r="59" spans="1:13" ht="18.75">
      <c r="B59" s="15" t="s">
        <v>866</v>
      </c>
      <c r="C59" s="15"/>
      <c r="D59" s="15"/>
      <c r="E59" s="15"/>
      <c r="F59" s="15"/>
      <c r="G59" s="15"/>
      <c r="H59" s="15"/>
      <c r="I59" s="15"/>
      <c r="J59" s="15"/>
    </row>
    <row r="60" spans="1:13">
      <c r="A60" s="14" t="s">
        <v>869</v>
      </c>
      <c r="B60" s="14"/>
      <c r="C60" s="14"/>
      <c r="D60" s="14"/>
      <c r="F60" s="14" t="s">
        <v>870</v>
      </c>
      <c r="G60" s="14"/>
      <c r="I60" s="14" t="s">
        <v>871</v>
      </c>
      <c r="J60" s="14"/>
    </row>
    <row r="61" spans="1:13">
      <c r="A61" s="5" t="s">
        <v>868</v>
      </c>
      <c r="B61" s="5" t="s">
        <v>861</v>
      </c>
      <c r="F61" s="5" t="s">
        <v>3</v>
      </c>
      <c r="G61" t="s">
        <v>868</v>
      </c>
      <c r="I61" s="5" t="s">
        <v>843</v>
      </c>
      <c r="J61" t="s">
        <v>864</v>
      </c>
      <c r="K61" s="5"/>
      <c r="L61" s="5"/>
      <c r="M61" s="5"/>
    </row>
    <row r="62" spans="1:13">
      <c r="A62" s="5" t="s">
        <v>867</v>
      </c>
      <c r="B62" t="s">
        <v>847</v>
      </c>
      <c r="C62" t="s">
        <v>860</v>
      </c>
      <c r="D62" t="s">
        <v>820</v>
      </c>
      <c r="F62" s="6" t="s">
        <v>34</v>
      </c>
      <c r="G62" s="4">
        <v>5808410</v>
      </c>
      <c r="I62" s="6" t="s">
        <v>53</v>
      </c>
      <c r="J62" s="4">
        <v>-8182.0000000000127</v>
      </c>
      <c r="K62" s="5"/>
      <c r="L62" s="5"/>
      <c r="M62" s="5"/>
    </row>
    <row r="63" spans="1:13">
      <c r="A63" s="12" t="s">
        <v>848</v>
      </c>
      <c r="B63" s="4">
        <v>950465</v>
      </c>
      <c r="C63" s="4">
        <v>1721690</v>
      </c>
      <c r="D63" s="4">
        <v>2672155</v>
      </c>
      <c r="F63" s="6" t="s">
        <v>25</v>
      </c>
      <c r="G63" s="4">
        <v>4716460</v>
      </c>
      <c r="I63" s="6" t="s">
        <v>24</v>
      </c>
      <c r="J63" s="4">
        <v>99896</v>
      </c>
    </row>
    <row r="64" spans="1:13">
      <c r="A64" s="12" t="s">
        <v>849</v>
      </c>
      <c r="B64" s="4">
        <v>1223865</v>
      </c>
      <c r="C64" s="4">
        <v>1277860</v>
      </c>
      <c r="D64" s="4">
        <v>2501725</v>
      </c>
      <c r="F64" s="6" t="s">
        <v>19</v>
      </c>
      <c r="G64" s="4">
        <v>4645485</v>
      </c>
      <c r="I64" s="6" t="s">
        <v>50</v>
      </c>
      <c r="J64" s="4">
        <v>103585</v>
      </c>
    </row>
    <row r="65" spans="1:10">
      <c r="A65" s="12" t="s">
        <v>850</v>
      </c>
      <c r="B65" s="4">
        <v>1584070</v>
      </c>
      <c r="C65" s="4">
        <v>1720715</v>
      </c>
      <c r="D65" s="4">
        <v>3304785</v>
      </c>
      <c r="F65" s="6" t="s">
        <v>63</v>
      </c>
      <c r="G65" s="4">
        <v>4535600</v>
      </c>
      <c r="I65" s="6" t="s">
        <v>46</v>
      </c>
      <c r="J65" s="4">
        <v>261992</v>
      </c>
    </row>
    <row r="66" spans="1:10">
      <c r="A66" s="12" t="s">
        <v>851</v>
      </c>
      <c r="B66" s="4">
        <v>2614960</v>
      </c>
      <c r="C66" s="4">
        <v>1471285</v>
      </c>
      <c r="D66" s="4">
        <v>4086245</v>
      </c>
      <c r="F66" s="6" t="s">
        <v>51</v>
      </c>
      <c r="G66" s="4">
        <v>4203480</v>
      </c>
      <c r="I66" s="6" t="s">
        <v>61</v>
      </c>
      <c r="J66" s="4">
        <v>279418</v>
      </c>
    </row>
    <row r="67" spans="1:10">
      <c r="A67" s="12" t="s">
        <v>852</v>
      </c>
      <c r="B67" s="4">
        <v>1409255</v>
      </c>
      <c r="C67" s="4">
        <v>2097615</v>
      </c>
      <c r="D67" s="4">
        <v>3506870</v>
      </c>
      <c r="F67" s="6" t="s">
        <v>31</v>
      </c>
      <c r="G67" s="4">
        <v>3977310</v>
      </c>
      <c r="I67" s="6" t="s">
        <v>30</v>
      </c>
      <c r="J67" s="4">
        <v>435595</v>
      </c>
    </row>
    <row r="68" spans="1:10">
      <c r="A68" s="12" t="s">
        <v>853</v>
      </c>
      <c r="B68" s="4">
        <v>1736865</v>
      </c>
      <c r="C68" s="4">
        <v>1155355</v>
      </c>
      <c r="D68" s="4">
        <v>2892220</v>
      </c>
      <c r="F68" s="6" t="s">
        <v>820</v>
      </c>
      <c r="G68" s="4">
        <v>27886745</v>
      </c>
      <c r="I68" s="6" t="s">
        <v>18</v>
      </c>
      <c r="J68" s="4">
        <v>494094</v>
      </c>
    </row>
    <row r="69" spans="1:10">
      <c r="A69" s="12" t="s">
        <v>854</v>
      </c>
      <c r="B69" s="4">
        <v>1302050</v>
      </c>
      <c r="C69" s="4"/>
      <c r="D69" s="4">
        <v>1302050</v>
      </c>
      <c r="I69" s="6" t="s">
        <v>75</v>
      </c>
      <c r="J69" s="4">
        <v>728705</v>
      </c>
    </row>
    <row r="70" spans="1:10">
      <c r="A70" s="12" t="s">
        <v>855</v>
      </c>
      <c r="B70" s="4">
        <v>1886910</v>
      </c>
      <c r="C70" s="4"/>
      <c r="D70" s="4">
        <v>1886910</v>
      </c>
      <c r="I70" s="6" t="s">
        <v>820</v>
      </c>
      <c r="J70" s="4">
        <v>2395103</v>
      </c>
    </row>
    <row r="71" spans="1:10">
      <c r="A71" s="12" t="s">
        <v>856</v>
      </c>
      <c r="B71" s="4">
        <v>921155</v>
      </c>
      <c r="C71" s="4"/>
      <c r="D71" s="4">
        <v>921155</v>
      </c>
      <c r="F71" s="14" t="s">
        <v>872</v>
      </c>
      <c r="G71" s="14"/>
    </row>
    <row r="72" spans="1:10">
      <c r="A72" s="12" t="s">
        <v>857</v>
      </c>
      <c r="B72" s="4">
        <v>1881365</v>
      </c>
      <c r="C72" s="4"/>
      <c r="D72" s="4">
        <v>1881365</v>
      </c>
      <c r="F72" s="5" t="s">
        <v>3</v>
      </c>
      <c r="G72" t="s">
        <v>868</v>
      </c>
      <c r="H72" s="5"/>
      <c r="I72" s="5"/>
      <c r="J72" s="5"/>
    </row>
    <row r="73" spans="1:10">
      <c r="A73" s="12" t="s">
        <v>858</v>
      </c>
      <c r="B73" s="4">
        <v>1065115</v>
      </c>
      <c r="C73" s="4"/>
      <c r="D73" s="4">
        <v>1065115</v>
      </c>
      <c r="F73" s="6" t="s">
        <v>38</v>
      </c>
      <c r="G73" s="4">
        <v>5363095</v>
      </c>
    </row>
    <row r="74" spans="1:10">
      <c r="A74" s="12" t="s">
        <v>859</v>
      </c>
      <c r="B74" s="4">
        <v>1866150</v>
      </c>
      <c r="C74" s="4"/>
      <c r="D74" s="4">
        <v>1866150</v>
      </c>
      <c r="F74" s="6" t="s">
        <v>20</v>
      </c>
      <c r="G74" s="4">
        <v>13564080</v>
      </c>
    </row>
    <row r="75" spans="1:10">
      <c r="A75" s="12" t="s">
        <v>820</v>
      </c>
      <c r="B75" s="4">
        <v>18442225</v>
      </c>
      <c r="C75" s="4">
        <v>9444520</v>
      </c>
      <c r="D75" s="4">
        <v>27886745</v>
      </c>
      <c r="F75" s="6" t="s">
        <v>26</v>
      </c>
      <c r="G75" s="4">
        <v>8959570</v>
      </c>
    </row>
    <row r="76" spans="1:10">
      <c r="F76" s="6" t="s">
        <v>820</v>
      </c>
      <c r="G76" s="4">
        <v>27886745</v>
      </c>
    </row>
  </sheetData>
  <mergeCells count="34">
    <mergeCell ref="A25:H25"/>
    <mergeCell ref="A39:E39"/>
    <mergeCell ref="G39:M39"/>
    <mergeCell ref="A11:D11"/>
    <mergeCell ref="A21:B21"/>
    <mergeCell ref="J19:L19"/>
    <mergeCell ref="A1:K1"/>
    <mergeCell ref="K2:L2"/>
    <mergeCell ref="K3:L3"/>
    <mergeCell ref="A8:B8"/>
    <mergeCell ref="F11:H11"/>
    <mergeCell ref="H5:I5"/>
    <mergeCell ref="H6:I6"/>
    <mergeCell ref="J5:K5"/>
    <mergeCell ref="J6:K6"/>
    <mergeCell ref="H2:J2"/>
    <mergeCell ref="H3:J3"/>
    <mergeCell ref="A5:B5"/>
    <mergeCell ref="A6:B6"/>
    <mergeCell ref="C5:D5"/>
    <mergeCell ref="C6:D6"/>
    <mergeCell ref="E5:G5"/>
    <mergeCell ref="E6:G6"/>
    <mergeCell ref="A9:B9"/>
    <mergeCell ref="J12:K12"/>
    <mergeCell ref="C2:D2"/>
    <mergeCell ref="C3:D3"/>
    <mergeCell ref="E2:G2"/>
    <mergeCell ref="E3:G3"/>
    <mergeCell ref="F71:G71"/>
    <mergeCell ref="B59:J59"/>
    <mergeCell ref="A60:D60"/>
    <mergeCell ref="F60:G60"/>
    <mergeCell ref="I60:J60"/>
  </mergeCells>
  <pageMargins left="0.7" right="0.7" top="0.75" bottom="0.75" header="0.3" footer="0.3"/>
  <pageSetup paperSize="9" orientation="portrait" horizontalDpi="4294967293" verticalDpi="0"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D1B3-7921-4436-8278-4F9AFAC9C0F4}">
  <dimension ref="A1:W751"/>
  <sheetViews>
    <sheetView topLeftCell="B1" workbookViewId="0">
      <selection activeCell="D2" sqref="D2"/>
    </sheetView>
  </sheetViews>
  <sheetFormatPr defaultRowHeight="15"/>
  <cols>
    <col min="1" max="1" width="11.28515625" bestFit="1" customWidth="1"/>
    <col min="2" max="2" width="10.42578125" bestFit="1" customWidth="1"/>
    <col min="3" max="3" width="12.140625" bestFit="1" customWidth="1"/>
    <col min="4" max="4" width="16.7109375" bestFit="1" customWidth="1"/>
    <col min="5" max="6" width="10.5703125" bestFit="1" customWidth="1"/>
    <col min="7" max="7" width="17.28515625" bestFit="1" customWidth="1"/>
    <col min="8" max="8" width="11" bestFit="1" customWidth="1"/>
    <col min="9" max="9" width="12.5703125" bestFit="1" customWidth="1"/>
    <col min="10" max="10" width="11" style="10" bestFit="1" customWidth="1"/>
    <col min="11" max="11" width="13.85546875" bestFit="1" customWidth="1"/>
    <col min="12" max="12" width="12.140625" bestFit="1" customWidth="1"/>
    <col min="13" max="13" width="15" bestFit="1" customWidth="1"/>
    <col min="14" max="14" width="16" bestFit="1" customWidth="1"/>
    <col min="15" max="15" width="17.42578125" bestFit="1" customWidth="1"/>
    <col min="16" max="16" width="17.42578125" customWidth="1"/>
    <col min="17" max="17" width="8.28515625" bestFit="1" customWidth="1"/>
    <col min="18" max="18" width="15.7109375" style="11" bestFit="1" customWidth="1"/>
    <col min="19" max="19" width="15.7109375" style="11" customWidth="1"/>
    <col min="20" max="21" width="15.7109375" customWidth="1"/>
    <col min="22" max="22" width="16.5703125" bestFit="1" customWidth="1"/>
    <col min="23" max="23" width="10.42578125" bestFit="1" customWidth="1"/>
  </cols>
  <sheetData>
    <row r="1" spans="1:23">
      <c r="A1" t="s">
        <v>0</v>
      </c>
      <c r="B1" t="s">
        <v>1</v>
      </c>
      <c r="C1" t="s">
        <v>2</v>
      </c>
      <c r="D1" t="s">
        <v>805</v>
      </c>
      <c r="E1" t="s">
        <v>3</v>
      </c>
      <c r="F1" t="s">
        <v>4</v>
      </c>
      <c r="G1" t="s">
        <v>5</v>
      </c>
      <c r="H1" t="s">
        <v>6</v>
      </c>
      <c r="I1" t="s">
        <v>7</v>
      </c>
      <c r="J1" s="10" t="s">
        <v>8</v>
      </c>
      <c r="K1" t="s">
        <v>9</v>
      </c>
      <c r="L1" t="s">
        <v>10</v>
      </c>
      <c r="M1" t="s">
        <v>11</v>
      </c>
      <c r="N1" t="s">
        <v>12</v>
      </c>
      <c r="O1" t="s">
        <v>13</v>
      </c>
      <c r="P1" t="s">
        <v>817</v>
      </c>
      <c r="Q1" t="s">
        <v>14</v>
      </c>
      <c r="R1" s="11" t="s">
        <v>15</v>
      </c>
      <c r="S1" s="11" t="s">
        <v>807</v>
      </c>
      <c r="T1" t="s">
        <v>818</v>
      </c>
      <c r="U1" t="s">
        <v>819</v>
      </c>
      <c r="V1" t="s">
        <v>839</v>
      </c>
      <c r="W1" t="s">
        <v>16</v>
      </c>
    </row>
    <row r="2" spans="1:23">
      <c r="A2" t="s">
        <v>44</v>
      </c>
      <c r="B2" s="3">
        <v>45927</v>
      </c>
      <c r="C2" t="s">
        <v>18</v>
      </c>
      <c r="D2" t="str">
        <f>INDEX(Raw_product_master[Category],MATCH(Cleaned_Sales_data[[#This Row],[Product]],Raw_product_master[Product],0))</f>
        <v>Computers</v>
      </c>
      <c r="E2" t="s">
        <v>34</v>
      </c>
      <c r="F2" t="s">
        <v>20</v>
      </c>
      <c r="G2" t="s">
        <v>35</v>
      </c>
      <c r="H2">
        <v>2</v>
      </c>
      <c r="I2">
        <v>32000</v>
      </c>
      <c r="J2" s="10">
        <v>0.1</v>
      </c>
      <c r="K2">
        <v>64000</v>
      </c>
      <c r="L2">
        <v>57600</v>
      </c>
      <c r="M2">
        <v>52480</v>
      </c>
      <c r="N2">
        <v>361</v>
      </c>
      <c r="O2">
        <v>301</v>
      </c>
      <c r="P2">
        <f>INDEX(Raw_product_master[Standard_Cost_Per_Unit],MATCH(Cleaned_Sales_data[[#This Row],[Product]],Raw_product_master[Product],0))</f>
        <v>26240</v>
      </c>
      <c r="Q2">
        <v>4458</v>
      </c>
      <c r="R2" s="11">
        <v>7.7395833333333303E-2</v>
      </c>
      <c r="S2" s="11">
        <f>INDEX(Raw_product_master[Target_Margin], MATCH(Cleaned_Sales_data[[#This Row],[Product]],Raw_product_master[Product], 0 ))</f>
        <v>0.12</v>
      </c>
      <c r="T2" t="str">
        <f>IF(Cleaned_Sales_data[[#This Row],[Profit]]&gt;0, "Profitable", "Loss")</f>
        <v>Profitable</v>
      </c>
      <c r="U2" t="str">
        <f>_xlfn.IFS(Cleaned_Sales_data[[#This Row],[Profit]]&gt;=10000, "High", Cleaned_Sales_data[[#This Row],[Profit]]&gt;=5000, "Medium", Cleaned_Sales_data[[#This Row],[Profit]]&gt;=0, "Low", Cleaned_Sales_data[[#This Row],[Profit]] &lt;0, "Loss")</f>
        <v>Low</v>
      </c>
      <c r="V2" t="str">
        <f>IF(R2&lt;S2, "UnderPerforming", "On Target")</f>
        <v>UnderPerforming</v>
      </c>
      <c r="W2" s="3">
        <v>45901</v>
      </c>
    </row>
    <row r="3" spans="1:23">
      <c r="A3" t="s">
        <v>48</v>
      </c>
      <c r="B3" s="3">
        <v>45786</v>
      </c>
      <c r="C3" t="s">
        <v>24</v>
      </c>
      <c r="D3" t="str">
        <f>INDEX(Raw_product_master[Category],MATCH(Cleaned_Sales_data[[#This Row],[Product]],Raw_product_master[Product],0))</f>
        <v>Accessories</v>
      </c>
      <c r="E3" t="s">
        <v>31</v>
      </c>
      <c r="F3" t="s">
        <v>20</v>
      </c>
      <c r="G3" t="s">
        <v>35</v>
      </c>
      <c r="H3">
        <v>1</v>
      </c>
      <c r="I3">
        <v>3500</v>
      </c>
      <c r="J3" s="10">
        <v>0.05</v>
      </c>
      <c r="K3">
        <v>3500</v>
      </c>
      <c r="L3">
        <v>3325</v>
      </c>
      <c r="M3">
        <v>2380</v>
      </c>
      <c r="N3">
        <v>264</v>
      </c>
      <c r="O3">
        <v>1467</v>
      </c>
      <c r="P3">
        <f>INDEX(Raw_product_master[Standard_Cost_Per_Unit],MATCH(Cleaned_Sales_data[[#This Row],[Product]],Raw_product_master[Product],0))</f>
        <v>2380</v>
      </c>
      <c r="Q3">
        <v>-786</v>
      </c>
      <c r="R3" s="11">
        <v>-0.23639097744360901</v>
      </c>
      <c r="S3" s="11">
        <f>INDEX(Raw_product_master[Target_Margin], MATCH(Cleaned_Sales_data[[#This Row],[Product]],Raw_product_master[Product], 0 ))</f>
        <v>0.2</v>
      </c>
      <c r="T3" t="str">
        <f>IF(Cleaned_Sales_data[[#This Row],[Profit]]&gt;0, "Profitable", "Loss")</f>
        <v>Loss</v>
      </c>
      <c r="U3" t="str">
        <f>_xlfn.IFS(Cleaned_Sales_data[[#This Row],[Profit]]&gt;=10000, "High", Cleaned_Sales_data[[#This Row],[Profit]]&gt;=5000, "Medium", Cleaned_Sales_data[[#This Row],[Profit]]&gt;=0, "Low", Cleaned_Sales_data[[#This Row],[Profit]] &lt;0, "Loss")</f>
        <v>Loss</v>
      </c>
      <c r="V3" t="str">
        <f t="shared" ref="V3:V65" si="0">IF(R3&lt;S3, "UnderPerforming", "On Target")</f>
        <v>UnderPerforming</v>
      </c>
      <c r="W3" s="3">
        <v>45778</v>
      </c>
    </row>
    <row r="4" spans="1:23">
      <c r="A4" t="s">
        <v>55</v>
      </c>
      <c r="B4" s="3">
        <v>45662</v>
      </c>
      <c r="C4" t="s">
        <v>46</v>
      </c>
      <c r="D4" t="str">
        <f>INDEX(Raw_product_master[Category],MATCH(Cleaned_Sales_data[[#This Row],[Product]],Raw_product_master[Product],0))</f>
        <v>Office Equipment</v>
      </c>
      <c r="E4" t="s">
        <v>25</v>
      </c>
      <c r="F4" t="s">
        <v>20</v>
      </c>
      <c r="G4" t="s">
        <v>35</v>
      </c>
      <c r="H4">
        <v>2</v>
      </c>
      <c r="I4">
        <v>18000</v>
      </c>
      <c r="J4" s="10">
        <v>0.15</v>
      </c>
      <c r="K4">
        <v>36000</v>
      </c>
      <c r="L4">
        <v>30600</v>
      </c>
      <c r="M4">
        <v>28800</v>
      </c>
      <c r="N4">
        <v>1160</v>
      </c>
      <c r="O4">
        <v>1585</v>
      </c>
      <c r="P4">
        <f>INDEX(Raw_product_master[Standard_Cost_Per_Unit],MATCH(Cleaned_Sales_data[[#This Row],[Product]],Raw_product_master[Product],0))</f>
        <v>14400</v>
      </c>
      <c r="Q4">
        <v>-945</v>
      </c>
      <c r="R4" s="11">
        <v>-3.08823529411765E-2</v>
      </c>
      <c r="S4" s="11">
        <f>INDEX(Raw_product_master[Target_Margin], MATCH(Cleaned_Sales_data[[#This Row],[Product]],Raw_product_master[Product], 0 ))</f>
        <v>0.15</v>
      </c>
      <c r="T4" t="str">
        <f>IF(Cleaned_Sales_data[[#This Row],[Profit]]&gt;0, "Profitable", "Loss")</f>
        <v>Loss</v>
      </c>
      <c r="U4" t="str">
        <f>_xlfn.IFS(Cleaned_Sales_data[[#This Row],[Profit]]&gt;=10000, "High", Cleaned_Sales_data[[#This Row],[Profit]]&gt;=5000, "Medium", Cleaned_Sales_data[[#This Row],[Profit]]&gt;=0, "Low", Cleaned_Sales_data[[#This Row],[Profit]] &lt;0, "Loss")</f>
        <v>Loss</v>
      </c>
      <c r="V4" t="str">
        <f t="shared" si="0"/>
        <v>UnderPerforming</v>
      </c>
      <c r="W4" s="3">
        <v>45658</v>
      </c>
    </row>
    <row r="5" spans="1:23">
      <c r="A5" t="s">
        <v>59</v>
      </c>
      <c r="B5" s="3">
        <v>45693</v>
      </c>
      <c r="C5" t="s">
        <v>24</v>
      </c>
      <c r="D5" t="str">
        <f>INDEX(Raw_product_master[Category],MATCH(Cleaned_Sales_data[[#This Row],[Product]],Raw_product_master[Product],0))</f>
        <v>Accessories</v>
      </c>
      <c r="E5" t="s">
        <v>51</v>
      </c>
      <c r="F5" t="s">
        <v>20</v>
      </c>
      <c r="G5" t="s">
        <v>35</v>
      </c>
      <c r="H5">
        <v>7</v>
      </c>
      <c r="I5">
        <v>3500</v>
      </c>
      <c r="J5" s="10">
        <v>0.08</v>
      </c>
      <c r="K5">
        <v>24500</v>
      </c>
      <c r="L5">
        <v>22540</v>
      </c>
      <c r="M5">
        <v>16660</v>
      </c>
      <c r="N5">
        <v>1394</v>
      </c>
      <c r="O5">
        <v>640</v>
      </c>
      <c r="P5">
        <f>INDEX(Raw_product_master[Standard_Cost_Per_Unit],MATCH(Cleaned_Sales_data[[#This Row],[Product]],Raw_product_master[Product],0))</f>
        <v>2380</v>
      </c>
      <c r="Q5">
        <v>3846</v>
      </c>
      <c r="R5" s="11">
        <v>0.17062999112688601</v>
      </c>
      <c r="S5" s="11">
        <f>INDEX(Raw_product_master[Target_Margin], MATCH(Cleaned_Sales_data[[#This Row],[Product]],Raw_product_master[Product], 0 ))</f>
        <v>0.2</v>
      </c>
      <c r="T5" t="str">
        <f>IF(Cleaned_Sales_data[[#This Row],[Profit]]&gt;0, "Profitable", "Loss")</f>
        <v>Profitable</v>
      </c>
      <c r="U5" t="str">
        <f>_xlfn.IFS(Cleaned_Sales_data[[#This Row],[Profit]]&gt;=10000, "High", Cleaned_Sales_data[[#This Row],[Profit]]&gt;=5000, "Medium", Cleaned_Sales_data[[#This Row],[Profit]]&gt;=0, "Low", Cleaned_Sales_data[[#This Row],[Profit]] &lt;0, "Loss")</f>
        <v>Low</v>
      </c>
      <c r="V5" t="str">
        <f t="shared" si="0"/>
        <v>UnderPerforming</v>
      </c>
      <c r="W5" s="3">
        <v>45689</v>
      </c>
    </row>
    <row r="6" spans="1:23">
      <c r="A6" t="s">
        <v>62</v>
      </c>
      <c r="B6" s="3">
        <v>45882</v>
      </c>
      <c r="C6" t="s">
        <v>50</v>
      </c>
      <c r="D6" t="str">
        <f>INDEX(Raw_product_master[Category],MATCH(Cleaned_Sales_data[[#This Row],[Product]],Raw_product_master[Product],0))</f>
        <v>Accessories</v>
      </c>
      <c r="E6" t="s">
        <v>63</v>
      </c>
      <c r="F6" t="s">
        <v>20</v>
      </c>
      <c r="G6" t="s">
        <v>35</v>
      </c>
      <c r="H6">
        <v>2</v>
      </c>
      <c r="I6">
        <v>2500</v>
      </c>
      <c r="J6" s="10">
        <v>0</v>
      </c>
      <c r="K6">
        <v>5000</v>
      </c>
      <c r="L6">
        <v>5000</v>
      </c>
      <c r="M6">
        <v>3100</v>
      </c>
      <c r="N6">
        <v>1696</v>
      </c>
      <c r="O6">
        <v>2337</v>
      </c>
      <c r="P6">
        <f>INDEX(Raw_product_master[Standard_Cost_Per_Unit],MATCH(Cleaned_Sales_data[[#This Row],[Product]],Raw_product_master[Product],0))</f>
        <v>1550</v>
      </c>
      <c r="Q6">
        <v>-2133</v>
      </c>
      <c r="R6" s="11">
        <v>-0.42659999999999998</v>
      </c>
      <c r="S6" s="11">
        <f>INDEX(Raw_product_master[Target_Margin], MATCH(Cleaned_Sales_data[[#This Row],[Product]],Raw_product_master[Product], 0 ))</f>
        <v>0.25</v>
      </c>
      <c r="T6" t="str">
        <f>IF(Cleaned_Sales_data[[#This Row],[Profit]]&gt;0, "Profitable", "Loss")</f>
        <v>Loss</v>
      </c>
      <c r="U6" t="str">
        <f>_xlfn.IFS(Cleaned_Sales_data[[#This Row],[Profit]]&gt;=10000, "High", Cleaned_Sales_data[[#This Row],[Profit]]&gt;=5000, "Medium", Cleaned_Sales_data[[#This Row],[Profit]]&gt;=0, "Low", Cleaned_Sales_data[[#This Row],[Profit]] &lt;0, "Loss")</f>
        <v>Loss</v>
      </c>
      <c r="V6" t="str">
        <f t="shared" si="0"/>
        <v>UnderPerforming</v>
      </c>
      <c r="W6" s="3">
        <v>45870</v>
      </c>
    </row>
    <row r="7" spans="1:23">
      <c r="A7" t="s">
        <v>64</v>
      </c>
      <c r="B7" s="3">
        <v>46113</v>
      </c>
      <c r="C7" t="s">
        <v>53</v>
      </c>
      <c r="D7" t="str">
        <f>INDEX(Raw_product_master[Category],MATCH(Cleaned_Sales_data[[#This Row],[Product]],Raw_product_master[Product],0))</f>
        <v>Accessories</v>
      </c>
      <c r="E7" t="s">
        <v>19</v>
      </c>
      <c r="F7" t="s">
        <v>20</v>
      </c>
      <c r="G7" t="s">
        <v>35</v>
      </c>
      <c r="H7">
        <v>5</v>
      </c>
      <c r="I7">
        <v>1500</v>
      </c>
      <c r="J7" s="10">
        <v>0.15</v>
      </c>
      <c r="K7">
        <v>7500</v>
      </c>
      <c r="L7">
        <v>6375</v>
      </c>
      <c r="M7">
        <v>4125</v>
      </c>
      <c r="N7">
        <v>1582</v>
      </c>
      <c r="O7">
        <v>809</v>
      </c>
      <c r="P7">
        <f>INDEX(Raw_product_master[Standard_Cost_Per_Unit],MATCH(Cleaned_Sales_data[[#This Row],[Product]],Raw_product_master[Product],0))</f>
        <v>825</v>
      </c>
      <c r="Q7">
        <v>-141</v>
      </c>
      <c r="R7" s="11">
        <v>-2.2117647058823499E-2</v>
      </c>
      <c r="S7" s="11">
        <f>INDEX(Raw_product_master[Target_Margin], MATCH(Cleaned_Sales_data[[#This Row],[Product]],Raw_product_master[Product], 0 ))</f>
        <v>0.3</v>
      </c>
      <c r="T7" t="str">
        <f>IF(Cleaned_Sales_data[[#This Row],[Profit]]&gt;0, "Profitable", "Loss")</f>
        <v>Loss</v>
      </c>
      <c r="U7" t="str">
        <f>_xlfn.IFS(Cleaned_Sales_data[[#This Row],[Profit]]&gt;=10000, "High", Cleaned_Sales_data[[#This Row],[Profit]]&gt;=5000, "Medium", Cleaned_Sales_data[[#This Row],[Profit]]&gt;=0, "Low", Cleaned_Sales_data[[#This Row],[Profit]] &lt;0, "Loss")</f>
        <v>Loss</v>
      </c>
      <c r="V7" t="str">
        <f t="shared" si="0"/>
        <v>UnderPerforming</v>
      </c>
      <c r="W7" s="3">
        <v>46113</v>
      </c>
    </row>
    <row r="8" spans="1:23">
      <c r="A8" t="s">
        <v>66</v>
      </c>
      <c r="B8" s="3">
        <v>46129</v>
      </c>
      <c r="C8" t="s">
        <v>50</v>
      </c>
      <c r="D8" t="str">
        <f>INDEX(Raw_product_master[Category],MATCH(Cleaned_Sales_data[[#This Row],[Product]],Raw_product_master[Product],0))</f>
        <v>Accessories</v>
      </c>
      <c r="E8" t="s">
        <v>63</v>
      </c>
      <c r="F8" t="s">
        <v>20</v>
      </c>
      <c r="G8" t="s">
        <v>35</v>
      </c>
      <c r="H8">
        <v>2</v>
      </c>
      <c r="I8">
        <v>2500</v>
      </c>
      <c r="J8" s="10">
        <v>0.05</v>
      </c>
      <c r="K8">
        <v>5000</v>
      </c>
      <c r="L8">
        <v>4750</v>
      </c>
      <c r="M8">
        <v>3100</v>
      </c>
      <c r="N8">
        <v>1597</v>
      </c>
      <c r="O8">
        <v>1731</v>
      </c>
      <c r="P8">
        <f>INDEX(Raw_product_master[Standard_Cost_Per_Unit],MATCH(Cleaned_Sales_data[[#This Row],[Product]],Raw_product_master[Product],0))</f>
        <v>1550</v>
      </c>
      <c r="Q8">
        <v>-1678</v>
      </c>
      <c r="R8" s="11">
        <v>-0.353263157894737</v>
      </c>
      <c r="S8" s="11">
        <f>INDEX(Raw_product_master[Target_Margin], MATCH(Cleaned_Sales_data[[#This Row],[Product]],Raw_product_master[Product], 0 ))</f>
        <v>0.25</v>
      </c>
      <c r="T8" t="str">
        <f>IF(Cleaned_Sales_data[[#This Row],[Profit]]&gt;0, "Profitable", "Loss")</f>
        <v>Loss</v>
      </c>
      <c r="U8" t="str">
        <f>_xlfn.IFS(Cleaned_Sales_data[[#This Row],[Profit]]&gt;=10000, "High", Cleaned_Sales_data[[#This Row],[Profit]]&gt;=5000, "Medium", Cleaned_Sales_data[[#This Row],[Profit]]&gt;=0, "Low", Cleaned_Sales_data[[#This Row],[Profit]] &lt;0, "Loss")</f>
        <v>Loss</v>
      </c>
      <c r="V8" t="str">
        <f t="shared" si="0"/>
        <v>UnderPerforming</v>
      </c>
      <c r="W8" s="3">
        <v>46113</v>
      </c>
    </row>
    <row r="9" spans="1:23">
      <c r="A9" t="s">
        <v>72</v>
      </c>
      <c r="B9" s="3">
        <v>46168</v>
      </c>
      <c r="C9" t="s">
        <v>50</v>
      </c>
      <c r="D9" t="str">
        <f>INDEX(Raw_product_master[Category],MATCH(Cleaned_Sales_data[[#This Row],[Product]],Raw_product_master[Product],0))</f>
        <v>Accessories</v>
      </c>
      <c r="E9" t="s">
        <v>19</v>
      </c>
      <c r="F9" t="s">
        <v>20</v>
      </c>
      <c r="G9" t="s">
        <v>35</v>
      </c>
      <c r="H9">
        <v>4</v>
      </c>
      <c r="I9">
        <v>2500</v>
      </c>
      <c r="J9" s="10">
        <v>0.05</v>
      </c>
      <c r="K9">
        <v>10000</v>
      </c>
      <c r="L9">
        <v>9500</v>
      </c>
      <c r="M9">
        <v>6200</v>
      </c>
      <c r="N9">
        <v>602</v>
      </c>
      <c r="O9">
        <v>1469</v>
      </c>
      <c r="P9">
        <f>INDEX(Raw_product_master[Standard_Cost_Per_Unit],MATCH(Cleaned_Sales_data[[#This Row],[Product]],Raw_product_master[Product],0))</f>
        <v>1550</v>
      </c>
      <c r="Q9">
        <v>1229</v>
      </c>
      <c r="R9" s="11">
        <v>0.12936842105263199</v>
      </c>
      <c r="S9" s="11">
        <f>INDEX(Raw_product_master[Target_Margin], MATCH(Cleaned_Sales_data[[#This Row],[Product]],Raw_product_master[Product], 0 ))</f>
        <v>0.25</v>
      </c>
      <c r="T9" t="str">
        <f>IF(Cleaned_Sales_data[[#This Row],[Profit]]&gt;0, "Profitable", "Loss")</f>
        <v>Profitable</v>
      </c>
      <c r="U9" t="str">
        <f>_xlfn.IFS(Cleaned_Sales_data[[#This Row],[Profit]]&gt;=10000, "High", Cleaned_Sales_data[[#This Row],[Profit]]&gt;=5000, "Medium", Cleaned_Sales_data[[#This Row],[Profit]]&gt;=0, "Low", Cleaned_Sales_data[[#This Row],[Profit]] &lt;0, "Loss")</f>
        <v>Low</v>
      </c>
      <c r="V9" t="str">
        <f t="shared" si="0"/>
        <v>UnderPerforming</v>
      </c>
      <c r="W9" s="3">
        <v>46143</v>
      </c>
    </row>
    <row r="10" spans="1:23">
      <c r="A10" t="s">
        <v>84</v>
      </c>
      <c r="B10" s="3">
        <v>45829</v>
      </c>
      <c r="C10" t="s">
        <v>53</v>
      </c>
      <c r="D10" t="str">
        <f>INDEX(Raw_product_master[Category],MATCH(Cleaned_Sales_data[[#This Row],[Product]],Raw_product_master[Product],0))</f>
        <v>Accessories</v>
      </c>
      <c r="E10" t="s">
        <v>31</v>
      </c>
      <c r="F10" t="s">
        <v>20</v>
      </c>
      <c r="G10" t="s">
        <v>35</v>
      </c>
      <c r="H10">
        <v>3</v>
      </c>
      <c r="I10">
        <v>1500</v>
      </c>
      <c r="J10" s="10">
        <v>0.1</v>
      </c>
      <c r="K10">
        <v>4500</v>
      </c>
      <c r="L10">
        <v>4050</v>
      </c>
      <c r="M10">
        <v>2475</v>
      </c>
      <c r="N10">
        <v>1735</v>
      </c>
      <c r="O10">
        <v>116</v>
      </c>
      <c r="P10">
        <f>INDEX(Raw_product_master[Standard_Cost_Per_Unit],MATCH(Cleaned_Sales_data[[#This Row],[Product]],Raw_product_master[Product],0))</f>
        <v>825</v>
      </c>
      <c r="Q10">
        <v>-276</v>
      </c>
      <c r="R10" s="11">
        <v>-6.8148148148148194E-2</v>
      </c>
      <c r="S10" s="11">
        <f>INDEX(Raw_product_master[Target_Margin], MATCH(Cleaned_Sales_data[[#This Row],[Product]],Raw_product_master[Product], 0 ))</f>
        <v>0.3</v>
      </c>
      <c r="T10" t="str">
        <f>IF(Cleaned_Sales_data[[#This Row],[Profit]]&gt;0, "Profitable", "Loss")</f>
        <v>Loss</v>
      </c>
      <c r="U10" t="str">
        <f>_xlfn.IFS(Cleaned_Sales_data[[#This Row],[Profit]]&gt;=10000, "High", Cleaned_Sales_data[[#This Row],[Profit]]&gt;=5000, "Medium", Cleaned_Sales_data[[#This Row],[Profit]]&gt;=0, "Low", Cleaned_Sales_data[[#This Row],[Profit]] &lt;0, "Loss")</f>
        <v>Loss</v>
      </c>
      <c r="V10" t="str">
        <f t="shared" si="0"/>
        <v>UnderPerforming</v>
      </c>
      <c r="W10" s="3">
        <v>45809</v>
      </c>
    </row>
    <row r="11" spans="1:23">
      <c r="A11" t="s">
        <v>87</v>
      </c>
      <c r="B11" s="3">
        <v>45945</v>
      </c>
      <c r="C11" t="s">
        <v>18</v>
      </c>
      <c r="D11" t="str">
        <f>INDEX(Raw_product_master[Category],MATCH(Cleaned_Sales_data[[#This Row],[Product]],Raw_product_master[Product],0))</f>
        <v>Computers</v>
      </c>
      <c r="E11" t="s">
        <v>34</v>
      </c>
      <c r="F11" t="s">
        <v>20</v>
      </c>
      <c r="G11" t="s">
        <v>35</v>
      </c>
      <c r="H11">
        <v>2</v>
      </c>
      <c r="I11">
        <v>32000</v>
      </c>
      <c r="J11" s="10">
        <v>0.1</v>
      </c>
      <c r="K11">
        <v>64000</v>
      </c>
      <c r="L11">
        <v>57600</v>
      </c>
      <c r="M11">
        <v>52480</v>
      </c>
      <c r="N11">
        <v>885</v>
      </c>
      <c r="O11">
        <v>725</v>
      </c>
      <c r="P11">
        <f>INDEX(Raw_product_master[Standard_Cost_Per_Unit],MATCH(Cleaned_Sales_data[[#This Row],[Product]],Raw_product_master[Product],0))</f>
        <v>26240</v>
      </c>
      <c r="Q11">
        <v>3510</v>
      </c>
      <c r="R11" s="11">
        <v>6.0937499999999999E-2</v>
      </c>
      <c r="S11" s="11">
        <f>INDEX(Raw_product_master[Target_Margin], MATCH(Cleaned_Sales_data[[#This Row],[Product]],Raw_product_master[Product], 0 ))</f>
        <v>0.12</v>
      </c>
      <c r="T11" t="str">
        <f>IF(Cleaned_Sales_data[[#This Row],[Profit]]&gt;0, "Profitable", "Loss")</f>
        <v>Profitable</v>
      </c>
      <c r="U11" t="str">
        <f>_xlfn.IFS(Cleaned_Sales_data[[#This Row],[Profit]]&gt;=10000, "High", Cleaned_Sales_data[[#This Row],[Profit]]&gt;=5000, "Medium", Cleaned_Sales_data[[#This Row],[Profit]]&gt;=0, "Low", Cleaned_Sales_data[[#This Row],[Profit]] &lt;0, "Loss")</f>
        <v>Low</v>
      </c>
      <c r="V11" t="str">
        <f t="shared" si="0"/>
        <v>UnderPerforming</v>
      </c>
      <c r="W11" s="3">
        <v>45931</v>
      </c>
    </row>
    <row r="12" spans="1:23">
      <c r="A12" t="s">
        <v>89</v>
      </c>
      <c r="B12" s="3">
        <v>45833</v>
      </c>
      <c r="C12" t="s">
        <v>30</v>
      </c>
      <c r="D12" t="str">
        <f>INDEX(Raw_product_master[Category],MATCH(Cleaned_Sales_data[[#This Row],[Product]],Raw_product_master[Product],0))</f>
        <v>Displays</v>
      </c>
      <c r="E12" t="s">
        <v>51</v>
      </c>
      <c r="F12" t="s">
        <v>20</v>
      </c>
      <c r="G12" t="s">
        <v>35</v>
      </c>
      <c r="H12">
        <v>2</v>
      </c>
      <c r="I12">
        <v>28000</v>
      </c>
      <c r="J12" s="10">
        <v>0.05</v>
      </c>
      <c r="K12">
        <v>56000</v>
      </c>
      <c r="L12">
        <v>53200</v>
      </c>
      <c r="M12">
        <v>43680</v>
      </c>
      <c r="N12">
        <v>1327</v>
      </c>
      <c r="O12">
        <v>345</v>
      </c>
      <c r="P12">
        <f>INDEX(Raw_product_master[Standard_Cost_Per_Unit],MATCH(Cleaned_Sales_data[[#This Row],[Product]],Raw_product_master[Product],0))</f>
        <v>21840</v>
      </c>
      <c r="Q12">
        <v>7848</v>
      </c>
      <c r="R12" s="11">
        <v>0.14751879699248099</v>
      </c>
      <c r="S12" s="11">
        <f>INDEX(Raw_product_master[Target_Margin], MATCH(Cleaned_Sales_data[[#This Row],[Product]],Raw_product_master[Product], 0 ))</f>
        <v>0.18</v>
      </c>
      <c r="T12" t="str">
        <f>IF(Cleaned_Sales_data[[#This Row],[Profit]]&gt;0, "Profitable", "Loss")</f>
        <v>Profitable</v>
      </c>
      <c r="U12" t="str">
        <f>_xlfn.IFS(Cleaned_Sales_data[[#This Row],[Profit]]&gt;=10000, "High", Cleaned_Sales_data[[#This Row],[Profit]]&gt;=5000, "Medium", Cleaned_Sales_data[[#This Row],[Profit]]&gt;=0, "Low", Cleaned_Sales_data[[#This Row],[Profit]] &lt;0, "Loss")</f>
        <v>Medium</v>
      </c>
      <c r="V12" t="str">
        <f t="shared" si="0"/>
        <v>UnderPerforming</v>
      </c>
      <c r="W12" s="3">
        <v>45809</v>
      </c>
    </row>
    <row r="13" spans="1:23">
      <c r="A13" t="s">
        <v>90</v>
      </c>
      <c r="B13" s="3">
        <v>45693</v>
      </c>
      <c r="C13" t="s">
        <v>30</v>
      </c>
      <c r="D13" t="str">
        <f>INDEX(Raw_product_master[Category],MATCH(Cleaned_Sales_data[[#This Row],[Product]],Raw_product_master[Product],0))</f>
        <v>Displays</v>
      </c>
      <c r="E13" t="s">
        <v>51</v>
      </c>
      <c r="F13" t="s">
        <v>20</v>
      </c>
      <c r="G13" t="s">
        <v>35</v>
      </c>
      <c r="H13">
        <v>1</v>
      </c>
      <c r="I13">
        <v>28000</v>
      </c>
      <c r="J13" s="10">
        <v>0.08</v>
      </c>
      <c r="K13">
        <v>28000</v>
      </c>
      <c r="L13">
        <v>25760</v>
      </c>
      <c r="M13">
        <v>21840</v>
      </c>
      <c r="N13">
        <v>1027</v>
      </c>
      <c r="O13">
        <v>1629</v>
      </c>
      <c r="P13">
        <f>INDEX(Raw_product_master[Standard_Cost_Per_Unit],MATCH(Cleaned_Sales_data[[#This Row],[Product]],Raw_product_master[Product],0))</f>
        <v>21840</v>
      </c>
      <c r="Q13">
        <v>1264</v>
      </c>
      <c r="R13" s="11">
        <v>4.90683229813665E-2</v>
      </c>
      <c r="S13" s="11">
        <f>INDEX(Raw_product_master[Target_Margin], MATCH(Cleaned_Sales_data[[#This Row],[Product]],Raw_product_master[Product], 0 ))</f>
        <v>0.18</v>
      </c>
      <c r="T13" t="str">
        <f>IF(Cleaned_Sales_data[[#This Row],[Profit]]&gt;0, "Profitable", "Loss")</f>
        <v>Profitable</v>
      </c>
      <c r="U13" t="str">
        <f>_xlfn.IFS(Cleaned_Sales_data[[#This Row],[Profit]]&gt;=10000, "High", Cleaned_Sales_data[[#This Row],[Profit]]&gt;=5000, "Medium", Cleaned_Sales_data[[#This Row],[Profit]]&gt;=0, "Low", Cleaned_Sales_data[[#This Row],[Profit]] &lt;0, "Loss")</f>
        <v>Low</v>
      </c>
      <c r="V13" t="str">
        <f t="shared" si="0"/>
        <v>UnderPerforming</v>
      </c>
      <c r="W13" s="3">
        <v>45689</v>
      </c>
    </row>
    <row r="14" spans="1:23">
      <c r="A14" t="s">
        <v>95</v>
      </c>
      <c r="B14" s="3">
        <v>46003</v>
      </c>
      <c r="C14" t="s">
        <v>75</v>
      </c>
      <c r="D14" t="str">
        <f>INDEX(Raw_product_master[Category],MATCH(Cleaned_Sales_data[[#This Row],[Product]],Raw_product_master[Product],0))</f>
        <v>Computers</v>
      </c>
      <c r="E14" t="s">
        <v>51</v>
      </c>
      <c r="F14" t="s">
        <v>20</v>
      </c>
      <c r="G14" t="s">
        <v>35</v>
      </c>
      <c r="H14">
        <v>3</v>
      </c>
      <c r="I14">
        <v>65000</v>
      </c>
      <c r="J14" s="10">
        <v>0.05</v>
      </c>
      <c r="K14">
        <v>195000</v>
      </c>
      <c r="L14">
        <v>185250</v>
      </c>
      <c r="M14">
        <v>163800</v>
      </c>
      <c r="N14">
        <v>1281</v>
      </c>
      <c r="O14">
        <v>2074</v>
      </c>
      <c r="P14">
        <f>INDEX(Raw_product_master[Standard_Cost_Per_Unit],MATCH(Cleaned_Sales_data[[#This Row],[Product]],Raw_product_master[Product],0))</f>
        <v>54600</v>
      </c>
      <c r="Q14">
        <v>18095</v>
      </c>
      <c r="R14" s="11">
        <v>9.7678812415654501E-2</v>
      </c>
      <c r="S14" s="11">
        <f>INDEX(Raw_product_master[Target_Margin], MATCH(Cleaned_Sales_data[[#This Row],[Product]],Raw_product_master[Product], 0 ))</f>
        <v>0.12</v>
      </c>
      <c r="T14" t="str">
        <f>IF(Cleaned_Sales_data[[#This Row],[Profit]]&gt;0, "Profitable", "Loss")</f>
        <v>Profitable</v>
      </c>
      <c r="U14" t="str">
        <f>_xlfn.IFS(Cleaned_Sales_data[[#This Row],[Profit]]&gt;=10000, "High", Cleaned_Sales_data[[#This Row],[Profit]]&gt;=5000, "Medium", Cleaned_Sales_data[[#This Row],[Profit]]&gt;=0, "Low", Cleaned_Sales_data[[#This Row],[Profit]] &lt;0, "Loss")</f>
        <v>High</v>
      </c>
      <c r="V14" t="str">
        <f t="shared" si="0"/>
        <v>UnderPerforming</v>
      </c>
      <c r="W14" s="3">
        <v>45992</v>
      </c>
    </row>
    <row r="15" spans="1:23">
      <c r="A15" t="s">
        <v>96</v>
      </c>
      <c r="B15" s="3">
        <v>46170</v>
      </c>
      <c r="C15" t="s">
        <v>18</v>
      </c>
      <c r="D15" t="str">
        <f>INDEX(Raw_product_master[Category],MATCH(Cleaned_Sales_data[[#This Row],[Product]],Raw_product_master[Product],0))</f>
        <v>Computers</v>
      </c>
      <c r="E15" t="s">
        <v>25</v>
      </c>
      <c r="F15" t="s">
        <v>20</v>
      </c>
      <c r="G15" t="s">
        <v>35</v>
      </c>
      <c r="H15">
        <v>1</v>
      </c>
      <c r="I15">
        <v>32000</v>
      </c>
      <c r="J15" s="10">
        <v>0.08</v>
      </c>
      <c r="K15">
        <v>32000</v>
      </c>
      <c r="L15">
        <v>29440</v>
      </c>
      <c r="M15">
        <v>26240</v>
      </c>
      <c r="N15">
        <v>1281</v>
      </c>
      <c r="O15">
        <v>733</v>
      </c>
      <c r="P15">
        <f>INDEX(Raw_product_master[Standard_Cost_Per_Unit],MATCH(Cleaned_Sales_data[[#This Row],[Product]],Raw_product_master[Product],0))</f>
        <v>26240</v>
      </c>
      <c r="Q15">
        <v>1186</v>
      </c>
      <c r="R15" s="11">
        <v>4.0285326086956501E-2</v>
      </c>
      <c r="S15" s="11">
        <f>INDEX(Raw_product_master[Target_Margin], MATCH(Cleaned_Sales_data[[#This Row],[Product]],Raw_product_master[Product], 0 ))</f>
        <v>0.12</v>
      </c>
      <c r="T15" t="str">
        <f>IF(Cleaned_Sales_data[[#This Row],[Profit]]&gt;0, "Profitable", "Loss")</f>
        <v>Profitable</v>
      </c>
      <c r="U15" t="str">
        <f>_xlfn.IFS(Cleaned_Sales_data[[#This Row],[Profit]]&gt;=10000, "High", Cleaned_Sales_data[[#This Row],[Profit]]&gt;=5000, "Medium", Cleaned_Sales_data[[#This Row],[Profit]]&gt;=0, "Low", Cleaned_Sales_data[[#This Row],[Profit]] &lt;0, "Loss")</f>
        <v>Low</v>
      </c>
      <c r="V15" t="str">
        <f t="shared" si="0"/>
        <v>UnderPerforming</v>
      </c>
      <c r="W15" s="3">
        <v>46143</v>
      </c>
    </row>
    <row r="16" spans="1:23">
      <c r="A16" t="s">
        <v>100</v>
      </c>
      <c r="B16" s="3">
        <v>45946</v>
      </c>
      <c r="C16" t="s">
        <v>24</v>
      </c>
      <c r="D16" t="str">
        <f>INDEX(Raw_product_master[Category],MATCH(Cleaned_Sales_data[[#This Row],[Product]],Raw_product_master[Product],0))</f>
        <v>Accessories</v>
      </c>
      <c r="E16" t="s">
        <v>34</v>
      </c>
      <c r="F16" t="s">
        <v>20</v>
      </c>
      <c r="G16" t="s">
        <v>35</v>
      </c>
      <c r="H16">
        <v>4</v>
      </c>
      <c r="I16">
        <v>3500</v>
      </c>
      <c r="J16" s="10">
        <v>0</v>
      </c>
      <c r="K16">
        <v>14000</v>
      </c>
      <c r="L16">
        <v>14000</v>
      </c>
      <c r="M16">
        <v>9520</v>
      </c>
      <c r="N16">
        <v>673</v>
      </c>
      <c r="O16">
        <v>2488</v>
      </c>
      <c r="P16">
        <f>INDEX(Raw_product_master[Standard_Cost_Per_Unit],MATCH(Cleaned_Sales_data[[#This Row],[Product]],Raw_product_master[Product],0))</f>
        <v>2380</v>
      </c>
      <c r="Q16">
        <v>1319</v>
      </c>
      <c r="R16" s="11">
        <v>9.4214285714285695E-2</v>
      </c>
      <c r="S16" s="11">
        <f>INDEX(Raw_product_master[Target_Margin], MATCH(Cleaned_Sales_data[[#This Row],[Product]],Raw_product_master[Product], 0 ))</f>
        <v>0.2</v>
      </c>
      <c r="T16" t="str">
        <f>IF(Cleaned_Sales_data[[#This Row],[Profit]]&gt;0, "Profitable", "Loss")</f>
        <v>Profitable</v>
      </c>
      <c r="U16" t="str">
        <f>_xlfn.IFS(Cleaned_Sales_data[[#This Row],[Profit]]&gt;=10000, "High", Cleaned_Sales_data[[#This Row],[Profit]]&gt;=5000, "Medium", Cleaned_Sales_data[[#This Row],[Profit]]&gt;=0, "Low", Cleaned_Sales_data[[#This Row],[Profit]] &lt;0, "Loss")</f>
        <v>Low</v>
      </c>
      <c r="V16" t="str">
        <f t="shared" si="0"/>
        <v>UnderPerforming</v>
      </c>
      <c r="W16" s="3">
        <v>45931</v>
      </c>
    </row>
    <row r="17" spans="1:23">
      <c r="A17" t="s">
        <v>101</v>
      </c>
      <c r="B17" s="3">
        <v>45982</v>
      </c>
      <c r="C17" t="s">
        <v>30</v>
      </c>
      <c r="D17" t="str">
        <f>INDEX(Raw_product_master[Category],MATCH(Cleaned_Sales_data[[#This Row],[Product]],Raw_product_master[Product],0))</f>
        <v>Displays</v>
      </c>
      <c r="E17" t="s">
        <v>51</v>
      </c>
      <c r="F17" t="s">
        <v>20</v>
      </c>
      <c r="G17" t="s">
        <v>35</v>
      </c>
      <c r="H17">
        <v>2</v>
      </c>
      <c r="I17">
        <v>28000</v>
      </c>
      <c r="J17" s="10">
        <v>0.08</v>
      </c>
      <c r="K17">
        <v>56000</v>
      </c>
      <c r="L17">
        <v>51520</v>
      </c>
      <c r="M17">
        <v>43680</v>
      </c>
      <c r="N17">
        <v>1001</v>
      </c>
      <c r="O17">
        <v>1731</v>
      </c>
      <c r="P17">
        <f>INDEX(Raw_product_master[Standard_Cost_Per_Unit],MATCH(Cleaned_Sales_data[[#This Row],[Product]],Raw_product_master[Product],0))</f>
        <v>21840</v>
      </c>
      <c r="Q17">
        <v>5108</v>
      </c>
      <c r="R17" s="11">
        <v>9.9145962732919202E-2</v>
      </c>
      <c r="S17" s="11">
        <f>INDEX(Raw_product_master[Target_Margin], MATCH(Cleaned_Sales_data[[#This Row],[Product]],Raw_product_master[Product], 0 ))</f>
        <v>0.18</v>
      </c>
      <c r="T17" t="str">
        <f>IF(Cleaned_Sales_data[[#This Row],[Profit]]&gt;0, "Profitable", "Loss")</f>
        <v>Profitable</v>
      </c>
      <c r="U17" t="str">
        <f>_xlfn.IFS(Cleaned_Sales_data[[#This Row],[Profit]]&gt;=10000, "High", Cleaned_Sales_data[[#This Row],[Profit]]&gt;=5000, "Medium", Cleaned_Sales_data[[#This Row],[Profit]]&gt;=0, "Low", Cleaned_Sales_data[[#This Row],[Profit]] &lt;0, "Loss")</f>
        <v>Medium</v>
      </c>
      <c r="V17" t="str">
        <f t="shared" si="0"/>
        <v>UnderPerforming</v>
      </c>
      <c r="W17" s="3">
        <v>45962</v>
      </c>
    </row>
    <row r="18" spans="1:23">
      <c r="A18" t="s">
        <v>105</v>
      </c>
      <c r="B18" s="3">
        <v>46075</v>
      </c>
      <c r="C18" t="s">
        <v>18</v>
      </c>
      <c r="D18" t="str">
        <f>INDEX(Raw_product_master[Category],MATCH(Cleaned_Sales_data[[#This Row],[Product]],Raw_product_master[Product],0))</f>
        <v>Computers</v>
      </c>
      <c r="E18" t="s">
        <v>19</v>
      </c>
      <c r="F18" t="s">
        <v>20</v>
      </c>
      <c r="G18" t="s">
        <v>35</v>
      </c>
      <c r="H18">
        <v>1</v>
      </c>
      <c r="I18">
        <v>32000</v>
      </c>
      <c r="J18" s="10">
        <v>0.08</v>
      </c>
      <c r="K18">
        <v>32000</v>
      </c>
      <c r="L18">
        <v>29440</v>
      </c>
      <c r="M18">
        <v>26240</v>
      </c>
      <c r="N18">
        <v>804</v>
      </c>
      <c r="O18">
        <v>1725</v>
      </c>
      <c r="P18">
        <f>INDEX(Raw_product_master[Standard_Cost_Per_Unit],MATCH(Cleaned_Sales_data[[#This Row],[Product]],Raw_product_master[Product],0))</f>
        <v>26240</v>
      </c>
      <c r="Q18">
        <v>671</v>
      </c>
      <c r="R18" s="11">
        <v>2.27921195652174E-2</v>
      </c>
      <c r="S18" s="11">
        <f>INDEX(Raw_product_master[Target_Margin], MATCH(Cleaned_Sales_data[[#This Row],[Product]],Raw_product_master[Product], 0 ))</f>
        <v>0.12</v>
      </c>
      <c r="T18" t="str">
        <f>IF(Cleaned_Sales_data[[#This Row],[Profit]]&gt;0, "Profitable", "Loss")</f>
        <v>Profitable</v>
      </c>
      <c r="U18" t="str">
        <f>_xlfn.IFS(Cleaned_Sales_data[[#This Row],[Profit]]&gt;=10000, "High", Cleaned_Sales_data[[#This Row],[Profit]]&gt;=5000, "Medium", Cleaned_Sales_data[[#This Row],[Profit]]&gt;=0, "Low", Cleaned_Sales_data[[#This Row],[Profit]] &lt;0, "Loss")</f>
        <v>Low</v>
      </c>
      <c r="V18" t="str">
        <f t="shared" si="0"/>
        <v>UnderPerforming</v>
      </c>
      <c r="W18" s="3">
        <v>46054</v>
      </c>
    </row>
    <row r="19" spans="1:23">
      <c r="A19" t="s">
        <v>106</v>
      </c>
      <c r="B19" s="3">
        <v>45934</v>
      </c>
      <c r="C19" t="s">
        <v>24</v>
      </c>
      <c r="D19" t="str">
        <f>INDEX(Raw_product_master[Category],MATCH(Cleaned_Sales_data[[#This Row],[Product]],Raw_product_master[Product],0))</f>
        <v>Accessories</v>
      </c>
      <c r="E19" t="s">
        <v>51</v>
      </c>
      <c r="F19" t="s">
        <v>20</v>
      </c>
      <c r="G19" t="s">
        <v>35</v>
      </c>
      <c r="H19">
        <v>2</v>
      </c>
      <c r="I19">
        <v>3500</v>
      </c>
      <c r="J19" s="10">
        <v>0.08</v>
      </c>
      <c r="K19">
        <v>7000</v>
      </c>
      <c r="L19">
        <v>6440</v>
      </c>
      <c r="M19">
        <v>4760</v>
      </c>
      <c r="N19">
        <v>612</v>
      </c>
      <c r="O19">
        <v>828</v>
      </c>
      <c r="P19">
        <f>INDEX(Raw_product_master[Standard_Cost_Per_Unit],MATCH(Cleaned_Sales_data[[#This Row],[Product]],Raw_product_master[Product],0))</f>
        <v>2380</v>
      </c>
      <c r="Q19">
        <v>240</v>
      </c>
      <c r="R19" s="11">
        <v>3.7267080745341602E-2</v>
      </c>
      <c r="S19" s="11">
        <f>INDEX(Raw_product_master[Target_Margin], MATCH(Cleaned_Sales_data[[#This Row],[Product]],Raw_product_master[Product], 0 ))</f>
        <v>0.2</v>
      </c>
      <c r="T19" t="str">
        <f>IF(Cleaned_Sales_data[[#This Row],[Profit]]&gt;0, "Profitable", "Loss")</f>
        <v>Profitable</v>
      </c>
      <c r="U19" t="str">
        <f>_xlfn.IFS(Cleaned_Sales_data[[#This Row],[Profit]]&gt;=10000, "High", Cleaned_Sales_data[[#This Row],[Profit]]&gt;=5000, "Medium", Cleaned_Sales_data[[#This Row],[Profit]]&gt;=0, "Low", Cleaned_Sales_data[[#This Row],[Profit]] &lt;0, "Loss")</f>
        <v>Low</v>
      </c>
      <c r="V19" t="str">
        <f t="shared" si="0"/>
        <v>UnderPerforming</v>
      </c>
      <c r="W19" s="3">
        <v>45931</v>
      </c>
    </row>
    <row r="20" spans="1:23">
      <c r="A20" t="s">
        <v>112</v>
      </c>
      <c r="B20" s="3">
        <v>45892</v>
      </c>
      <c r="C20" t="s">
        <v>61</v>
      </c>
      <c r="D20" t="str">
        <f>INDEX(Raw_product_master[Category],MATCH(Cleaned_Sales_data[[#This Row],[Product]],Raw_product_master[Product],0))</f>
        <v>Accessories</v>
      </c>
      <c r="E20" t="s">
        <v>19</v>
      </c>
      <c r="F20" t="s">
        <v>20</v>
      </c>
      <c r="G20" t="s">
        <v>35</v>
      </c>
      <c r="H20">
        <v>7</v>
      </c>
      <c r="I20">
        <v>4500</v>
      </c>
      <c r="J20" s="10">
        <v>0</v>
      </c>
      <c r="K20">
        <v>31500</v>
      </c>
      <c r="L20">
        <v>31500</v>
      </c>
      <c r="M20">
        <v>20475</v>
      </c>
      <c r="N20">
        <v>1386</v>
      </c>
      <c r="O20">
        <v>1338</v>
      </c>
      <c r="P20">
        <f>INDEX(Raw_product_master[Standard_Cost_Per_Unit],MATCH(Cleaned_Sales_data[[#This Row],[Product]],Raw_product_master[Product],0))</f>
        <v>2925</v>
      </c>
      <c r="Q20">
        <v>8301</v>
      </c>
      <c r="R20" s="11">
        <v>0.26352380952380999</v>
      </c>
      <c r="S20" s="11">
        <f>INDEX(Raw_product_master[Target_Margin], MATCH(Cleaned_Sales_data[[#This Row],[Product]],Raw_product_master[Product], 0 ))</f>
        <v>0.22</v>
      </c>
      <c r="T20" t="str">
        <f>IF(Cleaned_Sales_data[[#This Row],[Profit]]&gt;0, "Profitable", "Loss")</f>
        <v>Profitable</v>
      </c>
      <c r="U20" t="str">
        <f>_xlfn.IFS(Cleaned_Sales_data[[#This Row],[Profit]]&gt;=10000, "High", Cleaned_Sales_data[[#This Row],[Profit]]&gt;=5000, "Medium", Cleaned_Sales_data[[#This Row],[Profit]]&gt;=0, "Low", Cleaned_Sales_data[[#This Row],[Profit]] &lt;0, "Loss")</f>
        <v>Medium</v>
      </c>
      <c r="V20" t="str">
        <f t="shared" si="0"/>
        <v>On Target</v>
      </c>
      <c r="W20" s="3">
        <v>45870</v>
      </c>
    </row>
    <row r="21" spans="1:23">
      <c r="A21" t="s">
        <v>113</v>
      </c>
      <c r="B21" s="3">
        <v>45831</v>
      </c>
      <c r="C21" t="s">
        <v>30</v>
      </c>
      <c r="D21" t="str">
        <f>INDEX(Raw_product_master[Category],MATCH(Cleaned_Sales_data[[#This Row],[Product]],Raw_product_master[Product],0))</f>
        <v>Displays</v>
      </c>
      <c r="E21" t="s">
        <v>51</v>
      </c>
      <c r="F21" t="s">
        <v>20</v>
      </c>
      <c r="G21" t="s">
        <v>35</v>
      </c>
      <c r="H21">
        <v>2</v>
      </c>
      <c r="I21">
        <v>28000</v>
      </c>
      <c r="J21" s="10">
        <v>0.08</v>
      </c>
      <c r="K21">
        <v>56000</v>
      </c>
      <c r="L21">
        <v>51520</v>
      </c>
      <c r="M21">
        <v>43680</v>
      </c>
      <c r="N21">
        <v>1476</v>
      </c>
      <c r="O21">
        <v>1642</v>
      </c>
      <c r="P21">
        <f>INDEX(Raw_product_master[Standard_Cost_Per_Unit],MATCH(Cleaned_Sales_data[[#This Row],[Product]],Raw_product_master[Product],0))</f>
        <v>21840</v>
      </c>
      <c r="Q21">
        <v>4722</v>
      </c>
      <c r="R21" s="11">
        <v>9.1653726708074507E-2</v>
      </c>
      <c r="S21" s="11">
        <f>INDEX(Raw_product_master[Target_Margin], MATCH(Cleaned_Sales_data[[#This Row],[Product]],Raw_product_master[Product], 0 ))</f>
        <v>0.18</v>
      </c>
      <c r="T21" t="str">
        <f>IF(Cleaned_Sales_data[[#This Row],[Profit]]&gt;0, "Profitable", "Loss")</f>
        <v>Profitable</v>
      </c>
      <c r="U21" t="str">
        <f>_xlfn.IFS(Cleaned_Sales_data[[#This Row],[Profit]]&gt;=10000, "High", Cleaned_Sales_data[[#This Row],[Profit]]&gt;=5000, "Medium", Cleaned_Sales_data[[#This Row],[Profit]]&gt;=0, "Low", Cleaned_Sales_data[[#This Row],[Profit]] &lt;0, "Loss")</f>
        <v>Low</v>
      </c>
      <c r="V21" t="str">
        <f t="shared" si="0"/>
        <v>UnderPerforming</v>
      </c>
      <c r="W21" s="3">
        <v>45809</v>
      </c>
    </row>
    <row r="22" spans="1:23">
      <c r="A22" t="s">
        <v>116</v>
      </c>
      <c r="B22" s="3">
        <v>45783</v>
      </c>
      <c r="C22" t="s">
        <v>61</v>
      </c>
      <c r="D22" t="str">
        <f>INDEX(Raw_product_master[Category],MATCH(Cleaned_Sales_data[[#This Row],[Product]],Raw_product_master[Product],0))</f>
        <v>Accessories</v>
      </c>
      <c r="E22" t="s">
        <v>19</v>
      </c>
      <c r="F22" t="s">
        <v>20</v>
      </c>
      <c r="G22" t="s">
        <v>35</v>
      </c>
      <c r="H22">
        <v>7</v>
      </c>
      <c r="I22">
        <v>4500</v>
      </c>
      <c r="J22" s="10">
        <v>0.05</v>
      </c>
      <c r="K22">
        <v>31500</v>
      </c>
      <c r="L22">
        <v>29925</v>
      </c>
      <c r="M22">
        <v>20475</v>
      </c>
      <c r="N22">
        <v>1754</v>
      </c>
      <c r="O22">
        <v>138</v>
      </c>
      <c r="P22">
        <f>INDEX(Raw_product_master[Standard_Cost_Per_Unit],MATCH(Cleaned_Sales_data[[#This Row],[Product]],Raw_product_master[Product],0))</f>
        <v>2925</v>
      </c>
      <c r="Q22">
        <v>7558</v>
      </c>
      <c r="R22" s="11">
        <v>0.25256474519632399</v>
      </c>
      <c r="S22" s="11">
        <f>INDEX(Raw_product_master[Target_Margin], MATCH(Cleaned_Sales_data[[#This Row],[Product]],Raw_product_master[Product], 0 ))</f>
        <v>0.22</v>
      </c>
      <c r="T22" t="str">
        <f>IF(Cleaned_Sales_data[[#This Row],[Profit]]&gt;0, "Profitable", "Loss")</f>
        <v>Profitable</v>
      </c>
      <c r="U22" t="str">
        <f>_xlfn.IFS(Cleaned_Sales_data[[#This Row],[Profit]]&gt;=10000, "High", Cleaned_Sales_data[[#This Row],[Profit]]&gt;=5000, "Medium", Cleaned_Sales_data[[#This Row],[Profit]]&gt;=0, "Low", Cleaned_Sales_data[[#This Row],[Profit]] &lt;0, "Loss")</f>
        <v>Medium</v>
      </c>
      <c r="V22" t="str">
        <f t="shared" si="0"/>
        <v>On Target</v>
      </c>
      <c r="W22" s="3">
        <v>45778</v>
      </c>
    </row>
    <row r="23" spans="1:23">
      <c r="A23" t="s">
        <v>121</v>
      </c>
      <c r="B23" s="3">
        <v>46015</v>
      </c>
      <c r="C23" t="s">
        <v>46</v>
      </c>
      <c r="D23" t="str">
        <f>INDEX(Raw_product_master[Category],MATCH(Cleaned_Sales_data[[#This Row],[Product]],Raw_product_master[Product],0))</f>
        <v>Office Equipment</v>
      </c>
      <c r="E23" t="s">
        <v>31</v>
      </c>
      <c r="F23" t="s">
        <v>20</v>
      </c>
      <c r="G23" t="s">
        <v>35</v>
      </c>
      <c r="H23">
        <v>3</v>
      </c>
      <c r="I23">
        <v>18000</v>
      </c>
      <c r="J23" s="10">
        <v>0</v>
      </c>
      <c r="K23">
        <v>54000</v>
      </c>
      <c r="L23">
        <v>54000</v>
      </c>
      <c r="M23">
        <v>43200</v>
      </c>
      <c r="N23">
        <v>1235</v>
      </c>
      <c r="O23">
        <v>1453</v>
      </c>
      <c r="P23">
        <f>INDEX(Raw_product_master[Standard_Cost_Per_Unit],MATCH(Cleaned_Sales_data[[#This Row],[Product]],Raw_product_master[Product],0))</f>
        <v>14400</v>
      </c>
      <c r="Q23">
        <v>8112</v>
      </c>
      <c r="R23" s="11">
        <v>0.15022222222222201</v>
      </c>
      <c r="S23" s="11">
        <f>INDEX(Raw_product_master[Target_Margin], MATCH(Cleaned_Sales_data[[#This Row],[Product]],Raw_product_master[Product], 0 ))</f>
        <v>0.15</v>
      </c>
      <c r="T23" t="str">
        <f>IF(Cleaned_Sales_data[[#This Row],[Profit]]&gt;0, "Profitable", "Loss")</f>
        <v>Profitable</v>
      </c>
      <c r="U23" t="str">
        <f>_xlfn.IFS(Cleaned_Sales_data[[#This Row],[Profit]]&gt;=10000, "High", Cleaned_Sales_data[[#This Row],[Profit]]&gt;=5000, "Medium", Cleaned_Sales_data[[#This Row],[Profit]]&gt;=0, "Low", Cleaned_Sales_data[[#This Row],[Profit]] &lt;0, "Loss")</f>
        <v>Medium</v>
      </c>
      <c r="V23" t="str">
        <f t="shared" si="0"/>
        <v>On Target</v>
      </c>
      <c r="W23" s="3">
        <v>45992</v>
      </c>
    </row>
    <row r="24" spans="1:23">
      <c r="A24" t="s">
        <v>124</v>
      </c>
      <c r="B24" s="3">
        <v>45899</v>
      </c>
      <c r="C24" t="s">
        <v>18</v>
      </c>
      <c r="D24" t="str">
        <f>INDEX(Raw_product_master[Category],MATCH(Cleaned_Sales_data[[#This Row],[Product]],Raw_product_master[Product],0))</f>
        <v>Computers</v>
      </c>
      <c r="E24" t="s">
        <v>19</v>
      </c>
      <c r="F24" t="s">
        <v>20</v>
      </c>
      <c r="G24" t="s">
        <v>35</v>
      </c>
      <c r="H24">
        <v>1</v>
      </c>
      <c r="I24">
        <v>32000</v>
      </c>
      <c r="J24" s="10">
        <v>0.05</v>
      </c>
      <c r="K24">
        <v>32000</v>
      </c>
      <c r="L24">
        <v>30400</v>
      </c>
      <c r="M24">
        <v>26240</v>
      </c>
      <c r="N24">
        <v>1023</v>
      </c>
      <c r="O24">
        <v>897</v>
      </c>
      <c r="P24">
        <f>INDEX(Raw_product_master[Standard_Cost_Per_Unit],MATCH(Cleaned_Sales_data[[#This Row],[Product]],Raw_product_master[Product],0))</f>
        <v>26240</v>
      </c>
      <c r="Q24">
        <v>2240</v>
      </c>
      <c r="R24" s="11">
        <v>7.3684210526315796E-2</v>
      </c>
      <c r="S24" s="11">
        <f>INDEX(Raw_product_master[Target_Margin], MATCH(Cleaned_Sales_data[[#This Row],[Product]],Raw_product_master[Product], 0 ))</f>
        <v>0.12</v>
      </c>
      <c r="T24" t="str">
        <f>IF(Cleaned_Sales_data[[#This Row],[Profit]]&gt;0, "Profitable", "Loss")</f>
        <v>Profitable</v>
      </c>
      <c r="U24" t="str">
        <f>_xlfn.IFS(Cleaned_Sales_data[[#This Row],[Profit]]&gt;=10000, "High", Cleaned_Sales_data[[#This Row],[Profit]]&gt;=5000, "Medium", Cleaned_Sales_data[[#This Row],[Profit]]&gt;=0, "Low", Cleaned_Sales_data[[#This Row],[Profit]] &lt;0, "Loss")</f>
        <v>Low</v>
      </c>
      <c r="V24" t="str">
        <f t="shared" si="0"/>
        <v>UnderPerforming</v>
      </c>
      <c r="W24" s="3">
        <v>45870</v>
      </c>
    </row>
    <row r="25" spans="1:23">
      <c r="A25" t="s">
        <v>126</v>
      </c>
      <c r="B25" s="3">
        <v>45762</v>
      </c>
      <c r="C25" t="s">
        <v>61</v>
      </c>
      <c r="D25" t="str">
        <f>INDEX(Raw_product_master[Category],MATCH(Cleaned_Sales_data[[#This Row],[Product]],Raw_product_master[Product],0))</f>
        <v>Accessories</v>
      </c>
      <c r="E25" t="s">
        <v>19</v>
      </c>
      <c r="F25" t="s">
        <v>20</v>
      </c>
      <c r="G25" t="s">
        <v>35</v>
      </c>
      <c r="H25">
        <v>3</v>
      </c>
      <c r="I25">
        <v>4500</v>
      </c>
      <c r="J25" s="10">
        <v>0.1</v>
      </c>
      <c r="K25">
        <v>13500</v>
      </c>
      <c r="L25">
        <v>12150</v>
      </c>
      <c r="M25">
        <v>8775</v>
      </c>
      <c r="N25">
        <v>1684</v>
      </c>
      <c r="O25">
        <v>1733</v>
      </c>
      <c r="P25">
        <f>INDEX(Raw_product_master[Standard_Cost_Per_Unit],MATCH(Cleaned_Sales_data[[#This Row],[Product]],Raw_product_master[Product],0))</f>
        <v>2925</v>
      </c>
      <c r="Q25">
        <v>-42</v>
      </c>
      <c r="R25" s="11">
        <v>-3.4567901234567899E-3</v>
      </c>
      <c r="S25" s="11">
        <f>INDEX(Raw_product_master[Target_Margin], MATCH(Cleaned_Sales_data[[#This Row],[Product]],Raw_product_master[Product], 0 ))</f>
        <v>0.22</v>
      </c>
      <c r="T25" t="str">
        <f>IF(Cleaned_Sales_data[[#This Row],[Profit]]&gt;0, "Profitable", "Loss")</f>
        <v>Loss</v>
      </c>
      <c r="U25" t="str">
        <f>_xlfn.IFS(Cleaned_Sales_data[[#This Row],[Profit]]&gt;=10000, "High", Cleaned_Sales_data[[#This Row],[Profit]]&gt;=5000, "Medium", Cleaned_Sales_data[[#This Row],[Profit]]&gt;=0, "Low", Cleaned_Sales_data[[#This Row],[Profit]] &lt;0, "Loss")</f>
        <v>Loss</v>
      </c>
      <c r="V25" t="str">
        <f t="shared" si="0"/>
        <v>UnderPerforming</v>
      </c>
      <c r="W25" s="3">
        <v>45748</v>
      </c>
    </row>
    <row r="26" spans="1:23">
      <c r="A26" t="s">
        <v>128</v>
      </c>
      <c r="B26" s="3">
        <v>45658</v>
      </c>
      <c r="C26" t="s">
        <v>50</v>
      </c>
      <c r="D26" t="str">
        <f>INDEX(Raw_product_master[Category],MATCH(Cleaned_Sales_data[[#This Row],[Product]],Raw_product_master[Product],0))</f>
        <v>Accessories</v>
      </c>
      <c r="E26" t="s">
        <v>19</v>
      </c>
      <c r="F26" t="s">
        <v>20</v>
      </c>
      <c r="G26" t="s">
        <v>35</v>
      </c>
      <c r="H26">
        <v>1</v>
      </c>
      <c r="I26">
        <v>2500</v>
      </c>
      <c r="J26" s="10">
        <v>0.03</v>
      </c>
      <c r="K26">
        <v>2500</v>
      </c>
      <c r="L26">
        <v>2425</v>
      </c>
      <c r="M26">
        <v>1550</v>
      </c>
      <c r="N26">
        <v>656</v>
      </c>
      <c r="O26">
        <v>2001</v>
      </c>
      <c r="P26">
        <f>INDEX(Raw_product_master[Standard_Cost_Per_Unit],MATCH(Cleaned_Sales_data[[#This Row],[Product]],Raw_product_master[Product],0))</f>
        <v>1550</v>
      </c>
      <c r="Q26">
        <v>-1782</v>
      </c>
      <c r="R26" s="11">
        <v>-0.73484536082474206</v>
      </c>
      <c r="S26" s="11">
        <f>INDEX(Raw_product_master[Target_Margin], MATCH(Cleaned_Sales_data[[#This Row],[Product]],Raw_product_master[Product], 0 ))</f>
        <v>0.25</v>
      </c>
      <c r="T26" t="str">
        <f>IF(Cleaned_Sales_data[[#This Row],[Profit]]&gt;0, "Profitable", "Loss")</f>
        <v>Loss</v>
      </c>
      <c r="U26" t="str">
        <f>_xlfn.IFS(Cleaned_Sales_data[[#This Row],[Profit]]&gt;=10000, "High", Cleaned_Sales_data[[#This Row],[Profit]]&gt;=5000, "Medium", Cleaned_Sales_data[[#This Row],[Profit]]&gt;=0, "Low", Cleaned_Sales_data[[#This Row],[Profit]] &lt;0, "Loss")</f>
        <v>Loss</v>
      </c>
      <c r="V26" t="str">
        <f t="shared" si="0"/>
        <v>UnderPerforming</v>
      </c>
      <c r="W26" s="3">
        <v>45658</v>
      </c>
    </row>
    <row r="27" spans="1:23">
      <c r="A27" t="s">
        <v>134</v>
      </c>
      <c r="B27" s="3">
        <v>46203</v>
      </c>
      <c r="C27" t="s">
        <v>30</v>
      </c>
      <c r="D27" t="str">
        <f>INDEX(Raw_product_master[Category],MATCH(Cleaned_Sales_data[[#This Row],[Product]],Raw_product_master[Product],0))</f>
        <v>Displays</v>
      </c>
      <c r="E27" t="s">
        <v>34</v>
      </c>
      <c r="F27" t="s">
        <v>20</v>
      </c>
      <c r="G27" t="s">
        <v>35</v>
      </c>
      <c r="H27">
        <v>1</v>
      </c>
      <c r="I27">
        <v>28000</v>
      </c>
      <c r="J27" s="10">
        <v>0.03</v>
      </c>
      <c r="K27">
        <v>28000</v>
      </c>
      <c r="L27">
        <v>27160</v>
      </c>
      <c r="M27">
        <v>21840</v>
      </c>
      <c r="N27">
        <v>1183</v>
      </c>
      <c r="O27">
        <v>168</v>
      </c>
      <c r="P27">
        <f>INDEX(Raw_product_master[Standard_Cost_Per_Unit],MATCH(Cleaned_Sales_data[[#This Row],[Product]],Raw_product_master[Product],0))</f>
        <v>21840</v>
      </c>
      <c r="Q27">
        <v>3969</v>
      </c>
      <c r="R27" s="11">
        <v>0.14613402061855699</v>
      </c>
      <c r="S27" s="11">
        <f>INDEX(Raw_product_master[Target_Margin], MATCH(Cleaned_Sales_data[[#This Row],[Product]],Raw_product_master[Product], 0 ))</f>
        <v>0.18</v>
      </c>
      <c r="T27" t="str">
        <f>IF(Cleaned_Sales_data[[#This Row],[Profit]]&gt;0, "Profitable", "Loss")</f>
        <v>Profitable</v>
      </c>
      <c r="U27" t="str">
        <f>_xlfn.IFS(Cleaned_Sales_data[[#This Row],[Profit]]&gt;=10000, "High", Cleaned_Sales_data[[#This Row],[Profit]]&gt;=5000, "Medium", Cleaned_Sales_data[[#This Row],[Profit]]&gt;=0, "Low", Cleaned_Sales_data[[#This Row],[Profit]] &lt;0, "Loss")</f>
        <v>Low</v>
      </c>
      <c r="V27" t="str">
        <f t="shared" si="0"/>
        <v>UnderPerforming</v>
      </c>
      <c r="W27" s="3">
        <v>46174</v>
      </c>
    </row>
    <row r="28" spans="1:23">
      <c r="A28" t="s">
        <v>138</v>
      </c>
      <c r="B28" s="3">
        <v>46170</v>
      </c>
      <c r="C28" t="s">
        <v>24</v>
      </c>
      <c r="D28" t="str">
        <f>INDEX(Raw_product_master[Category],MATCH(Cleaned_Sales_data[[#This Row],[Product]],Raw_product_master[Product],0))</f>
        <v>Accessories</v>
      </c>
      <c r="E28" t="s">
        <v>51</v>
      </c>
      <c r="F28" t="s">
        <v>20</v>
      </c>
      <c r="G28" t="s">
        <v>35</v>
      </c>
      <c r="H28">
        <v>5</v>
      </c>
      <c r="I28">
        <v>3500</v>
      </c>
      <c r="J28" s="10">
        <v>0.05</v>
      </c>
      <c r="K28">
        <v>17500</v>
      </c>
      <c r="L28">
        <v>16625</v>
      </c>
      <c r="M28">
        <v>11900</v>
      </c>
      <c r="N28">
        <v>881</v>
      </c>
      <c r="O28">
        <v>1528</v>
      </c>
      <c r="P28">
        <f>INDEX(Raw_product_master[Standard_Cost_Per_Unit],MATCH(Cleaned_Sales_data[[#This Row],[Product]],Raw_product_master[Product],0))</f>
        <v>2380</v>
      </c>
      <c r="Q28">
        <v>2316</v>
      </c>
      <c r="R28" s="11">
        <v>0.13930827067669199</v>
      </c>
      <c r="S28" s="11">
        <f>INDEX(Raw_product_master[Target_Margin], MATCH(Cleaned_Sales_data[[#This Row],[Product]],Raw_product_master[Product], 0 ))</f>
        <v>0.2</v>
      </c>
      <c r="T28" t="str">
        <f>IF(Cleaned_Sales_data[[#This Row],[Profit]]&gt;0, "Profitable", "Loss")</f>
        <v>Profitable</v>
      </c>
      <c r="U28" t="str">
        <f>_xlfn.IFS(Cleaned_Sales_data[[#This Row],[Profit]]&gt;=10000, "High", Cleaned_Sales_data[[#This Row],[Profit]]&gt;=5000, "Medium", Cleaned_Sales_data[[#This Row],[Profit]]&gt;=0, "Low", Cleaned_Sales_data[[#This Row],[Profit]] &lt;0, "Loss")</f>
        <v>Low</v>
      </c>
      <c r="V28" t="str">
        <f t="shared" si="0"/>
        <v>UnderPerforming</v>
      </c>
      <c r="W28" s="3">
        <v>46143</v>
      </c>
    </row>
    <row r="29" spans="1:23">
      <c r="A29" t="s">
        <v>142</v>
      </c>
      <c r="B29" s="3">
        <v>46020</v>
      </c>
      <c r="C29" t="s">
        <v>61</v>
      </c>
      <c r="D29" t="str">
        <f>INDEX(Raw_product_master[Category],MATCH(Cleaned_Sales_data[[#This Row],[Product]],Raw_product_master[Product],0))</f>
        <v>Accessories</v>
      </c>
      <c r="E29" t="s">
        <v>31</v>
      </c>
      <c r="F29" t="s">
        <v>20</v>
      </c>
      <c r="G29" t="s">
        <v>35</v>
      </c>
      <c r="H29">
        <v>3</v>
      </c>
      <c r="I29">
        <v>4500</v>
      </c>
      <c r="J29" s="10">
        <v>0.03</v>
      </c>
      <c r="K29">
        <v>13500</v>
      </c>
      <c r="L29">
        <v>13095</v>
      </c>
      <c r="M29">
        <v>8775</v>
      </c>
      <c r="N29">
        <v>1230</v>
      </c>
      <c r="O29">
        <v>1126</v>
      </c>
      <c r="P29">
        <f>INDEX(Raw_product_master[Standard_Cost_Per_Unit],MATCH(Cleaned_Sales_data[[#This Row],[Product]],Raw_product_master[Product],0))</f>
        <v>2925</v>
      </c>
      <c r="Q29">
        <v>1964</v>
      </c>
      <c r="R29" s="11">
        <v>0.14998090874379499</v>
      </c>
      <c r="S29" s="11">
        <f>INDEX(Raw_product_master[Target_Margin], MATCH(Cleaned_Sales_data[[#This Row],[Product]],Raw_product_master[Product], 0 ))</f>
        <v>0.22</v>
      </c>
      <c r="T29" t="str">
        <f>IF(Cleaned_Sales_data[[#This Row],[Profit]]&gt;0, "Profitable", "Loss")</f>
        <v>Profitable</v>
      </c>
      <c r="U29" t="str">
        <f>_xlfn.IFS(Cleaned_Sales_data[[#This Row],[Profit]]&gt;=10000, "High", Cleaned_Sales_data[[#This Row],[Profit]]&gt;=5000, "Medium", Cleaned_Sales_data[[#This Row],[Profit]]&gt;=0, "Low", Cleaned_Sales_data[[#This Row],[Profit]] &lt;0, "Loss")</f>
        <v>Low</v>
      </c>
      <c r="V29" t="str">
        <f t="shared" si="0"/>
        <v>UnderPerforming</v>
      </c>
      <c r="W29" s="3">
        <v>45992</v>
      </c>
    </row>
    <row r="30" spans="1:23">
      <c r="A30" t="s">
        <v>149</v>
      </c>
      <c r="B30" s="3">
        <v>45957</v>
      </c>
      <c r="C30" t="s">
        <v>18</v>
      </c>
      <c r="D30" t="str">
        <f>INDEX(Raw_product_master[Category],MATCH(Cleaned_Sales_data[[#This Row],[Product]],Raw_product_master[Product],0))</f>
        <v>Computers</v>
      </c>
      <c r="E30" t="s">
        <v>51</v>
      </c>
      <c r="F30" t="s">
        <v>20</v>
      </c>
      <c r="G30" t="s">
        <v>35</v>
      </c>
      <c r="H30">
        <v>3</v>
      </c>
      <c r="I30">
        <v>32000</v>
      </c>
      <c r="J30" s="10">
        <v>0.08</v>
      </c>
      <c r="K30">
        <v>96000</v>
      </c>
      <c r="L30">
        <v>88320</v>
      </c>
      <c r="M30">
        <v>78720</v>
      </c>
      <c r="N30">
        <v>1658</v>
      </c>
      <c r="O30">
        <v>2320</v>
      </c>
      <c r="P30">
        <f>INDEX(Raw_product_master[Standard_Cost_Per_Unit],MATCH(Cleaned_Sales_data[[#This Row],[Product]],Raw_product_master[Product],0))</f>
        <v>26240</v>
      </c>
      <c r="Q30">
        <v>5622</v>
      </c>
      <c r="R30" s="11">
        <v>6.3654891304347802E-2</v>
      </c>
      <c r="S30" s="11">
        <f>INDEX(Raw_product_master[Target_Margin], MATCH(Cleaned_Sales_data[[#This Row],[Product]],Raw_product_master[Product], 0 ))</f>
        <v>0.12</v>
      </c>
      <c r="T30" t="str">
        <f>IF(Cleaned_Sales_data[[#This Row],[Profit]]&gt;0, "Profitable", "Loss")</f>
        <v>Profitable</v>
      </c>
      <c r="U30" t="str">
        <f>_xlfn.IFS(Cleaned_Sales_data[[#This Row],[Profit]]&gt;=10000, "High", Cleaned_Sales_data[[#This Row],[Profit]]&gt;=5000, "Medium", Cleaned_Sales_data[[#This Row],[Profit]]&gt;=0, "Low", Cleaned_Sales_data[[#This Row],[Profit]] &lt;0, "Loss")</f>
        <v>Medium</v>
      </c>
      <c r="V30" t="str">
        <f t="shared" si="0"/>
        <v>UnderPerforming</v>
      </c>
      <c r="W30" s="3">
        <v>45931</v>
      </c>
    </row>
    <row r="31" spans="1:23">
      <c r="A31" t="s">
        <v>152</v>
      </c>
      <c r="B31" s="3">
        <v>45825</v>
      </c>
      <c r="C31" t="s">
        <v>24</v>
      </c>
      <c r="D31" t="str">
        <f>INDEX(Raw_product_master[Category],MATCH(Cleaned_Sales_data[[#This Row],[Product]],Raw_product_master[Product],0))</f>
        <v>Accessories</v>
      </c>
      <c r="E31" t="s">
        <v>25</v>
      </c>
      <c r="F31" t="s">
        <v>20</v>
      </c>
      <c r="G31" t="s">
        <v>35</v>
      </c>
      <c r="H31">
        <v>7</v>
      </c>
      <c r="I31">
        <v>3500</v>
      </c>
      <c r="J31" s="10">
        <v>0.08</v>
      </c>
      <c r="K31">
        <v>24500</v>
      </c>
      <c r="L31">
        <v>22540</v>
      </c>
      <c r="M31">
        <v>16660</v>
      </c>
      <c r="N31">
        <v>1097</v>
      </c>
      <c r="O31">
        <v>2160</v>
      </c>
      <c r="P31">
        <f>INDEX(Raw_product_master[Standard_Cost_Per_Unit],MATCH(Cleaned_Sales_data[[#This Row],[Product]],Raw_product_master[Product],0))</f>
        <v>2380</v>
      </c>
      <c r="Q31">
        <v>2623</v>
      </c>
      <c r="R31" s="11">
        <v>0.11637089618456101</v>
      </c>
      <c r="S31" s="11">
        <f>INDEX(Raw_product_master[Target_Margin], MATCH(Cleaned_Sales_data[[#This Row],[Product]],Raw_product_master[Product], 0 ))</f>
        <v>0.2</v>
      </c>
      <c r="T31" t="str">
        <f>IF(Cleaned_Sales_data[[#This Row],[Profit]]&gt;0, "Profitable", "Loss")</f>
        <v>Profitable</v>
      </c>
      <c r="U31" t="str">
        <f>_xlfn.IFS(Cleaned_Sales_data[[#This Row],[Profit]]&gt;=10000, "High", Cleaned_Sales_data[[#This Row],[Profit]]&gt;=5000, "Medium", Cleaned_Sales_data[[#This Row],[Profit]]&gt;=0, "Low", Cleaned_Sales_data[[#This Row],[Profit]] &lt;0, "Loss")</f>
        <v>Low</v>
      </c>
      <c r="V31" t="str">
        <f t="shared" si="0"/>
        <v>UnderPerforming</v>
      </c>
      <c r="W31" s="3">
        <v>45809</v>
      </c>
    </row>
    <row r="32" spans="1:23">
      <c r="A32" t="s">
        <v>178</v>
      </c>
      <c r="B32" s="3">
        <v>45822</v>
      </c>
      <c r="C32" t="s">
        <v>46</v>
      </c>
      <c r="D32" t="str">
        <f>INDEX(Raw_product_master[Category],MATCH(Cleaned_Sales_data[[#This Row],[Product]],Raw_product_master[Product],0))</f>
        <v>Office Equipment</v>
      </c>
      <c r="E32" t="s">
        <v>34</v>
      </c>
      <c r="F32" t="s">
        <v>20</v>
      </c>
      <c r="G32" t="s">
        <v>35</v>
      </c>
      <c r="H32">
        <v>2</v>
      </c>
      <c r="I32">
        <v>18000</v>
      </c>
      <c r="J32" s="10">
        <v>0.1</v>
      </c>
      <c r="K32">
        <v>36000</v>
      </c>
      <c r="L32">
        <v>32400</v>
      </c>
      <c r="M32">
        <v>28800</v>
      </c>
      <c r="N32">
        <v>651</v>
      </c>
      <c r="O32">
        <v>1623</v>
      </c>
      <c r="P32">
        <f>INDEX(Raw_product_master[Standard_Cost_Per_Unit],MATCH(Cleaned_Sales_data[[#This Row],[Product]],Raw_product_master[Product],0))</f>
        <v>14400</v>
      </c>
      <c r="Q32">
        <v>1326</v>
      </c>
      <c r="R32" s="11">
        <v>4.09259259259259E-2</v>
      </c>
      <c r="S32" s="11">
        <f>INDEX(Raw_product_master[Target_Margin], MATCH(Cleaned_Sales_data[[#This Row],[Product]],Raw_product_master[Product], 0 ))</f>
        <v>0.15</v>
      </c>
      <c r="T32" t="str">
        <f>IF(Cleaned_Sales_data[[#This Row],[Profit]]&gt;0, "Profitable", "Loss")</f>
        <v>Profitable</v>
      </c>
      <c r="U32" t="str">
        <f>_xlfn.IFS(Cleaned_Sales_data[[#This Row],[Profit]]&gt;=10000, "High", Cleaned_Sales_data[[#This Row],[Profit]]&gt;=5000, "Medium", Cleaned_Sales_data[[#This Row],[Profit]]&gt;=0, "Low", Cleaned_Sales_data[[#This Row],[Profit]] &lt;0, "Loss")</f>
        <v>Low</v>
      </c>
      <c r="V32" t="str">
        <f t="shared" si="0"/>
        <v>UnderPerforming</v>
      </c>
      <c r="W32" s="3">
        <v>45809</v>
      </c>
    </row>
    <row r="33" spans="1:23">
      <c r="A33" t="s">
        <v>183</v>
      </c>
      <c r="B33" s="3">
        <v>45935</v>
      </c>
      <c r="C33" t="s">
        <v>75</v>
      </c>
      <c r="D33" t="str">
        <f>INDEX(Raw_product_master[Category],MATCH(Cleaned_Sales_data[[#This Row],[Product]],Raw_product_master[Product],0))</f>
        <v>Computers</v>
      </c>
      <c r="E33" t="s">
        <v>19</v>
      </c>
      <c r="F33" t="s">
        <v>20</v>
      </c>
      <c r="G33" t="s">
        <v>35</v>
      </c>
      <c r="H33">
        <v>2</v>
      </c>
      <c r="I33">
        <v>65000</v>
      </c>
      <c r="J33" s="10">
        <v>0.08</v>
      </c>
      <c r="K33">
        <v>130000</v>
      </c>
      <c r="L33">
        <v>119600</v>
      </c>
      <c r="M33">
        <v>109200</v>
      </c>
      <c r="N33">
        <v>1582</v>
      </c>
      <c r="O33">
        <v>1881</v>
      </c>
      <c r="P33">
        <f>INDEX(Raw_product_master[Standard_Cost_Per_Unit],MATCH(Cleaned_Sales_data[[#This Row],[Product]],Raw_product_master[Product],0))</f>
        <v>54600</v>
      </c>
      <c r="Q33">
        <v>6937</v>
      </c>
      <c r="R33" s="11">
        <v>5.8001672240802701E-2</v>
      </c>
      <c r="S33" s="11">
        <f>INDEX(Raw_product_master[Target_Margin], MATCH(Cleaned_Sales_data[[#This Row],[Product]],Raw_product_master[Product], 0 ))</f>
        <v>0.12</v>
      </c>
      <c r="T33" t="str">
        <f>IF(Cleaned_Sales_data[[#This Row],[Profit]]&gt;0, "Profitable", "Loss")</f>
        <v>Profitable</v>
      </c>
      <c r="U33" t="str">
        <f>_xlfn.IFS(Cleaned_Sales_data[[#This Row],[Profit]]&gt;=10000, "High", Cleaned_Sales_data[[#This Row],[Profit]]&gt;=5000, "Medium", Cleaned_Sales_data[[#This Row],[Profit]]&gt;=0, "Low", Cleaned_Sales_data[[#This Row],[Profit]] &lt;0, "Loss")</f>
        <v>Medium</v>
      </c>
      <c r="V33" t="str">
        <f t="shared" si="0"/>
        <v>UnderPerforming</v>
      </c>
      <c r="W33" s="3">
        <v>45931</v>
      </c>
    </row>
    <row r="34" spans="1:23">
      <c r="A34" t="s">
        <v>185</v>
      </c>
      <c r="B34" s="3">
        <v>45999</v>
      </c>
      <c r="C34" t="s">
        <v>30</v>
      </c>
      <c r="D34" t="str">
        <f>INDEX(Raw_product_master[Category],MATCH(Cleaned_Sales_data[[#This Row],[Product]],Raw_product_master[Product],0))</f>
        <v>Displays</v>
      </c>
      <c r="E34" t="s">
        <v>51</v>
      </c>
      <c r="F34" t="s">
        <v>20</v>
      </c>
      <c r="G34" t="s">
        <v>35</v>
      </c>
      <c r="H34">
        <v>1</v>
      </c>
      <c r="I34">
        <v>28000</v>
      </c>
      <c r="J34" s="10">
        <v>0.05</v>
      </c>
      <c r="K34">
        <v>28000</v>
      </c>
      <c r="L34">
        <v>26600</v>
      </c>
      <c r="M34">
        <v>21840</v>
      </c>
      <c r="N34">
        <v>1197</v>
      </c>
      <c r="O34">
        <v>1501</v>
      </c>
      <c r="P34">
        <f>INDEX(Raw_product_master[Standard_Cost_Per_Unit],MATCH(Cleaned_Sales_data[[#This Row],[Product]],Raw_product_master[Product],0))</f>
        <v>21840</v>
      </c>
      <c r="Q34">
        <v>2062</v>
      </c>
      <c r="R34" s="11">
        <v>7.7518796992481195E-2</v>
      </c>
      <c r="S34" s="11">
        <f>INDEX(Raw_product_master[Target_Margin], MATCH(Cleaned_Sales_data[[#This Row],[Product]],Raw_product_master[Product], 0 ))</f>
        <v>0.18</v>
      </c>
      <c r="T34" t="str">
        <f>IF(Cleaned_Sales_data[[#This Row],[Profit]]&gt;0, "Profitable", "Loss")</f>
        <v>Profitable</v>
      </c>
      <c r="U34" t="str">
        <f>_xlfn.IFS(Cleaned_Sales_data[[#This Row],[Profit]]&gt;=10000, "High", Cleaned_Sales_data[[#This Row],[Profit]]&gt;=5000, "Medium", Cleaned_Sales_data[[#This Row],[Profit]]&gt;=0, "Low", Cleaned_Sales_data[[#This Row],[Profit]] &lt;0, "Loss")</f>
        <v>Low</v>
      </c>
      <c r="V34" t="str">
        <f t="shared" si="0"/>
        <v>UnderPerforming</v>
      </c>
      <c r="W34" s="3">
        <v>45992</v>
      </c>
    </row>
    <row r="35" spans="1:23">
      <c r="A35" t="s">
        <v>187</v>
      </c>
      <c r="B35" s="3">
        <v>45949</v>
      </c>
      <c r="C35" t="s">
        <v>61</v>
      </c>
      <c r="D35" t="str">
        <f>INDEX(Raw_product_master[Category],MATCH(Cleaned_Sales_data[[#This Row],[Product]],Raw_product_master[Product],0))</f>
        <v>Accessories</v>
      </c>
      <c r="E35" t="s">
        <v>19</v>
      </c>
      <c r="F35" t="s">
        <v>20</v>
      </c>
      <c r="G35" t="s">
        <v>35</v>
      </c>
      <c r="H35">
        <v>2</v>
      </c>
      <c r="I35">
        <v>4500</v>
      </c>
      <c r="J35" s="10">
        <v>0.03</v>
      </c>
      <c r="K35">
        <v>9000</v>
      </c>
      <c r="L35">
        <v>8730</v>
      </c>
      <c r="M35">
        <v>5850</v>
      </c>
      <c r="N35">
        <v>1586</v>
      </c>
      <c r="O35">
        <v>792</v>
      </c>
      <c r="P35">
        <f>INDEX(Raw_product_master[Standard_Cost_Per_Unit],MATCH(Cleaned_Sales_data[[#This Row],[Product]],Raw_product_master[Product],0))</f>
        <v>2925</v>
      </c>
      <c r="Q35">
        <v>502</v>
      </c>
      <c r="R35" s="11">
        <v>5.7502863688430703E-2</v>
      </c>
      <c r="S35" s="11">
        <f>INDEX(Raw_product_master[Target_Margin], MATCH(Cleaned_Sales_data[[#This Row],[Product]],Raw_product_master[Product], 0 ))</f>
        <v>0.22</v>
      </c>
      <c r="T35" t="str">
        <f>IF(Cleaned_Sales_data[[#This Row],[Profit]]&gt;0, "Profitable", "Loss")</f>
        <v>Profitable</v>
      </c>
      <c r="U35" t="str">
        <f>_xlfn.IFS(Cleaned_Sales_data[[#This Row],[Profit]]&gt;=10000, "High", Cleaned_Sales_data[[#This Row],[Profit]]&gt;=5000, "Medium", Cleaned_Sales_data[[#This Row],[Profit]]&gt;=0, "Low", Cleaned_Sales_data[[#This Row],[Profit]] &lt;0, "Loss")</f>
        <v>Low</v>
      </c>
      <c r="V35" t="str">
        <f t="shared" si="0"/>
        <v>UnderPerforming</v>
      </c>
      <c r="W35" s="3">
        <v>45931</v>
      </c>
    </row>
    <row r="36" spans="1:23">
      <c r="A36" t="s">
        <v>190</v>
      </c>
      <c r="B36" s="3">
        <v>45811</v>
      </c>
      <c r="C36" t="s">
        <v>61</v>
      </c>
      <c r="D36" t="str">
        <f>INDEX(Raw_product_master[Category],MATCH(Cleaned_Sales_data[[#This Row],[Product]],Raw_product_master[Product],0))</f>
        <v>Accessories</v>
      </c>
      <c r="E36" t="s">
        <v>25</v>
      </c>
      <c r="F36" t="s">
        <v>20</v>
      </c>
      <c r="G36" t="s">
        <v>35</v>
      </c>
      <c r="H36">
        <v>3</v>
      </c>
      <c r="I36">
        <v>4500</v>
      </c>
      <c r="J36" s="10">
        <v>0.08</v>
      </c>
      <c r="K36">
        <v>13500</v>
      </c>
      <c r="L36">
        <v>12420</v>
      </c>
      <c r="M36">
        <v>8775</v>
      </c>
      <c r="N36">
        <v>681</v>
      </c>
      <c r="O36">
        <v>2348</v>
      </c>
      <c r="P36">
        <f>INDEX(Raw_product_master[Standard_Cost_Per_Unit],MATCH(Cleaned_Sales_data[[#This Row],[Product]],Raw_product_master[Product],0))</f>
        <v>2925</v>
      </c>
      <c r="Q36">
        <v>616</v>
      </c>
      <c r="R36" s="11">
        <v>4.9597423510466997E-2</v>
      </c>
      <c r="S36" s="11">
        <f>INDEX(Raw_product_master[Target_Margin], MATCH(Cleaned_Sales_data[[#This Row],[Product]],Raw_product_master[Product], 0 ))</f>
        <v>0.22</v>
      </c>
      <c r="T36" t="str">
        <f>IF(Cleaned_Sales_data[[#This Row],[Profit]]&gt;0, "Profitable", "Loss")</f>
        <v>Profitable</v>
      </c>
      <c r="U36" t="str">
        <f>_xlfn.IFS(Cleaned_Sales_data[[#This Row],[Profit]]&gt;=10000, "High", Cleaned_Sales_data[[#This Row],[Profit]]&gt;=5000, "Medium", Cleaned_Sales_data[[#This Row],[Profit]]&gt;=0, "Low", Cleaned_Sales_data[[#This Row],[Profit]] &lt;0, "Loss")</f>
        <v>Low</v>
      </c>
      <c r="V36" t="str">
        <f t="shared" si="0"/>
        <v>UnderPerforming</v>
      </c>
      <c r="W36" s="3">
        <v>45809</v>
      </c>
    </row>
    <row r="37" spans="1:23">
      <c r="A37" t="s">
        <v>196</v>
      </c>
      <c r="B37" s="3">
        <v>46176</v>
      </c>
      <c r="C37" t="s">
        <v>30</v>
      </c>
      <c r="D37" t="str">
        <f>INDEX(Raw_product_master[Category],MATCH(Cleaned_Sales_data[[#This Row],[Product]],Raw_product_master[Product],0))</f>
        <v>Displays</v>
      </c>
      <c r="E37" t="s">
        <v>63</v>
      </c>
      <c r="F37" t="s">
        <v>20</v>
      </c>
      <c r="G37" t="s">
        <v>35</v>
      </c>
      <c r="H37">
        <v>1</v>
      </c>
      <c r="I37">
        <v>28000</v>
      </c>
      <c r="J37" s="10">
        <v>0.05</v>
      </c>
      <c r="K37">
        <v>28000</v>
      </c>
      <c r="L37">
        <v>26600</v>
      </c>
      <c r="M37">
        <v>21840</v>
      </c>
      <c r="N37">
        <v>590</v>
      </c>
      <c r="O37">
        <v>434</v>
      </c>
      <c r="P37">
        <f>INDEX(Raw_product_master[Standard_Cost_Per_Unit],MATCH(Cleaned_Sales_data[[#This Row],[Product]],Raw_product_master[Product],0))</f>
        <v>21840</v>
      </c>
      <c r="Q37">
        <v>3736</v>
      </c>
      <c r="R37" s="11">
        <v>0.14045112781954899</v>
      </c>
      <c r="S37" s="11">
        <f>INDEX(Raw_product_master[Target_Margin], MATCH(Cleaned_Sales_data[[#This Row],[Product]],Raw_product_master[Product], 0 ))</f>
        <v>0.18</v>
      </c>
      <c r="T37" t="str">
        <f>IF(Cleaned_Sales_data[[#This Row],[Profit]]&gt;0, "Profitable", "Loss")</f>
        <v>Profitable</v>
      </c>
      <c r="U37" t="str">
        <f>_xlfn.IFS(Cleaned_Sales_data[[#This Row],[Profit]]&gt;=10000, "High", Cleaned_Sales_data[[#This Row],[Profit]]&gt;=5000, "Medium", Cleaned_Sales_data[[#This Row],[Profit]]&gt;=0, "Low", Cleaned_Sales_data[[#This Row],[Profit]] &lt;0, "Loss")</f>
        <v>Low</v>
      </c>
      <c r="V37" t="str">
        <f t="shared" si="0"/>
        <v>UnderPerforming</v>
      </c>
      <c r="W37" s="3">
        <v>46174</v>
      </c>
    </row>
    <row r="38" spans="1:23">
      <c r="A38" t="s">
        <v>206</v>
      </c>
      <c r="B38" s="3">
        <v>45900</v>
      </c>
      <c r="C38" t="s">
        <v>18</v>
      </c>
      <c r="D38" t="str">
        <f>INDEX(Raw_product_master[Category],MATCH(Cleaned_Sales_data[[#This Row],[Product]],Raw_product_master[Product],0))</f>
        <v>Computers</v>
      </c>
      <c r="E38" t="s">
        <v>51</v>
      </c>
      <c r="F38" t="s">
        <v>20</v>
      </c>
      <c r="G38" t="s">
        <v>35</v>
      </c>
      <c r="H38">
        <v>3</v>
      </c>
      <c r="I38">
        <v>32000</v>
      </c>
      <c r="J38" s="10">
        <v>0.05</v>
      </c>
      <c r="K38">
        <v>96000</v>
      </c>
      <c r="L38">
        <v>91200</v>
      </c>
      <c r="M38">
        <v>78720</v>
      </c>
      <c r="N38">
        <v>1798</v>
      </c>
      <c r="O38">
        <v>1433</v>
      </c>
      <c r="P38">
        <f>INDEX(Raw_product_master[Standard_Cost_Per_Unit],MATCH(Cleaned_Sales_data[[#This Row],[Product]],Raw_product_master[Product],0))</f>
        <v>26240</v>
      </c>
      <c r="Q38">
        <v>9249</v>
      </c>
      <c r="R38" s="11">
        <v>0.10141447368421</v>
      </c>
      <c r="S38" s="11">
        <f>INDEX(Raw_product_master[Target_Margin], MATCH(Cleaned_Sales_data[[#This Row],[Product]],Raw_product_master[Product], 0 ))</f>
        <v>0.12</v>
      </c>
      <c r="T38" t="str">
        <f>IF(Cleaned_Sales_data[[#This Row],[Profit]]&gt;0, "Profitable", "Loss")</f>
        <v>Profitable</v>
      </c>
      <c r="U38" t="str">
        <f>_xlfn.IFS(Cleaned_Sales_data[[#This Row],[Profit]]&gt;=10000, "High", Cleaned_Sales_data[[#This Row],[Profit]]&gt;=5000, "Medium", Cleaned_Sales_data[[#This Row],[Profit]]&gt;=0, "Low", Cleaned_Sales_data[[#This Row],[Profit]] &lt;0, "Loss")</f>
        <v>Medium</v>
      </c>
      <c r="V38" t="str">
        <f t="shared" si="0"/>
        <v>UnderPerforming</v>
      </c>
      <c r="W38" s="3">
        <v>45870</v>
      </c>
    </row>
    <row r="39" spans="1:23">
      <c r="A39" t="s">
        <v>211</v>
      </c>
      <c r="B39" s="3">
        <v>45883</v>
      </c>
      <c r="C39" t="s">
        <v>30</v>
      </c>
      <c r="D39" t="str">
        <f>INDEX(Raw_product_master[Category],MATCH(Cleaned_Sales_data[[#This Row],[Product]],Raw_product_master[Product],0))</f>
        <v>Displays</v>
      </c>
      <c r="E39" t="s">
        <v>31</v>
      </c>
      <c r="F39" t="s">
        <v>20</v>
      </c>
      <c r="G39" t="s">
        <v>35</v>
      </c>
      <c r="H39">
        <v>1</v>
      </c>
      <c r="I39">
        <v>28000</v>
      </c>
      <c r="J39" s="10">
        <v>0.05</v>
      </c>
      <c r="K39">
        <v>28000</v>
      </c>
      <c r="L39">
        <v>26600</v>
      </c>
      <c r="M39">
        <v>21840</v>
      </c>
      <c r="N39">
        <v>1760</v>
      </c>
      <c r="O39">
        <v>1518</v>
      </c>
      <c r="P39">
        <f>INDEX(Raw_product_master[Standard_Cost_Per_Unit],MATCH(Cleaned_Sales_data[[#This Row],[Product]],Raw_product_master[Product],0))</f>
        <v>21840</v>
      </c>
      <c r="Q39">
        <v>1482</v>
      </c>
      <c r="R39" s="11">
        <v>5.5714285714285702E-2</v>
      </c>
      <c r="S39" s="11">
        <f>INDEX(Raw_product_master[Target_Margin], MATCH(Cleaned_Sales_data[[#This Row],[Product]],Raw_product_master[Product], 0 ))</f>
        <v>0.18</v>
      </c>
      <c r="T39" t="str">
        <f>IF(Cleaned_Sales_data[[#This Row],[Profit]]&gt;0, "Profitable", "Loss")</f>
        <v>Profitable</v>
      </c>
      <c r="U39" t="str">
        <f>_xlfn.IFS(Cleaned_Sales_data[[#This Row],[Profit]]&gt;=10000, "High", Cleaned_Sales_data[[#This Row],[Profit]]&gt;=5000, "Medium", Cleaned_Sales_data[[#This Row],[Profit]]&gt;=0, "Low", Cleaned_Sales_data[[#This Row],[Profit]] &lt;0, "Loss")</f>
        <v>Low</v>
      </c>
      <c r="V39" t="str">
        <f t="shared" si="0"/>
        <v>UnderPerforming</v>
      </c>
      <c r="W39" s="3">
        <v>45870</v>
      </c>
    </row>
    <row r="40" spans="1:23">
      <c r="A40" t="s">
        <v>215</v>
      </c>
      <c r="B40" s="3">
        <v>45688</v>
      </c>
      <c r="C40" t="s">
        <v>18</v>
      </c>
      <c r="D40" t="str">
        <f>INDEX(Raw_product_master[Category],MATCH(Cleaned_Sales_data[[#This Row],[Product]],Raw_product_master[Product],0))</f>
        <v>Computers</v>
      </c>
      <c r="E40" t="s">
        <v>25</v>
      </c>
      <c r="F40" t="s">
        <v>20</v>
      </c>
      <c r="G40" t="s">
        <v>35</v>
      </c>
      <c r="H40">
        <v>3</v>
      </c>
      <c r="I40">
        <v>32000</v>
      </c>
      <c r="J40" s="10">
        <v>0.1</v>
      </c>
      <c r="K40">
        <v>96000</v>
      </c>
      <c r="L40">
        <v>86400</v>
      </c>
      <c r="M40">
        <v>78720</v>
      </c>
      <c r="N40">
        <v>206</v>
      </c>
      <c r="O40">
        <v>2280</v>
      </c>
      <c r="P40">
        <f>INDEX(Raw_product_master[Standard_Cost_Per_Unit],MATCH(Cleaned_Sales_data[[#This Row],[Product]],Raw_product_master[Product],0))</f>
        <v>26240</v>
      </c>
      <c r="Q40">
        <v>5194</v>
      </c>
      <c r="R40" s="11">
        <v>6.0115740740740699E-2</v>
      </c>
      <c r="S40" s="11">
        <f>INDEX(Raw_product_master[Target_Margin], MATCH(Cleaned_Sales_data[[#This Row],[Product]],Raw_product_master[Product], 0 ))</f>
        <v>0.12</v>
      </c>
      <c r="T40" t="str">
        <f>IF(Cleaned_Sales_data[[#This Row],[Profit]]&gt;0, "Profitable", "Loss")</f>
        <v>Profitable</v>
      </c>
      <c r="U40" t="str">
        <f>_xlfn.IFS(Cleaned_Sales_data[[#This Row],[Profit]]&gt;=10000, "High", Cleaned_Sales_data[[#This Row],[Profit]]&gt;=5000, "Medium", Cleaned_Sales_data[[#This Row],[Profit]]&gt;=0, "Low", Cleaned_Sales_data[[#This Row],[Profit]] &lt;0, "Loss")</f>
        <v>Medium</v>
      </c>
      <c r="V40" t="str">
        <f t="shared" si="0"/>
        <v>UnderPerforming</v>
      </c>
      <c r="W40" s="3">
        <v>45658</v>
      </c>
    </row>
    <row r="41" spans="1:23">
      <c r="A41" t="s">
        <v>221</v>
      </c>
      <c r="B41" s="3">
        <v>46038</v>
      </c>
      <c r="C41" t="s">
        <v>18</v>
      </c>
      <c r="D41" t="str">
        <f>INDEX(Raw_product_master[Category],MATCH(Cleaned_Sales_data[[#This Row],[Product]],Raw_product_master[Product],0))</f>
        <v>Computers</v>
      </c>
      <c r="E41" t="s">
        <v>31</v>
      </c>
      <c r="F41" t="s">
        <v>20</v>
      </c>
      <c r="G41" t="s">
        <v>35</v>
      </c>
      <c r="H41">
        <v>1</v>
      </c>
      <c r="I41">
        <v>32000</v>
      </c>
      <c r="J41" s="10">
        <v>0.05</v>
      </c>
      <c r="K41">
        <v>32000</v>
      </c>
      <c r="L41">
        <v>30400</v>
      </c>
      <c r="M41">
        <v>26240</v>
      </c>
      <c r="N41">
        <v>962</v>
      </c>
      <c r="O41">
        <v>1350</v>
      </c>
      <c r="P41">
        <f>INDEX(Raw_product_master[Standard_Cost_Per_Unit],MATCH(Cleaned_Sales_data[[#This Row],[Product]],Raw_product_master[Product],0))</f>
        <v>26240</v>
      </c>
      <c r="Q41">
        <v>1848</v>
      </c>
      <c r="R41" s="11">
        <v>6.0789473684210497E-2</v>
      </c>
      <c r="S41" s="11">
        <f>INDEX(Raw_product_master[Target_Margin], MATCH(Cleaned_Sales_data[[#This Row],[Product]],Raw_product_master[Product], 0 ))</f>
        <v>0.12</v>
      </c>
      <c r="T41" t="str">
        <f>IF(Cleaned_Sales_data[[#This Row],[Profit]]&gt;0, "Profitable", "Loss")</f>
        <v>Profitable</v>
      </c>
      <c r="U41" t="str">
        <f>_xlfn.IFS(Cleaned_Sales_data[[#This Row],[Profit]]&gt;=10000, "High", Cleaned_Sales_data[[#This Row],[Profit]]&gt;=5000, "Medium", Cleaned_Sales_data[[#This Row],[Profit]]&gt;=0, "Low", Cleaned_Sales_data[[#This Row],[Profit]] &lt;0, "Loss")</f>
        <v>Low</v>
      </c>
      <c r="V41" t="str">
        <f t="shared" si="0"/>
        <v>UnderPerforming</v>
      </c>
      <c r="W41" s="3">
        <v>46023</v>
      </c>
    </row>
    <row r="42" spans="1:23">
      <c r="A42" t="s">
        <v>223</v>
      </c>
      <c r="B42" s="3">
        <v>45814</v>
      </c>
      <c r="C42" t="s">
        <v>75</v>
      </c>
      <c r="D42" t="str">
        <f>INDEX(Raw_product_master[Category],MATCH(Cleaned_Sales_data[[#This Row],[Product]],Raw_product_master[Product],0))</f>
        <v>Computers</v>
      </c>
      <c r="E42" t="s">
        <v>19</v>
      </c>
      <c r="F42" t="s">
        <v>20</v>
      </c>
      <c r="G42" t="s">
        <v>35</v>
      </c>
      <c r="H42">
        <v>3</v>
      </c>
      <c r="I42">
        <v>65000</v>
      </c>
      <c r="J42" s="10">
        <v>0.05</v>
      </c>
      <c r="K42">
        <v>195000</v>
      </c>
      <c r="L42">
        <v>185250</v>
      </c>
      <c r="M42">
        <v>163800</v>
      </c>
      <c r="N42">
        <v>238</v>
      </c>
      <c r="O42">
        <v>986</v>
      </c>
      <c r="P42">
        <f>INDEX(Raw_product_master[Standard_Cost_Per_Unit],MATCH(Cleaned_Sales_data[[#This Row],[Product]],Raw_product_master[Product],0))</f>
        <v>54600</v>
      </c>
      <c r="Q42">
        <v>20226</v>
      </c>
      <c r="R42" s="11">
        <v>0.109182186234818</v>
      </c>
      <c r="S42" s="11">
        <f>INDEX(Raw_product_master[Target_Margin], MATCH(Cleaned_Sales_data[[#This Row],[Product]],Raw_product_master[Product], 0 ))</f>
        <v>0.12</v>
      </c>
      <c r="T42" t="str">
        <f>IF(Cleaned_Sales_data[[#This Row],[Profit]]&gt;0, "Profitable", "Loss")</f>
        <v>Profitable</v>
      </c>
      <c r="U42" t="str">
        <f>_xlfn.IFS(Cleaned_Sales_data[[#This Row],[Profit]]&gt;=10000, "High", Cleaned_Sales_data[[#This Row],[Profit]]&gt;=5000, "Medium", Cleaned_Sales_data[[#This Row],[Profit]]&gt;=0, "Low", Cleaned_Sales_data[[#This Row],[Profit]] &lt;0, "Loss")</f>
        <v>High</v>
      </c>
      <c r="V42" t="str">
        <f t="shared" si="0"/>
        <v>UnderPerforming</v>
      </c>
      <c r="W42" s="3">
        <v>45809</v>
      </c>
    </row>
    <row r="43" spans="1:23">
      <c r="A43" t="s">
        <v>225</v>
      </c>
      <c r="B43" s="3">
        <v>46184</v>
      </c>
      <c r="C43" t="s">
        <v>75</v>
      </c>
      <c r="D43" t="str">
        <f>INDEX(Raw_product_master[Category],MATCH(Cleaned_Sales_data[[#This Row],[Product]],Raw_product_master[Product],0))</f>
        <v>Computers</v>
      </c>
      <c r="E43" t="s">
        <v>25</v>
      </c>
      <c r="F43" t="s">
        <v>20</v>
      </c>
      <c r="G43" t="s">
        <v>35</v>
      </c>
      <c r="H43">
        <v>1</v>
      </c>
      <c r="I43">
        <v>65000</v>
      </c>
      <c r="J43" s="10">
        <v>0.2</v>
      </c>
      <c r="K43">
        <v>65000</v>
      </c>
      <c r="L43">
        <v>52000</v>
      </c>
      <c r="M43">
        <v>54600</v>
      </c>
      <c r="N43">
        <v>1480</v>
      </c>
      <c r="O43">
        <v>669</v>
      </c>
      <c r="P43">
        <f>INDEX(Raw_product_master[Standard_Cost_Per_Unit],MATCH(Cleaned_Sales_data[[#This Row],[Product]],Raw_product_master[Product],0))</f>
        <v>54600</v>
      </c>
      <c r="Q43">
        <v>-4749</v>
      </c>
      <c r="R43" s="11">
        <v>-9.1326923076923097E-2</v>
      </c>
      <c r="S43" s="11">
        <f>INDEX(Raw_product_master[Target_Margin], MATCH(Cleaned_Sales_data[[#This Row],[Product]],Raw_product_master[Product], 0 ))</f>
        <v>0.12</v>
      </c>
      <c r="T43" t="str">
        <f>IF(Cleaned_Sales_data[[#This Row],[Profit]]&gt;0, "Profitable", "Loss")</f>
        <v>Loss</v>
      </c>
      <c r="U43" t="str">
        <f>_xlfn.IFS(Cleaned_Sales_data[[#This Row],[Profit]]&gt;=10000, "High", Cleaned_Sales_data[[#This Row],[Profit]]&gt;=5000, "Medium", Cleaned_Sales_data[[#This Row],[Profit]]&gt;=0, "Low", Cleaned_Sales_data[[#This Row],[Profit]] &lt;0, "Loss")</f>
        <v>Loss</v>
      </c>
      <c r="V43" t="str">
        <f t="shared" si="0"/>
        <v>UnderPerforming</v>
      </c>
      <c r="W43" s="3">
        <v>46174</v>
      </c>
    </row>
    <row r="44" spans="1:23">
      <c r="A44" t="s">
        <v>226</v>
      </c>
      <c r="B44" s="3">
        <v>45717</v>
      </c>
      <c r="C44" t="s">
        <v>75</v>
      </c>
      <c r="D44" t="str">
        <f>INDEX(Raw_product_master[Category],MATCH(Cleaned_Sales_data[[#This Row],[Product]],Raw_product_master[Product],0))</f>
        <v>Computers</v>
      </c>
      <c r="E44" t="s">
        <v>34</v>
      </c>
      <c r="F44" t="s">
        <v>20</v>
      </c>
      <c r="G44" t="s">
        <v>35</v>
      </c>
      <c r="H44">
        <v>2</v>
      </c>
      <c r="I44">
        <v>65000</v>
      </c>
      <c r="J44" s="10">
        <v>0.15</v>
      </c>
      <c r="K44">
        <v>130000</v>
      </c>
      <c r="L44">
        <v>110500</v>
      </c>
      <c r="M44">
        <v>109200</v>
      </c>
      <c r="N44">
        <v>407</v>
      </c>
      <c r="O44">
        <v>1707</v>
      </c>
      <c r="P44">
        <f>INDEX(Raw_product_master[Standard_Cost_Per_Unit],MATCH(Cleaned_Sales_data[[#This Row],[Product]],Raw_product_master[Product],0))</f>
        <v>54600</v>
      </c>
      <c r="Q44">
        <v>-814</v>
      </c>
      <c r="R44" s="11">
        <v>-7.3665158371040698E-3</v>
      </c>
      <c r="S44" s="11">
        <f>INDEX(Raw_product_master[Target_Margin], MATCH(Cleaned_Sales_data[[#This Row],[Product]],Raw_product_master[Product], 0 ))</f>
        <v>0.12</v>
      </c>
      <c r="T44" t="str">
        <f>IF(Cleaned_Sales_data[[#This Row],[Profit]]&gt;0, "Profitable", "Loss")</f>
        <v>Loss</v>
      </c>
      <c r="U44" t="str">
        <f>_xlfn.IFS(Cleaned_Sales_data[[#This Row],[Profit]]&gt;=10000, "High", Cleaned_Sales_data[[#This Row],[Profit]]&gt;=5000, "Medium", Cleaned_Sales_data[[#This Row],[Profit]]&gt;=0, "Low", Cleaned_Sales_data[[#This Row],[Profit]] &lt;0, "Loss")</f>
        <v>Loss</v>
      </c>
      <c r="V44" t="str">
        <f t="shared" si="0"/>
        <v>UnderPerforming</v>
      </c>
      <c r="W44" s="3">
        <v>45717</v>
      </c>
    </row>
    <row r="45" spans="1:23">
      <c r="A45" t="s">
        <v>228</v>
      </c>
      <c r="B45" s="3">
        <v>45810</v>
      </c>
      <c r="C45" t="s">
        <v>46</v>
      </c>
      <c r="D45" t="str">
        <f>INDEX(Raw_product_master[Category],MATCH(Cleaned_Sales_data[[#This Row],[Product]],Raw_product_master[Product],0))</f>
        <v>Office Equipment</v>
      </c>
      <c r="E45" t="s">
        <v>34</v>
      </c>
      <c r="F45" t="s">
        <v>20</v>
      </c>
      <c r="G45" t="s">
        <v>35</v>
      </c>
      <c r="H45">
        <v>2</v>
      </c>
      <c r="I45">
        <v>18000</v>
      </c>
      <c r="J45" s="10">
        <v>0.08</v>
      </c>
      <c r="K45">
        <v>36000</v>
      </c>
      <c r="L45">
        <v>33120</v>
      </c>
      <c r="M45">
        <v>28800</v>
      </c>
      <c r="N45">
        <v>1781</v>
      </c>
      <c r="O45">
        <v>626</v>
      </c>
      <c r="P45">
        <f>INDEX(Raw_product_master[Standard_Cost_Per_Unit],MATCH(Cleaned_Sales_data[[#This Row],[Product]],Raw_product_master[Product],0))</f>
        <v>14400</v>
      </c>
      <c r="Q45">
        <v>1913</v>
      </c>
      <c r="R45" s="11">
        <v>5.77596618357488E-2</v>
      </c>
      <c r="S45" s="11">
        <f>INDEX(Raw_product_master[Target_Margin], MATCH(Cleaned_Sales_data[[#This Row],[Product]],Raw_product_master[Product], 0 ))</f>
        <v>0.15</v>
      </c>
      <c r="T45" t="str">
        <f>IF(Cleaned_Sales_data[[#This Row],[Profit]]&gt;0, "Profitable", "Loss")</f>
        <v>Profitable</v>
      </c>
      <c r="U45" t="str">
        <f>_xlfn.IFS(Cleaned_Sales_data[[#This Row],[Profit]]&gt;=10000, "High", Cleaned_Sales_data[[#This Row],[Profit]]&gt;=5000, "Medium", Cleaned_Sales_data[[#This Row],[Profit]]&gt;=0, "Low", Cleaned_Sales_data[[#This Row],[Profit]] &lt;0, "Loss")</f>
        <v>Low</v>
      </c>
      <c r="V45" t="str">
        <f t="shared" si="0"/>
        <v>UnderPerforming</v>
      </c>
      <c r="W45" s="3">
        <v>45809</v>
      </c>
    </row>
    <row r="46" spans="1:23">
      <c r="A46" t="s">
        <v>233</v>
      </c>
      <c r="B46" s="3">
        <v>45773</v>
      </c>
      <c r="C46" t="s">
        <v>30</v>
      </c>
      <c r="D46" t="str">
        <f>INDEX(Raw_product_master[Category],MATCH(Cleaned_Sales_data[[#This Row],[Product]],Raw_product_master[Product],0))</f>
        <v>Displays</v>
      </c>
      <c r="E46" t="s">
        <v>25</v>
      </c>
      <c r="F46" t="s">
        <v>20</v>
      </c>
      <c r="G46" t="s">
        <v>35</v>
      </c>
      <c r="H46">
        <v>2</v>
      </c>
      <c r="I46">
        <v>28000</v>
      </c>
      <c r="J46" s="10">
        <v>0.05</v>
      </c>
      <c r="K46">
        <v>56000</v>
      </c>
      <c r="L46">
        <v>53200</v>
      </c>
      <c r="M46">
        <v>43680</v>
      </c>
      <c r="N46">
        <v>201</v>
      </c>
      <c r="O46">
        <v>2372</v>
      </c>
      <c r="P46">
        <f>INDEX(Raw_product_master[Standard_Cost_Per_Unit],MATCH(Cleaned_Sales_data[[#This Row],[Product]],Raw_product_master[Product],0))</f>
        <v>21840</v>
      </c>
      <c r="Q46">
        <v>6947</v>
      </c>
      <c r="R46" s="11">
        <v>0.13058270676691699</v>
      </c>
      <c r="S46" s="11">
        <f>INDEX(Raw_product_master[Target_Margin], MATCH(Cleaned_Sales_data[[#This Row],[Product]],Raw_product_master[Product], 0 ))</f>
        <v>0.18</v>
      </c>
      <c r="T46" t="str">
        <f>IF(Cleaned_Sales_data[[#This Row],[Profit]]&gt;0, "Profitable", "Loss")</f>
        <v>Profitable</v>
      </c>
      <c r="U46" t="str">
        <f>_xlfn.IFS(Cleaned_Sales_data[[#This Row],[Profit]]&gt;=10000, "High", Cleaned_Sales_data[[#This Row],[Profit]]&gt;=5000, "Medium", Cleaned_Sales_data[[#This Row],[Profit]]&gt;=0, "Low", Cleaned_Sales_data[[#This Row],[Profit]] &lt;0, "Loss")</f>
        <v>Medium</v>
      </c>
      <c r="V46" t="str">
        <f t="shared" si="0"/>
        <v>UnderPerforming</v>
      </c>
      <c r="W46" s="3">
        <v>45748</v>
      </c>
    </row>
    <row r="47" spans="1:23">
      <c r="A47" t="s">
        <v>238</v>
      </c>
      <c r="B47" s="3">
        <v>45804</v>
      </c>
      <c r="C47" t="s">
        <v>53</v>
      </c>
      <c r="D47" t="str">
        <f>INDEX(Raw_product_master[Category],MATCH(Cleaned_Sales_data[[#This Row],[Product]],Raw_product_master[Product],0))</f>
        <v>Accessories</v>
      </c>
      <c r="E47" t="s">
        <v>34</v>
      </c>
      <c r="F47" t="s">
        <v>20</v>
      </c>
      <c r="G47" t="s">
        <v>35</v>
      </c>
      <c r="H47">
        <v>5</v>
      </c>
      <c r="I47">
        <v>1500</v>
      </c>
      <c r="J47" s="10">
        <v>0.05</v>
      </c>
      <c r="K47">
        <v>7500</v>
      </c>
      <c r="L47">
        <v>7125</v>
      </c>
      <c r="M47">
        <v>4125</v>
      </c>
      <c r="N47">
        <v>1466</v>
      </c>
      <c r="O47">
        <v>2269</v>
      </c>
      <c r="P47">
        <f>INDEX(Raw_product_master[Standard_Cost_Per_Unit],MATCH(Cleaned_Sales_data[[#This Row],[Product]],Raw_product_master[Product],0))</f>
        <v>825</v>
      </c>
      <c r="Q47">
        <v>-735</v>
      </c>
      <c r="R47" s="11">
        <v>-0.103157894736842</v>
      </c>
      <c r="S47" s="11">
        <f>INDEX(Raw_product_master[Target_Margin], MATCH(Cleaned_Sales_data[[#This Row],[Product]],Raw_product_master[Product], 0 ))</f>
        <v>0.3</v>
      </c>
      <c r="T47" t="str">
        <f>IF(Cleaned_Sales_data[[#This Row],[Profit]]&gt;0, "Profitable", "Loss")</f>
        <v>Loss</v>
      </c>
      <c r="U47" t="str">
        <f>_xlfn.IFS(Cleaned_Sales_data[[#This Row],[Profit]]&gt;=10000, "High", Cleaned_Sales_data[[#This Row],[Profit]]&gt;=5000, "Medium", Cleaned_Sales_data[[#This Row],[Profit]]&gt;=0, "Low", Cleaned_Sales_data[[#This Row],[Profit]] &lt;0, "Loss")</f>
        <v>Loss</v>
      </c>
      <c r="V47" t="str">
        <f t="shared" si="0"/>
        <v>UnderPerforming</v>
      </c>
      <c r="W47" s="3">
        <v>45778</v>
      </c>
    </row>
    <row r="48" spans="1:23">
      <c r="A48" t="s">
        <v>239</v>
      </c>
      <c r="B48" s="3">
        <v>46009</v>
      </c>
      <c r="C48" t="s">
        <v>18</v>
      </c>
      <c r="D48" t="str">
        <f>INDEX(Raw_product_master[Category],MATCH(Cleaned_Sales_data[[#This Row],[Product]],Raw_product_master[Product],0))</f>
        <v>Computers</v>
      </c>
      <c r="E48" t="s">
        <v>63</v>
      </c>
      <c r="F48" t="s">
        <v>20</v>
      </c>
      <c r="G48" t="s">
        <v>35</v>
      </c>
      <c r="H48">
        <v>1</v>
      </c>
      <c r="I48">
        <v>32000</v>
      </c>
      <c r="J48" s="10">
        <v>0.08</v>
      </c>
      <c r="K48">
        <v>32000</v>
      </c>
      <c r="L48">
        <v>29440</v>
      </c>
      <c r="M48">
        <v>26240</v>
      </c>
      <c r="N48">
        <v>506</v>
      </c>
      <c r="O48">
        <v>2089</v>
      </c>
      <c r="P48">
        <f>INDEX(Raw_product_master[Standard_Cost_Per_Unit],MATCH(Cleaned_Sales_data[[#This Row],[Product]],Raw_product_master[Product],0))</f>
        <v>26240</v>
      </c>
      <c r="Q48">
        <v>605</v>
      </c>
      <c r="R48" s="11">
        <v>2.0550271739130401E-2</v>
      </c>
      <c r="S48" s="11">
        <f>INDEX(Raw_product_master[Target_Margin], MATCH(Cleaned_Sales_data[[#This Row],[Product]],Raw_product_master[Product], 0 ))</f>
        <v>0.12</v>
      </c>
      <c r="T48" t="str">
        <f>IF(Cleaned_Sales_data[[#This Row],[Profit]]&gt;0, "Profitable", "Loss")</f>
        <v>Profitable</v>
      </c>
      <c r="U48" t="str">
        <f>_xlfn.IFS(Cleaned_Sales_data[[#This Row],[Profit]]&gt;=10000, "High", Cleaned_Sales_data[[#This Row],[Profit]]&gt;=5000, "Medium", Cleaned_Sales_data[[#This Row],[Profit]]&gt;=0, "Low", Cleaned_Sales_data[[#This Row],[Profit]] &lt;0, "Loss")</f>
        <v>Low</v>
      </c>
      <c r="V48" t="str">
        <f t="shared" si="0"/>
        <v>UnderPerforming</v>
      </c>
      <c r="W48" s="3">
        <v>45992</v>
      </c>
    </row>
    <row r="49" spans="1:23">
      <c r="A49" t="s">
        <v>249</v>
      </c>
      <c r="B49" s="3">
        <v>45813</v>
      </c>
      <c r="C49" t="s">
        <v>53</v>
      </c>
      <c r="D49" t="str">
        <f>INDEX(Raw_product_master[Category],MATCH(Cleaned_Sales_data[[#This Row],[Product]],Raw_product_master[Product],0))</f>
        <v>Accessories</v>
      </c>
      <c r="E49" t="s">
        <v>34</v>
      </c>
      <c r="F49" t="s">
        <v>20</v>
      </c>
      <c r="G49" t="s">
        <v>35</v>
      </c>
      <c r="H49">
        <v>5</v>
      </c>
      <c r="I49">
        <v>1500</v>
      </c>
      <c r="J49" s="10">
        <v>0.1</v>
      </c>
      <c r="K49">
        <v>7500</v>
      </c>
      <c r="L49">
        <v>6750</v>
      </c>
      <c r="M49">
        <v>4125</v>
      </c>
      <c r="N49">
        <v>1779</v>
      </c>
      <c r="O49">
        <v>1947</v>
      </c>
      <c r="P49">
        <f>INDEX(Raw_product_master[Standard_Cost_Per_Unit],MATCH(Cleaned_Sales_data[[#This Row],[Product]],Raw_product_master[Product],0))</f>
        <v>825</v>
      </c>
      <c r="Q49">
        <v>-1101</v>
      </c>
      <c r="R49" s="11">
        <v>-0.16311111111111101</v>
      </c>
      <c r="S49" s="11">
        <f>INDEX(Raw_product_master[Target_Margin], MATCH(Cleaned_Sales_data[[#This Row],[Product]],Raw_product_master[Product], 0 ))</f>
        <v>0.3</v>
      </c>
      <c r="T49" t="str">
        <f>IF(Cleaned_Sales_data[[#This Row],[Profit]]&gt;0, "Profitable", "Loss")</f>
        <v>Loss</v>
      </c>
      <c r="U49" t="str">
        <f>_xlfn.IFS(Cleaned_Sales_data[[#This Row],[Profit]]&gt;=10000, "High", Cleaned_Sales_data[[#This Row],[Profit]]&gt;=5000, "Medium", Cleaned_Sales_data[[#This Row],[Profit]]&gt;=0, "Low", Cleaned_Sales_data[[#This Row],[Profit]] &lt;0, "Loss")</f>
        <v>Loss</v>
      </c>
      <c r="V49" t="str">
        <f t="shared" si="0"/>
        <v>UnderPerforming</v>
      </c>
      <c r="W49" s="3">
        <v>45809</v>
      </c>
    </row>
    <row r="50" spans="1:23">
      <c r="A50" t="s">
        <v>250</v>
      </c>
      <c r="B50" s="3">
        <v>45677</v>
      </c>
      <c r="C50" t="s">
        <v>30</v>
      </c>
      <c r="D50" t="str">
        <f>INDEX(Raw_product_master[Category],MATCH(Cleaned_Sales_data[[#This Row],[Product]],Raw_product_master[Product],0))</f>
        <v>Displays</v>
      </c>
      <c r="E50" t="s">
        <v>25</v>
      </c>
      <c r="F50" t="s">
        <v>20</v>
      </c>
      <c r="G50" t="s">
        <v>35</v>
      </c>
      <c r="H50">
        <v>2</v>
      </c>
      <c r="I50">
        <v>28000</v>
      </c>
      <c r="J50" s="10">
        <v>0</v>
      </c>
      <c r="K50">
        <v>56000</v>
      </c>
      <c r="L50">
        <v>56000</v>
      </c>
      <c r="M50">
        <v>43680</v>
      </c>
      <c r="N50">
        <v>710</v>
      </c>
      <c r="O50">
        <v>1416</v>
      </c>
      <c r="P50">
        <f>INDEX(Raw_product_master[Standard_Cost_Per_Unit],MATCH(Cleaned_Sales_data[[#This Row],[Product]],Raw_product_master[Product],0))</f>
        <v>21840</v>
      </c>
      <c r="Q50">
        <v>10194</v>
      </c>
      <c r="R50" s="11">
        <v>0.182035714285714</v>
      </c>
      <c r="S50" s="11">
        <f>INDEX(Raw_product_master[Target_Margin], MATCH(Cleaned_Sales_data[[#This Row],[Product]],Raw_product_master[Product], 0 ))</f>
        <v>0.18</v>
      </c>
      <c r="T50" t="str">
        <f>IF(Cleaned_Sales_data[[#This Row],[Profit]]&gt;0, "Profitable", "Loss")</f>
        <v>Profitable</v>
      </c>
      <c r="U50" t="str">
        <f>_xlfn.IFS(Cleaned_Sales_data[[#This Row],[Profit]]&gt;=10000, "High", Cleaned_Sales_data[[#This Row],[Profit]]&gt;=5000, "Medium", Cleaned_Sales_data[[#This Row],[Profit]]&gt;=0, "Low", Cleaned_Sales_data[[#This Row],[Profit]] &lt;0, "Loss")</f>
        <v>High</v>
      </c>
      <c r="V50" t="str">
        <f t="shared" si="0"/>
        <v>On Target</v>
      </c>
      <c r="W50" s="3">
        <v>45658</v>
      </c>
    </row>
    <row r="51" spans="1:23">
      <c r="A51" t="s">
        <v>254</v>
      </c>
      <c r="B51" s="3">
        <v>45850</v>
      </c>
      <c r="C51" t="s">
        <v>24</v>
      </c>
      <c r="D51" t="str">
        <f>INDEX(Raw_product_master[Category],MATCH(Cleaned_Sales_data[[#This Row],[Product]],Raw_product_master[Product],0))</f>
        <v>Accessories</v>
      </c>
      <c r="E51" t="s">
        <v>25</v>
      </c>
      <c r="F51" t="s">
        <v>20</v>
      </c>
      <c r="G51" t="s">
        <v>35</v>
      </c>
      <c r="H51">
        <v>6</v>
      </c>
      <c r="I51">
        <v>3500</v>
      </c>
      <c r="J51" s="10">
        <v>0.15</v>
      </c>
      <c r="K51">
        <v>21000</v>
      </c>
      <c r="L51">
        <v>17850</v>
      </c>
      <c r="M51">
        <v>14280</v>
      </c>
      <c r="N51">
        <v>285</v>
      </c>
      <c r="O51">
        <v>1298</v>
      </c>
      <c r="P51">
        <f>INDEX(Raw_product_master[Standard_Cost_Per_Unit],MATCH(Cleaned_Sales_data[[#This Row],[Product]],Raw_product_master[Product],0))</f>
        <v>2380</v>
      </c>
      <c r="Q51">
        <v>1987</v>
      </c>
      <c r="R51" s="11">
        <v>0.11131652661064401</v>
      </c>
      <c r="S51" s="11">
        <f>INDEX(Raw_product_master[Target_Margin], MATCH(Cleaned_Sales_data[[#This Row],[Product]],Raw_product_master[Product], 0 ))</f>
        <v>0.2</v>
      </c>
      <c r="T51" t="str">
        <f>IF(Cleaned_Sales_data[[#This Row],[Profit]]&gt;0, "Profitable", "Loss")</f>
        <v>Profitable</v>
      </c>
      <c r="U51" t="str">
        <f>_xlfn.IFS(Cleaned_Sales_data[[#This Row],[Profit]]&gt;=10000, "High", Cleaned_Sales_data[[#This Row],[Profit]]&gt;=5000, "Medium", Cleaned_Sales_data[[#This Row],[Profit]]&gt;=0, "Low", Cleaned_Sales_data[[#This Row],[Profit]] &lt;0, "Loss")</f>
        <v>Low</v>
      </c>
      <c r="V51" t="str">
        <f t="shared" si="0"/>
        <v>UnderPerforming</v>
      </c>
      <c r="W51" s="3">
        <v>45839</v>
      </c>
    </row>
    <row r="52" spans="1:23">
      <c r="A52" t="s">
        <v>258</v>
      </c>
      <c r="B52" s="3">
        <v>46022</v>
      </c>
      <c r="C52" t="s">
        <v>61</v>
      </c>
      <c r="D52" t="str">
        <f>INDEX(Raw_product_master[Category],MATCH(Cleaned_Sales_data[[#This Row],[Product]],Raw_product_master[Product],0))</f>
        <v>Accessories</v>
      </c>
      <c r="E52" t="s">
        <v>19</v>
      </c>
      <c r="F52" t="s">
        <v>20</v>
      </c>
      <c r="G52" t="s">
        <v>35</v>
      </c>
      <c r="H52">
        <v>2</v>
      </c>
      <c r="I52">
        <v>4500</v>
      </c>
      <c r="J52" s="10">
        <v>0.1</v>
      </c>
      <c r="K52">
        <v>9000</v>
      </c>
      <c r="L52">
        <v>8100</v>
      </c>
      <c r="M52">
        <v>5850</v>
      </c>
      <c r="N52">
        <v>1200</v>
      </c>
      <c r="O52">
        <v>950</v>
      </c>
      <c r="P52">
        <f>INDEX(Raw_product_master[Standard_Cost_Per_Unit],MATCH(Cleaned_Sales_data[[#This Row],[Product]],Raw_product_master[Product],0))</f>
        <v>2925</v>
      </c>
      <c r="Q52">
        <v>100</v>
      </c>
      <c r="R52" s="11">
        <v>1.2345679012345699E-2</v>
      </c>
      <c r="S52" s="11">
        <f>INDEX(Raw_product_master[Target_Margin], MATCH(Cleaned_Sales_data[[#This Row],[Product]],Raw_product_master[Product], 0 ))</f>
        <v>0.22</v>
      </c>
      <c r="T52" t="str">
        <f>IF(Cleaned_Sales_data[[#This Row],[Profit]]&gt;0, "Profitable", "Loss")</f>
        <v>Profitable</v>
      </c>
      <c r="U52" t="str">
        <f>_xlfn.IFS(Cleaned_Sales_data[[#This Row],[Profit]]&gt;=10000, "High", Cleaned_Sales_data[[#This Row],[Profit]]&gt;=5000, "Medium", Cleaned_Sales_data[[#This Row],[Profit]]&gt;=0, "Low", Cleaned_Sales_data[[#This Row],[Profit]] &lt;0, "Loss")</f>
        <v>Low</v>
      </c>
      <c r="V52" t="str">
        <f t="shared" si="0"/>
        <v>UnderPerforming</v>
      </c>
      <c r="W52" s="3">
        <v>45992</v>
      </c>
    </row>
    <row r="53" spans="1:23">
      <c r="A53" t="s">
        <v>261</v>
      </c>
      <c r="B53" s="3">
        <v>45985</v>
      </c>
      <c r="C53" t="s">
        <v>61</v>
      </c>
      <c r="D53" t="str">
        <f>INDEX(Raw_product_master[Category],MATCH(Cleaned_Sales_data[[#This Row],[Product]],Raw_product_master[Product],0))</f>
        <v>Accessories</v>
      </c>
      <c r="E53" t="s">
        <v>25</v>
      </c>
      <c r="F53" t="s">
        <v>20</v>
      </c>
      <c r="G53" t="s">
        <v>35</v>
      </c>
      <c r="H53">
        <v>2</v>
      </c>
      <c r="I53">
        <v>4500</v>
      </c>
      <c r="J53" s="10">
        <v>0.1</v>
      </c>
      <c r="K53">
        <v>9000</v>
      </c>
      <c r="L53">
        <v>8100</v>
      </c>
      <c r="M53">
        <v>5850</v>
      </c>
      <c r="N53">
        <v>1226</v>
      </c>
      <c r="O53">
        <v>2232</v>
      </c>
      <c r="P53">
        <f>INDEX(Raw_product_master[Standard_Cost_Per_Unit],MATCH(Cleaned_Sales_data[[#This Row],[Product]],Raw_product_master[Product],0))</f>
        <v>2925</v>
      </c>
      <c r="Q53">
        <v>-1208</v>
      </c>
      <c r="R53" s="11">
        <v>-0.14913580246913599</v>
      </c>
      <c r="S53" s="11">
        <f>INDEX(Raw_product_master[Target_Margin], MATCH(Cleaned_Sales_data[[#This Row],[Product]],Raw_product_master[Product], 0 ))</f>
        <v>0.22</v>
      </c>
      <c r="T53" t="str">
        <f>IF(Cleaned_Sales_data[[#This Row],[Profit]]&gt;0, "Profitable", "Loss")</f>
        <v>Loss</v>
      </c>
      <c r="U53" t="str">
        <f>_xlfn.IFS(Cleaned_Sales_data[[#This Row],[Profit]]&gt;=10000, "High", Cleaned_Sales_data[[#This Row],[Profit]]&gt;=5000, "Medium", Cleaned_Sales_data[[#This Row],[Profit]]&gt;=0, "Low", Cleaned_Sales_data[[#This Row],[Profit]] &lt;0, "Loss")</f>
        <v>Loss</v>
      </c>
      <c r="V53" t="str">
        <f t="shared" si="0"/>
        <v>UnderPerforming</v>
      </c>
      <c r="W53" s="3">
        <v>45962</v>
      </c>
    </row>
    <row r="54" spans="1:23">
      <c r="A54" t="s">
        <v>270</v>
      </c>
      <c r="B54" s="3">
        <v>45706</v>
      </c>
      <c r="C54" t="s">
        <v>75</v>
      </c>
      <c r="D54" t="str">
        <f>INDEX(Raw_product_master[Category],MATCH(Cleaned_Sales_data[[#This Row],[Product]],Raw_product_master[Product],0))</f>
        <v>Computers</v>
      </c>
      <c r="E54" t="s">
        <v>25</v>
      </c>
      <c r="F54" t="s">
        <v>20</v>
      </c>
      <c r="G54" t="s">
        <v>35</v>
      </c>
      <c r="H54">
        <v>1</v>
      </c>
      <c r="I54">
        <v>65000</v>
      </c>
      <c r="J54" s="10">
        <v>0.15</v>
      </c>
      <c r="K54">
        <v>65000</v>
      </c>
      <c r="L54">
        <v>55250</v>
      </c>
      <c r="M54">
        <v>54600</v>
      </c>
      <c r="N54">
        <v>351</v>
      </c>
      <c r="O54">
        <v>819</v>
      </c>
      <c r="P54">
        <f>INDEX(Raw_product_master[Standard_Cost_Per_Unit],MATCH(Cleaned_Sales_data[[#This Row],[Product]],Raw_product_master[Product],0))</f>
        <v>54600</v>
      </c>
      <c r="Q54">
        <v>-520</v>
      </c>
      <c r="R54" s="11">
        <v>-9.4117647058823504E-3</v>
      </c>
      <c r="S54" s="11">
        <f>INDEX(Raw_product_master[Target_Margin], MATCH(Cleaned_Sales_data[[#This Row],[Product]],Raw_product_master[Product], 0 ))</f>
        <v>0.12</v>
      </c>
      <c r="T54" t="str">
        <f>IF(Cleaned_Sales_data[[#This Row],[Profit]]&gt;0, "Profitable", "Loss")</f>
        <v>Loss</v>
      </c>
      <c r="U54" t="str">
        <f>_xlfn.IFS(Cleaned_Sales_data[[#This Row],[Profit]]&gt;=10000, "High", Cleaned_Sales_data[[#This Row],[Profit]]&gt;=5000, "Medium", Cleaned_Sales_data[[#This Row],[Profit]]&gt;=0, "Low", Cleaned_Sales_data[[#This Row],[Profit]] &lt;0, "Loss")</f>
        <v>Loss</v>
      </c>
      <c r="V54" t="str">
        <f t="shared" si="0"/>
        <v>UnderPerforming</v>
      </c>
      <c r="W54" s="3">
        <v>45689</v>
      </c>
    </row>
    <row r="55" spans="1:23">
      <c r="A55" t="s">
        <v>271</v>
      </c>
      <c r="B55" s="3">
        <v>46096</v>
      </c>
      <c r="C55" t="s">
        <v>46</v>
      </c>
      <c r="D55" t="str">
        <f>INDEX(Raw_product_master[Category],MATCH(Cleaned_Sales_data[[#This Row],[Product]],Raw_product_master[Product],0))</f>
        <v>Office Equipment</v>
      </c>
      <c r="E55" t="s">
        <v>25</v>
      </c>
      <c r="F55" t="s">
        <v>20</v>
      </c>
      <c r="G55" t="s">
        <v>35</v>
      </c>
      <c r="H55">
        <v>3</v>
      </c>
      <c r="I55">
        <v>18000</v>
      </c>
      <c r="J55" s="10">
        <v>0.15</v>
      </c>
      <c r="K55">
        <v>54000</v>
      </c>
      <c r="L55">
        <v>45900</v>
      </c>
      <c r="M55">
        <v>43200</v>
      </c>
      <c r="N55">
        <v>1390</v>
      </c>
      <c r="O55">
        <v>245</v>
      </c>
      <c r="P55">
        <f>INDEX(Raw_product_master[Standard_Cost_Per_Unit],MATCH(Cleaned_Sales_data[[#This Row],[Product]],Raw_product_master[Product],0))</f>
        <v>14400</v>
      </c>
      <c r="Q55">
        <v>1065</v>
      </c>
      <c r="R55" s="11">
        <v>2.3202614379084999E-2</v>
      </c>
      <c r="S55" s="11">
        <f>INDEX(Raw_product_master[Target_Margin], MATCH(Cleaned_Sales_data[[#This Row],[Product]],Raw_product_master[Product], 0 ))</f>
        <v>0.15</v>
      </c>
      <c r="T55" t="str">
        <f>IF(Cleaned_Sales_data[[#This Row],[Profit]]&gt;0, "Profitable", "Loss")</f>
        <v>Profitable</v>
      </c>
      <c r="U55" t="str">
        <f>_xlfn.IFS(Cleaned_Sales_data[[#This Row],[Profit]]&gt;=10000, "High", Cleaned_Sales_data[[#This Row],[Profit]]&gt;=5000, "Medium", Cleaned_Sales_data[[#This Row],[Profit]]&gt;=0, "Low", Cleaned_Sales_data[[#This Row],[Profit]] &lt;0, "Loss")</f>
        <v>Low</v>
      </c>
      <c r="V55" t="str">
        <f t="shared" si="0"/>
        <v>UnderPerforming</v>
      </c>
      <c r="W55" s="3">
        <v>46082</v>
      </c>
    </row>
    <row r="56" spans="1:23">
      <c r="A56" t="s">
        <v>282</v>
      </c>
      <c r="B56" s="3">
        <v>46117</v>
      </c>
      <c r="C56" t="s">
        <v>61</v>
      </c>
      <c r="D56" t="str">
        <f>INDEX(Raw_product_master[Category],MATCH(Cleaned_Sales_data[[#This Row],[Product]],Raw_product_master[Product],0))</f>
        <v>Accessories</v>
      </c>
      <c r="E56" t="s">
        <v>34</v>
      </c>
      <c r="F56" t="s">
        <v>20</v>
      </c>
      <c r="G56" t="s">
        <v>35</v>
      </c>
      <c r="H56">
        <v>2</v>
      </c>
      <c r="I56">
        <v>4500</v>
      </c>
      <c r="J56" s="10">
        <v>0.1</v>
      </c>
      <c r="K56">
        <v>9000</v>
      </c>
      <c r="L56">
        <v>8100</v>
      </c>
      <c r="M56">
        <v>5850</v>
      </c>
      <c r="N56">
        <v>999</v>
      </c>
      <c r="O56">
        <v>1284</v>
      </c>
      <c r="P56">
        <f>INDEX(Raw_product_master[Standard_Cost_Per_Unit],MATCH(Cleaned_Sales_data[[#This Row],[Product]],Raw_product_master[Product],0))</f>
        <v>2925</v>
      </c>
      <c r="Q56">
        <v>-33</v>
      </c>
      <c r="R56" s="11">
        <v>-4.0740740740740702E-3</v>
      </c>
      <c r="S56" s="11">
        <f>INDEX(Raw_product_master[Target_Margin], MATCH(Cleaned_Sales_data[[#This Row],[Product]],Raw_product_master[Product], 0 ))</f>
        <v>0.22</v>
      </c>
      <c r="T56" t="str">
        <f>IF(Cleaned_Sales_data[[#This Row],[Profit]]&gt;0, "Profitable", "Loss")</f>
        <v>Loss</v>
      </c>
      <c r="U56" t="str">
        <f>_xlfn.IFS(Cleaned_Sales_data[[#This Row],[Profit]]&gt;=10000, "High", Cleaned_Sales_data[[#This Row],[Profit]]&gt;=5000, "Medium", Cleaned_Sales_data[[#This Row],[Profit]]&gt;=0, "Low", Cleaned_Sales_data[[#This Row],[Profit]] &lt;0, "Loss")</f>
        <v>Loss</v>
      </c>
      <c r="V56" t="str">
        <f t="shared" si="0"/>
        <v>UnderPerforming</v>
      </c>
      <c r="W56" s="3">
        <v>46113</v>
      </c>
    </row>
    <row r="57" spans="1:23">
      <c r="A57" t="s">
        <v>283</v>
      </c>
      <c r="B57" s="3">
        <v>46018</v>
      </c>
      <c r="C57" t="s">
        <v>53</v>
      </c>
      <c r="D57" t="str">
        <f>INDEX(Raw_product_master[Category],MATCH(Cleaned_Sales_data[[#This Row],[Product]],Raw_product_master[Product],0))</f>
        <v>Accessories</v>
      </c>
      <c r="E57" t="s">
        <v>51</v>
      </c>
      <c r="F57" t="s">
        <v>20</v>
      </c>
      <c r="G57" t="s">
        <v>35</v>
      </c>
      <c r="H57">
        <v>1</v>
      </c>
      <c r="I57">
        <v>1500</v>
      </c>
      <c r="J57" s="10">
        <v>0.03</v>
      </c>
      <c r="K57">
        <v>1500</v>
      </c>
      <c r="L57">
        <v>1455</v>
      </c>
      <c r="M57">
        <v>825</v>
      </c>
      <c r="N57">
        <v>948</v>
      </c>
      <c r="O57">
        <v>1701</v>
      </c>
      <c r="P57">
        <f>INDEX(Raw_product_master[Standard_Cost_Per_Unit],MATCH(Cleaned_Sales_data[[#This Row],[Product]],Raw_product_master[Product],0))</f>
        <v>825</v>
      </c>
      <c r="Q57">
        <v>-2019</v>
      </c>
      <c r="R57" s="11">
        <v>-1.3876288659793801</v>
      </c>
      <c r="S57" s="11">
        <f>INDEX(Raw_product_master[Target_Margin], MATCH(Cleaned_Sales_data[[#This Row],[Product]],Raw_product_master[Product], 0 ))</f>
        <v>0.3</v>
      </c>
      <c r="T57" t="str">
        <f>IF(Cleaned_Sales_data[[#This Row],[Profit]]&gt;0, "Profitable", "Loss")</f>
        <v>Loss</v>
      </c>
      <c r="U57" t="str">
        <f>_xlfn.IFS(Cleaned_Sales_data[[#This Row],[Profit]]&gt;=10000, "High", Cleaned_Sales_data[[#This Row],[Profit]]&gt;=5000, "Medium", Cleaned_Sales_data[[#This Row],[Profit]]&gt;=0, "Low", Cleaned_Sales_data[[#This Row],[Profit]] &lt;0, "Loss")</f>
        <v>Loss</v>
      </c>
      <c r="V57" t="str">
        <f t="shared" si="0"/>
        <v>UnderPerforming</v>
      </c>
      <c r="W57" s="3">
        <v>45992</v>
      </c>
    </row>
    <row r="58" spans="1:23">
      <c r="A58" t="s">
        <v>286</v>
      </c>
      <c r="B58" s="3">
        <v>46119</v>
      </c>
      <c r="C58" t="s">
        <v>30</v>
      </c>
      <c r="D58" t="str">
        <f>INDEX(Raw_product_master[Category],MATCH(Cleaned_Sales_data[[#This Row],[Product]],Raw_product_master[Product],0))</f>
        <v>Displays</v>
      </c>
      <c r="E58" t="s">
        <v>34</v>
      </c>
      <c r="F58" t="s">
        <v>20</v>
      </c>
      <c r="G58" t="s">
        <v>35</v>
      </c>
      <c r="H58">
        <v>1</v>
      </c>
      <c r="I58">
        <v>28000</v>
      </c>
      <c r="J58" s="10">
        <v>0.05</v>
      </c>
      <c r="K58">
        <v>28000</v>
      </c>
      <c r="L58">
        <v>26600</v>
      </c>
      <c r="M58">
        <v>21840</v>
      </c>
      <c r="N58">
        <v>1439</v>
      </c>
      <c r="O58">
        <v>1793</v>
      </c>
      <c r="P58">
        <f>INDEX(Raw_product_master[Standard_Cost_Per_Unit],MATCH(Cleaned_Sales_data[[#This Row],[Product]],Raw_product_master[Product],0))</f>
        <v>21840</v>
      </c>
      <c r="Q58">
        <v>1528</v>
      </c>
      <c r="R58" s="11">
        <v>5.7443609022556401E-2</v>
      </c>
      <c r="S58" s="11">
        <f>INDEX(Raw_product_master[Target_Margin], MATCH(Cleaned_Sales_data[[#This Row],[Product]],Raw_product_master[Product], 0 ))</f>
        <v>0.18</v>
      </c>
      <c r="T58" t="str">
        <f>IF(Cleaned_Sales_data[[#This Row],[Profit]]&gt;0, "Profitable", "Loss")</f>
        <v>Profitable</v>
      </c>
      <c r="U58" t="str">
        <f>_xlfn.IFS(Cleaned_Sales_data[[#This Row],[Profit]]&gt;=10000, "High", Cleaned_Sales_data[[#This Row],[Profit]]&gt;=5000, "Medium", Cleaned_Sales_data[[#This Row],[Profit]]&gt;=0, "Low", Cleaned_Sales_data[[#This Row],[Profit]] &lt;0, "Loss")</f>
        <v>Low</v>
      </c>
      <c r="V58" t="str">
        <f t="shared" si="0"/>
        <v>UnderPerforming</v>
      </c>
      <c r="W58" s="3">
        <v>46113</v>
      </c>
    </row>
    <row r="59" spans="1:23">
      <c r="A59" t="s">
        <v>289</v>
      </c>
      <c r="B59" s="3">
        <v>45682</v>
      </c>
      <c r="C59" t="s">
        <v>61</v>
      </c>
      <c r="D59" t="str">
        <f>INDEX(Raw_product_master[Category],MATCH(Cleaned_Sales_data[[#This Row],[Product]],Raw_product_master[Product],0))</f>
        <v>Accessories</v>
      </c>
      <c r="E59" t="s">
        <v>51</v>
      </c>
      <c r="F59" t="s">
        <v>20</v>
      </c>
      <c r="G59" t="s">
        <v>35</v>
      </c>
      <c r="H59">
        <v>5</v>
      </c>
      <c r="I59">
        <v>4500</v>
      </c>
      <c r="J59" s="10">
        <v>0.05</v>
      </c>
      <c r="K59">
        <v>22500</v>
      </c>
      <c r="L59">
        <v>21375</v>
      </c>
      <c r="M59">
        <v>14625</v>
      </c>
      <c r="N59">
        <v>682</v>
      </c>
      <c r="O59">
        <v>2060</v>
      </c>
      <c r="P59">
        <f>INDEX(Raw_product_master[Standard_Cost_Per_Unit],MATCH(Cleaned_Sales_data[[#This Row],[Product]],Raw_product_master[Product],0))</f>
        <v>2925</v>
      </c>
      <c r="Q59">
        <v>4008</v>
      </c>
      <c r="R59" s="11">
        <v>0.18750877192982501</v>
      </c>
      <c r="S59" s="11">
        <f>INDEX(Raw_product_master[Target_Margin], MATCH(Cleaned_Sales_data[[#This Row],[Product]],Raw_product_master[Product], 0 ))</f>
        <v>0.22</v>
      </c>
      <c r="T59" t="str">
        <f>IF(Cleaned_Sales_data[[#This Row],[Profit]]&gt;0, "Profitable", "Loss")</f>
        <v>Profitable</v>
      </c>
      <c r="U59" t="str">
        <f>_xlfn.IFS(Cleaned_Sales_data[[#This Row],[Profit]]&gt;=10000, "High", Cleaned_Sales_data[[#This Row],[Profit]]&gt;=5000, "Medium", Cleaned_Sales_data[[#This Row],[Profit]]&gt;=0, "Low", Cleaned_Sales_data[[#This Row],[Profit]] &lt;0, "Loss")</f>
        <v>Low</v>
      </c>
      <c r="V59" t="str">
        <f t="shared" si="0"/>
        <v>UnderPerforming</v>
      </c>
      <c r="W59" s="3">
        <v>45658</v>
      </c>
    </row>
    <row r="60" spans="1:23">
      <c r="A60" t="s">
        <v>293</v>
      </c>
      <c r="B60" s="3">
        <v>45986</v>
      </c>
      <c r="C60" t="s">
        <v>18</v>
      </c>
      <c r="D60" t="str">
        <f>INDEX(Raw_product_master[Category],MATCH(Cleaned_Sales_data[[#This Row],[Product]],Raw_product_master[Product],0))</f>
        <v>Computers</v>
      </c>
      <c r="E60" t="s">
        <v>31</v>
      </c>
      <c r="F60" t="s">
        <v>20</v>
      </c>
      <c r="G60" t="s">
        <v>35</v>
      </c>
      <c r="H60">
        <v>1</v>
      </c>
      <c r="I60">
        <v>32000</v>
      </c>
      <c r="J60" s="10">
        <v>0.05</v>
      </c>
      <c r="K60">
        <v>32000</v>
      </c>
      <c r="L60">
        <v>30400</v>
      </c>
      <c r="M60">
        <v>26240</v>
      </c>
      <c r="N60">
        <v>1322</v>
      </c>
      <c r="O60">
        <v>248</v>
      </c>
      <c r="P60">
        <f>INDEX(Raw_product_master[Standard_Cost_Per_Unit],MATCH(Cleaned_Sales_data[[#This Row],[Product]],Raw_product_master[Product],0))</f>
        <v>26240</v>
      </c>
      <c r="Q60">
        <v>2590</v>
      </c>
      <c r="R60" s="11">
        <v>8.5197368421052605E-2</v>
      </c>
      <c r="S60" s="11">
        <f>INDEX(Raw_product_master[Target_Margin], MATCH(Cleaned_Sales_data[[#This Row],[Product]],Raw_product_master[Product], 0 ))</f>
        <v>0.12</v>
      </c>
      <c r="T60" t="str">
        <f>IF(Cleaned_Sales_data[[#This Row],[Profit]]&gt;0, "Profitable", "Loss")</f>
        <v>Profitable</v>
      </c>
      <c r="U60" t="str">
        <f>_xlfn.IFS(Cleaned_Sales_data[[#This Row],[Profit]]&gt;=10000, "High", Cleaned_Sales_data[[#This Row],[Profit]]&gt;=5000, "Medium", Cleaned_Sales_data[[#This Row],[Profit]]&gt;=0, "Low", Cleaned_Sales_data[[#This Row],[Profit]] &lt;0, "Loss")</f>
        <v>Low</v>
      </c>
      <c r="V60" t="str">
        <f t="shared" si="0"/>
        <v>UnderPerforming</v>
      </c>
      <c r="W60" s="3">
        <v>45962</v>
      </c>
    </row>
    <row r="61" spans="1:23">
      <c r="A61" t="s">
        <v>296</v>
      </c>
      <c r="B61" s="3">
        <v>46043</v>
      </c>
      <c r="C61" t="s">
        <v>24</v>
      </c>
      <c r="D61" t="str">
        <f>INDEX(Raw_product_master[Category],MATCH(Cleaned_Sales_data[[#This Row],[Product]],Raw_product_master[Product],0))</f>
        <v>Accessories</v>
      </c>
      <c r="E61" t="s">
        <v>34</v>
      </c>
      <c r="F61" t="s">
        <v>20</v>
      </c>
      <c r="G61" t="s">
        <v>35</v>
      </c>
      <c r="H61">
        <v>5</v>
      </c>
      <c r="I61">
        <v>3500</v>
      </c>
      <c r="J61" s="10">
        <v>0.1</v>
      </c>
      <c r="K61">
        <v>17500</v>
      </c>
      <c r="L61">
        <v>15750</v>
      </c>
      <c r="M61">
        <v>11900</v>
      </c>
      <c r="N61">
        <v>709</v>
      </c>
      <c r="O61">
        <v>1306</v>
      </c>
      <c r="P61">
        <f>INDEX(Raw_product_master[Standard_Cost_Per_Unit],MATCH(Cleaned_Sales_data[[#This Row],[Product]],Raw_product_master[Product],0))</f>
        <v>2380</v>
      </c>
      <c r="Q61">
        <v>1835</v>
      </c>
      <c r="R61" s="11">
        <v>0.11650793650793601</v>
      </c>
      <c r="S61" s="11">
        <f>INDEX(Raw_product_master[Target_Margin], MATCH(Cleaned_Sales_data[[#This Row],[Product]],Raw_product_master[Product], 0 ))</f>
        <v>0.2</v>
      </c>
      <c r="T61" t="str">
        <f>IF(Cleaned_Sales_data[[#This Row],[Profit]]&gt;0, "Profitable", "Loss")</f>
        <v>Profitable</v>
      </c>
      <c r="U61" t="str">
        <f>_xlfn.IFS(Cleaned_Sales_data[[#This Row],[Profit]]&gt;=10000, "High", Cleaned_Sales_data[[#This Row],[Profit]]&gt;=5000, "Medium", Cleaned_Sales_data[[#This Row],[Profit]]&gt;=0, "Low", Cleaned_Sales_data[[#This Row],[Profit]] &lt;0, "Loss")</f>
        <v>Low</v>
      </c>
      <c r="V61" t="str">
        <f t="shared" si="0"/>
        <v>UnderPerforming</v>
      </c>
      <c r="W61" s="3">
        <v>46023</v>
      </c>
    </row>
    <row r="62" spans="1:23">
      <c r="A62" t="s">
        <v>297</v>
      </c>
      <c r="B62" s="3">
        <v>45722</v>
      </c>
      <c r="C62" t="s">
        <v>18</v>
      </c>
      <c r="D62" t="str">
        <f>INDEX(Raw_product_master[Category],MATCH(Cleaned_Sales_data[[#This Row],[Product]],Raw_product_master[Product],0))</f>
        <v>Computers</v>
      </c>
      <c r="E62" t="s">
        <v>51</v>
      </c>
      <c r="F62" t="s">
        <v>20</v>
      </c>
      <c r="G62" t="s">
        <v>35</v>
      </c>
      <c r="H62">
        <v>1</v>
      </c>
      <c r="I62">
        <v>32000</v>
      </c>
      <c r="J62" s="10">
        <v>0.1</v>
      </c>
      <c r="K62">
        <v>32000</v>
      </c>
      <c r="L62">
        <v>28800</v>
      </c>
      <c r="M62">
        <v>26240</v>
      </c>
      <c r="N62">
        <v>1646</v>
      </c>
      <c r="O62">
        <v>1000</v>
      </c>
      <c r="P62">
        <f>INDEX(Raw_product_master[Standard_Cost_Per_Unit],MATCH(Cleaned_Sales_data[[#This Row],[Product]],Raw_product_master[Product],0))</f>
        <v>26240</v>
      </c>
      <c r="Q62">
        <v>-86</v>
      </c>
      <c r="R62" s="11">
        <v>-2.98611111111111E-3</v>
      </c>
      <c r="S62" s="11">
        <f>INDEX(Raw_product_master[Target_Margin], MATCH(Cleaned_Sales_data[[#This Row],[Product]],Raw_product_master[Product], 0 ))</f>
        <v>0.12</v>
      </c>
      <c r="T62" t="str">
        <f>IF(Cleaned_Sales_data[[#This Row],[Profit]]&gt;0, "Profitable", "Loss")</f>
        <v>Loss</v>
      </c>
      <c r="U62" t="str">
        <f>_xlfn.IFS(Cleaned_Sales_data[[#This Row],[Profit]]&gt;=10000, "High", Cleaned_Sales_data[[#This Row],[Profit]]&gt;=5000, "Medium", Cleaned_Sales_data[[#This Row],[Profit]]&gt;=0, "Low", Cleaned_Sales_data[[#This Row],[Profit]] &lt;0, "Loss")</f>
        <v>Loss</v>
      </c>
      <c r="V62" t="str">
        <f t="shared" si="0"/>
        <v>UnderPerforming</v>
      </c>
      <c r="W62" s="3">
        <v>45717</v>
      </c>
    </row>
    <row r="63" spans="1:23">
      <c r="A63" t="s">
        <v>301</v>
      </c>
      <c r="B63" s="3">
        <v>45787</v>
      </c>
      <c r="C63" t="s">
        <v>75</v>
      </c>
      <c r="D63" t="str">
        <f>INDEX(Raw_product_master[Category],MATCH(Cleaned_Sales_data[[#This Row],[Product]],Raw_product_master[Product],0))</f>
        <v>Computers</v>
      </c>
      <c r="E63" t="s">
        <v>31</v>
      </c>
      <c r="F63" t="s">
        <v>20</v>
      </c>
      <c r="G63" t="s">
        <v>35</v>
      </c>
      <c r="H63">
        <v>1</v>
      </c>
      <c r="I63">
        <v>65000</v>
      </c>
      <c r="J63" s="10">
        <v>0.08</v>
      </c>
      <c r="K63">
        <v>65000</v>
      </c>
      <c r="L63">
        <v>59800</v>
      </c>
      <c r="M63">
        <v>54600</v>
      </c>
      <c r="N63">
        <v>624</v>
      </c>
      <c r="O63">
        <v>2276</v>
      </c>
      <c r="P63">
        <f>INDEX(Raw_product_master[Standard_Cost_Per_Unit],MATCH(Cleaned_Sales_data[[#This Row],[Product]],Raw_product_master[Product],0))</f>
        <v>54600</v>
      </c>
      <c r="Q63">
        <v>2300</v>
      </c>
      <c r="R63" s="11">
        <v>3.8461538461538498E-2</v>
      </c>
      <c r="S63" s="11">
        <f>INDEX(Raw_product_master[Target_Margin], MATCH(Cleaned_Sales_data[[#This Row],[Product]],Raw_product_master[Product], 0 ))</f>
        <v>0.12</v>
      </c>
      <c r="T63" t="str">
        <f>IF(Cleaned_Sales_data[[#This Row],[Profit]]&gt;0, "Profitable", "Loss")</f>
        <v>Profitable</v>
      </c>
      <c r="U63" t="str">
        <f>_xlfn.IFS(Cleaned_Sales_data[[#This Row],[Profit]]&gt;=10000, "High", Cleaned_Sales_data[[#This Row],[Profit]]&gt;=5000, "Medium", Cleaned_Sales_data[[#This Row],[Profit]]&gt;=0, "Low", Cleaned_Sales_data[[#This Row],[Profit]] &lt;0, "Loss")</f>
        <v>Low</v>
      </c>
      <c r="V63" t="str">
        <f t="shared" si="0"/>
        <v>UnderPerforming</v>
      </c>
      <c r="W63" s="3">
        <v>45778</v>
      </c>
    </row>
    <row r="64" spans="1:23">
      <c r="A64" t="s">
        <v>302</v>
      </c>
      <c r="B64" s="3">
        <v>45941</v>
      </c>
      <c r="C64" t="s">
        <v>30</v>
      </c>
      <c r="D64" t="str">
        <f>INDEX(Raw_product_master[Category],MATCH(Cleaned_Sales_data[[#This Row],[Product]],Raw_product_master[Product],0))</f>
        <v>Displays</v>
      </c>
      <c r="E64" t="s">
        <v>19</v>
      </c>
      <c r="F64" t="s">
        <v>20</v>
      </c>
      <c r="G64" t="s">
        <v>35</v>
      </c>
      <c r="H64">
        <v>2</v>
      </c>
      <c r="I64">
        <v>28000</v>
      </c>
      <c r="J64" s="10">
        <v>0.03</v>
      </c>
      <c r="K64">
        <v>56000</v>
      </c>
      <c r="L64">
        <v>54320</v>
      </c>
      <c r="M64">
        <v>43680</v>
      </c>
      <c r="N64">
        <v>431</v>
      </c>
      <c r="O64">
        <v>888</v>
      </c>
      <c r="P64">
        <f>INDEX(Raw_product_master[Standard_Cost_Per_Unit],MATCH(Cleaned_Sales_data[[#This Row],[Product]],Raw_product_master[Product],0))</f>
        <v>21840</v>
      </c>
      <c r="Q64">
        <v>9321</v>
      </c>
      <c r="R64" s="11">
        <v>0.17159425625920499</v>
      </c>
      <c r="S64" s="11">
        <f>INDEX(Raw_product_master[Target_Margin], MATCH(Cleaned_Sales_data[[#This Row],[Product]],Raw_product_master[Product], 0 ))</f>
        <v>0.18</v>
      </c>
      <c r="T64" t="str">
        <f>IF(Cleaned_Sales_data[[#This Row],[Profit]]&gt;0, "Profitable", "Loss")</f>
        <v>Profitable</v>
      </c>
      <c r="U64" t="str">
        <f>_xlfn.IFS(Cleaned_Sales_data[[#This Row],[Profit]]&gt;=10000, "High", Cleaned_Sales_data[[#This Row],[Profit]]&gt;=5000, "Medium", Cleaned_Sales_data[[#This Row],[Profit]]&gt;=0, "Low", Cleaned_Sales_data[[#This Row],[Profit]] &lt;0, "Loss")</f>
        <v>Medium</v>
      </c>
      <c r="V64" t="str">
        <f t="shared" si="0"/>
        <v>UnderPerforming</v>
      </c>
      <c r="W64" s="3">
        <v>45931</v>
      </c>
    </row>
    <row r="65" spans="1:23">
      <c r="A65" t="s">
        <v>304</v>
      </c>
      <c r="B65" s="3">
        <v>45700</v>
      </c>
      <c r="C65" t="s">
        <v>18</v>
      </c>
      <c r="D65" t="str">
        <f>INDEX(Raw_product_master[Category],MATCH(Cleaned_Sales_data[[#This Row],[Product]],Raw_product_master[Product],0))</f>
        <v>Computers</v>
      </c>
      <c r="E65" t="s">
        <v>63</v>
      </c>
      <c r="F65" t="s">
        <v>20</v>
      </c>
      <c r="G65" t="s">
        <v>35</v>
      </c>
      <c r="H65">
        <v>1</v>
      </c>
      <c r="I65">
        <v>32000</v>
      </c>
      <c r="J65" s="10">
        <v>0</v>
      </c>
      <c r="K65">
        <v>32000</v>
      </c>
      <c r="L65">
        <v>32000</v>
      </c>
      <c r="M65">
        <v>26240</v>
      </c>
      <c r="N65">
        <v>1423</v>
      </c>
      <c r="O65">
        <v>186</v>
      </c>
      <c r="P65">
        <f>INDEX(Raw_product_master[Standard_Cost_Per_Unit],MATCH(Cleaned_Sales_data[[#This Row],[Product]],Raw_product_master[Product],0))</f>
        <v>26240</v>
      </c>
      <c r="Q65">
        <v>4151</v>
      </c>
      <c r="R65" s="11">
        <v>0.12971874999999999</v>
      </c>
      <c r="S65" s="11">
        <f>INDEX(Raw_product_master[Target_Margin], MATCH(Cleaned_Sales_data[[#This Row],[Product]],Raw_product_master[Product], 0 ))</f>
        <v>0.12</v>
      </c>
      <c r="T65" t="str">
        <f>IF(Cleaned_Sales_data[[#This Row],[Profit]]&gt;0, "Profitable", "Loss")</f>
        <v>Profitable</v>
      </c>
      <c r="U65" t="str">
        <f>_xlfn.IFS(Cleaned_Sales_data[[#This Row],[Profit]]&gt;=10000, "High", Cleaned_Sales_data[[#This Row],[Profit]]&gt;=5000, "Medium", Cleaned_Sales_data[[#This Row],[Profit]]&gt;=0, "Low", Cleaned_Sales_data[[#This Row],[Profit]] &lt;0, "Loss")</f>
        <v>Low</v>
      </c>
      <c r="V65" t="str">
        <f t="shared" si="0"/>
        <v>On Target</v>
      </c>
      <c r="W65" s="3">
        <v>45689</v>
      </c>
    </row>
    <row r="66" spans="1:23">
      <c r="A66" t="s">
        <v>310</v>
      </c>
      <c r="B66" s="3">
        <v>46059</v>
      </c>
      <c r="C66" t="s">
        <v>18</v>
      </c>
      <c r="D66" t="str">
        <f>INDEX(Raw_product_master[Category],MATCH(Cleaned_Sales_data[[#This Row],[Product]],Raw_product_master[Product],0))</f>
        <v>Computers</v>
      </c>
      <c r="E66" t="s">
        <v>63</v>
      </c>
      <c r="F66" t="s">
        <v>20</v>
      </c>
      <c r="G66" t="s">
        <v>35</v>
      </c>
      <c r="H66">
        <v>2</v>
      </c>
      <c r="I66">
        <v>32000</v>
      </c>
      <c r="J66" s="10">
        <v>0</v>
      </c>
      <c r="K66">
        <v>64000</v>
      </c>
      <c r="L66">
        <v>64000</v>
      </c>
      <c r="M66">
        <v>52480</v>
      </c>
      <c r="N66">
        <v>982</v>
      </c>
      <c r="O66">
        <v>2420</v>
      </c>
      <c r="P66">
        <f>INDEX(Raw_product_master[Standard_Cost_Per_Unit],MATCH(Cleaned_Sales_data[[#This Row],[Product]],Raw_product_master[Product],0))</f>
        <v>26240</v>
      </c>
      <c r="Q66">
        <v>8118</v>
      </c>
      <c r="R66" s="11">
        <v>0.12684375000000001</v>
      </c>
      <c r="S66" s="11">
        <f>INDEX(Raw_product_master[Target_Margin], MATCH(Cleaned_Sales_data[[#This Row],[Product]],Raw_product_master[Product], 0 ))</f>
        <v>0.12</v>
      </c>
      <c r="T66" t="str">
        <f>IF(Cleaned_Sales_data[[#This Row],[Profit]]&gt;0, "Profitable", "Loss")</f>
        <v>Profitable</v>
      </c>
      <c r="U66" t="str">
        <f>_xlfn.IFS(Cleaned_Sales_data[[#This Row],[Profit]]&gt;=10000, "High", Cleaned_Sales_data[[#This Row],[Profit]]&gt;=5000, "Medium", Cleaned_Sales_data[[#This Row],[Profit]]&gt;=0, "Low", Cleaned_Sales_data[[#This Row],[Profit]] &lt;0, "Loss")</f>
        <v>Medium</v>
      </c>
      <c r="V66" t="str">
        <f t="shared" ref="V66:V129" si="1">IF(R66&lt;S66, "UnderPerforming", "On Target")</f>
        <v>On Target</v>
      </c>
      <c r="W66" s="3">
        <v>46054</v>
      </c>
    </row>
    <row r="67" spans="1:23">
      <c r="A67" t="s">
        <v>318</v>
      </c>
      <c r="B67" s="3">
        <v>45959</v>
      </c>
      <c r="C67" t="s">
        <v>46</v>
      </c>
      <c r="D67" t="str">
        <f>INDEX(Raw_product_master[Category],MATCH(Cleaned_Sales_data[[#This Row],[Product]],Raw_product_master[Product],0))</f>
        <v>Office Equipment</v>
      </c>
      <c r="E67" t="s">
        <v>19</v>
      </c>
      <c r="F67" t="s">
        <v>20</v>
      </c>
      <c r="G67" t="s">
        <v>35</v>
      </c>
      <c r="H67">
        <v>2</v>
      </c>
      <c r="I67">
        <v>18000</v>
      </c>
      <c r="J67" s="10">
        <v>0.08</v>
      </c>
      <c r="K67">
        <v>36000</v>
      </c>
      <c r="L67">
        <v>33120</v>
      </c>
      <c r="M67">
        <v>28800</v>
      </c>
      <c r="N67">
        <v>672</v>
      </c>
      <c r="O67">
        <v>1528</v>
      </c>
      <c r="P67">
        <f>INDEX(Raw_product_master[Standard_Cost_Per_Unit],MATCH(Cleaned_Sales_data[[#This Row],[Product]],Raw_product_master[Product],0))</f>
        <v>14400</v>
      </c>
      <c r="Q67">
        <v>2120</v>
      </c>
      <c r="R67" s="11">
        <v>6.4009661835748799E-2</v>
      </c>
      <c r="S67" s="11">
        <f>INDEX(Raw_product_master[Target_Margin], MATCH(Cleaned_Sales_data[[#This Row],[Product]],Raw_product_master[Product], 0 ))</f>
        <v>0.15</v>
      </c>
      <c r="T67" t="str">
        <f>IF(Cleaned_Sales_data[[#This Row],[Profit]]&gt;0, "Profitable", "Loss")</f>
        <v>Profitable</v>
      </c>
      <c r="U67" t="str">
        <f>_xlfn.IFS(Cleaned_Sales_data[[#This Row],[Profit]]&gt;=10000, "High", Cleaned_Sales_data[[#This Row],[Profit]]&gt;=5000, "Medium", Cleaned_Sales_data[[#This Row],[Profit]]&gt;=0, "Low", Cleaned_Sales_data[[#This Row],[Profit]] &lt;0, "Loss")</f>
        <v>Low</v>
      </c>
      <c r="V67" t="str">
        <f t="shared" si="1"/>
        <v>UnderPerforming</v>
      </c>
      <c r="W67" s="3">
        <v>45931</v>
      </c>
    </row>
    <row r="68" spans="1:23">
      <c r="A68" t="s">
        <v>321</v>
      </c>
      <c r="B68" s="3">
        <v>45884</v>
      </c>
      <c r="C68" t="s">
        <v>24</v>
      </c>
      <c r="D68" t="str">
        <f>INDEX(Raw_product_master[Category],MATCH(Cleaned_Sales_data[[#This Row],[Product]],Raw_product_master[Product],0))</f>
        <v>Accessories</v>
      </c>
      <c r="E68" t="s">
        <v>25</v>
      </c>
      <c r="F68" t="s">
        <v>20</v>
      </c>
      <c r="G68" t="s">
        <v>35</v>
      </c>
      <c r="H68">
        <v>4</v>
      </c>
      <c r="I68">
        <v>3500</v>
      </c>
      <c r="J68" s="10">
        <v>0.1</v>
      </c>
      <c r="K68">
        <v>14000</v>
      </c>
      <c r="L68">
        <v>12600</v>
      </c>
      <c r="M68">
        <v>9520</v>
      </c>
      <c r="N68">
        <v>735</v>
      </c>
      <c r="O68">
        <v>1113</v>
      </c>
      <c r="P68">
        <f>INDEX(Raw_product_master[Standard_Cost_Per_Unit],MATCH(Cleaned_Sales_data[[#This Row],[Product]],Raw_product_master[Product],0))</f>
        <v>2380</v>
      </c>
      <c r="Q68">
        <v>1232</v>
      </c>
      <c r="R68" s="11">
        <v>9.7777777777777797E-2</v>
      </c>
      <c r="S68" s="11">
        <f>INDEX(Raw_product_master[Target_Margin], MATCH(Cleaned_Sales_data[[#This Row],[Product]],Raw_product_master[Product], 0 ))</f>
        <v>0.2</v>
      </c>
      <c r="T68" t="str">
        <f>IF(Cleaned_Sales_data[[#This Row],[Profit]]&gt;0, "Profitable", "Loss")</f>
        <v>Profitable</v>
      </c>
      <c r="U68" t="str">
        <f>_xlfn.IFS(Cleaned_Sales_data[[#This Row],[Profit]]&gt;=10000, "High", Cleaned_Sales_data[[#This Row],[Profit]]&gt;=5000, "Medium", Cleaned_Sales_data[[#This Row],[Profit]]&gt;=0, "Low", Cleaned_Sales_data[[#This Row],[Profit]] &lt;0, "Loss")</f>
        <v>Low</v>
      </c>
      <c r="V68" t="str">
        <f t="shared" si="1"/>
        <v>UnderPerforming</v>
      </c>
      <c r="W68" s="3">
        <v>45870</v>
      </c>
    </row>
    <row r="69" spans="1:23">
      <c r="A69" t="s">
        <v>322</v>
      </c>
      <c r="B69" s="3">
        <v>45845</v>
      </c>
      <c r="C69" t="s">
        <v>46</v>
      </c>
      <c r="D69" t="str">
        <f>INDEX(Raw_product_master[Category],MATCH(Cleaned_Sales_data[[#This Row],[Product]],Raw_product_master[Product],0))</f>
        <v>Office Equipment</v>
      </c>
      <c r="E69" t="s">
        <v>63</v>
      </c>
      <c r="F69" t="s">
        <v>20</v>
      </c>
      <c r="G69" t="s">
        <v>35</v>
      </c>
      <c r="H69">
        <v>3</v>
      </c>
      <c r="I69">
        <v>18000</v>
      </c>
      <c r="J69" s="10">
        <v>0</v>
      </c>
      <c r="K69">
        <v>54000</v>
      </c>
      <c r="L69">
        <v>54000</v>
      </c>
      <c r="M69">
        <v>43200</v>
      </c>
      <c r="N69">
        <v>237</v>
      </c>
      <c r="O69">
        <v>1895</v>
      </c>
      <c r="P69">
        <f>INDEX(Raw_product_master[Standard_Cost_Per_Unit],MATCH(Cleaned_Sales_data[[#This Row],[Product]],Raw_product_master[Product],0))</f>
        <v>14400</v>
      </c>
      <c r="Q69">
        <v>8668</v>
      </c>
      <c r="R69" s="11">
        <v>0.16051851851851801</v>
      </c>
      <c r="S69" s="11">
        <f>INDEX(Raw_product_master[Target_Margin], MATCH(Cleaned_Sales_data[[#This Row],[Product]],Raw_product_master[Product], 0 ))</f>
        <v>0.15</v>
      </c>
      <c r="T69" t="str">
        <f>IF(Cleaned_Sales_data[[#This Row],[Profit]]&gt;0, "Profitable", "Loss")</f>
        <v>Profitable</v>
      </c>
      <c r="U69" t="str">
        <f>_xlfn.IFS(Cleaned_Sales_data[[#This Row],[Profit]]&gt;=10000, "High", Cleaned_Sales_data[[#This Row],[Profit]]&gt;=5000, "Medium", Cleaned_Sales_data[[#This Row],[Profit]]&gt;=0, "Low", Cleaned_Sales_data[[#This Row],[Profit]] &lt;0, "Loss")</f>
        <v>Medium</v>
      </c>
      <c r="V69" t="str">
        <f t="shared" si="1"/>
        <v>On Target</v>
      </c>
      <c r="W69" s="3">
        <v>45839</v>
      </c>
    </row>
    <row r="70" spans="1:23">
      <c r="A70" t="s">
        <v>325</v>
      </c>
      <c r="B70" s="3">
        <v>45676</v>
      </c>
      <c r="C70" t="s">
        <v>53</v>
      </c>
      <c r="D70" t="str">
        <f>INDEX(Raw_product_master[Category],MATCH(Cleaned_Sales_data[[#This Row],[Product]],Raw_product_master[Product],0))</f>
        <v>Accessories</v>
      </c>
      <c r="E70" t="s">
        <v>51</v>
      </c>
      <c r="F70" t="s">
        <v>20</v>
      </c>
      <c r="G70" t="s">
        <v>35</v>
      </c>
      <c r="H70">
        <v>6</v>
      </c>
      <c r="I70">
        <v>1500</v>
      </c>
      <c r="J70" s="10">
        <v>0.2</v>
      </c>
      <c r="K70">
        <v>9000</v>
      </c>
      <c r="L70">
        <v>7200</v>
      </c>
      <c r="M70">
        <v>4950</v>
      </c>
      <c r="N70">
        <v>1340</v>
      </c>
      <c r="O70">
        <v>967</v>
      </c>
      <c r="P70">
        <f>INDEX(Raw_product_master[Standard_Cost_Per_Unit],MATCH(Cleaned_Sales_data[[#This Row],[Product]],Raw_product_master[Product],0))</f>
        <v>825</v>
      </c>
      <c r="Q70">
        <v>-57</v>
      </c>
      <c r="R70" s="11">
        <v>-7.9166666666666708E-3</v>
      </c>
      <c r="S70" s="11">
        <f>INDEX(Raw_product_master[Target_Margin], MATCH(Cleaned_Sales_data[[#This Row],[Product]],Raw_product_master[Product], 0 ))</f>
        <v>0.3</v>
      </c>
      <c r="T70" t="str">
        <f>IF(Cleaned_Sales_data[[#This Row],[Profit]]&gt;0, "Profitable", "Loss")</f>
        <v>Loss</v>
      </c>
      <c r="U70" t="str">
        <f>_xlfn.IFS(Cleaned_Sales_data[[#This Row],[Profit]]&gt;=10000, "High", Cleaned_Sales_data[[#This Row],[Profit]]&gt;=5000, "Medium", Cleaned_Sales_data[[#This Row],[Profit]]&gt;=0, "Low", Cleaned_Sales_data[[#This Row],[Profit]] &lt;0, "Loss")</f>
        <v>Loss</v>
      </c>
      <c r="V70" t="str">
        <f t="shared" si="1"/>
        <v>UnderPerforming</v>
      </c>
      <c r="W70" s="3">
        <v>45658</v>
      </c>
    </row>
    <row r="71" spans="1:23">
      <c r="A71" t="s">
        <v>328</v>
      </c>
      <c r="B71" s="3">
        <v>46162</v>
      </c>
      <c r="C71" t="s">
        <v>53</v>
      </c>
      <c r="D71" t="str">
        <f>INDEX(Raw_product_master[Category],MATCH(Cleaned_Sales_data[[#This Row],[Product]],Raw_product_master[Product],0))</f>
        <v>Accessories</v>
      </c>
      <c r="E71" t="s">
        <v>31</v>
      </c>
      <c r="F71" t="s">
        <v>20</v>
      </c>
      <c r="G71" t="s">
        <v>35</v>
      </c>
      <c r="H71">
        <v>3</v>
      </c>
      <c r="I71">
        <v>1500</v>
      </c>
      <c r="J71" s="10">
        <v>0.1</v>
      </c>
      <c r="K71">
        <v>4500</v>
      </c>
      <c r="L71">
        <v>4050</v>
      </c>
      <c r="M71">
        <v>2475</v>
      </c>
      <c r="N71">
        <v>801</v>
      </c>
      <c r="O71">
        <v>936</v>
      </c>
      <c r="P71">
        <f>INDEX(Raw_product_master[Standard_Cost_Per_Unit],MATCH(Cleaned_Sales_data[[#This Row],[Product]],Raw_product_master[Product],0))</f>
        <v>825</v>
      </c>
      <c r="Q71">
        <v>-162</v>
      </c>
      <c r="R71" s="11">
        <v>-0.04</v>
      </c>
      <c r="S71" s="11">
        <f>INDEX(Raw_product_master[Target_Margin], MATCH(Cleaned_Sales_data[[#This Row],[Product]],Raw_product_master[Product], 0 ))</f>
        <v>0.3</v>
      </c>
      <c r="T71" t="str">
        <f>IF(Cleaned_Sales_data[[#This Row],[Profit]]&gt;0, "Profitable", "Loss")</f>
        <v>Loss</v>
      </c>
      <c r="U71" t="str">
        <f>_xlfn.IFS(Cleaned_Sales_data[[#This Row],[Profit]]&gt;=10000, "High", Cleaned_Sales_data[[#This Row],[Profit]]&gt;=5000, "Medium", Cleaned_Sales_data[[#This Row],[Profit]]&gt;=0, "Low", Cleaned_Sales_data[[#This Row],[Profit]] &lt;0, "Loss")</f>
        <v>Loss</v>
      </c>
      <c r="V71" t="str">
        <f t="shared" si="1"/>
        <v>UnderPerforming</v>
      </c>
      <c r="W71" s="3">
        <v>46143</v>
      </c>
    </row>
    <row r="72" spans="1:23">
      <c r="A72" t="s">
        <v>330</v>
      </c>
      <c r="B72" s="3">
        <v>45918</v>
      </c>
      <c r="C72" t="s">
        <v>24</v>
      </c>
      <c r="D72" t="str">
        <f>INDEX(Raw_product_master[Category],MATCH(Cleaned_Sales_data[[#This Row],[Product]],Raw_product_master[Product],0))</f>
        <v>Accessories</v>
      </c>
      <c r="E72" t="s">
        <v>31</v>
      </c>
      <c r="F72" t="s">
        <v>20</v>
      </c>
      <c r="G72" t="s">
        <v>35</v>
      </c>
      <c r="H72">
        <v>5</v>
      </c>
      <c r="I72">
        <v>3500</v>
      </c>
      <c r="J72" s="10">
        <v>0.05</v>
      </c>
      <c r="K72">
        <v>17500</v>
      </c>
      <c r="L72">
        <v>16625</v>
      </c>
      <c r="M72">
        <v>11900</v>
      </c>
      <c r="N72">
        <v>1116</v>
      </c>
      <c r="O72">
        <v>803</v>
      </c>
      <c r="P72">
        <f>INDEX(Raw_product_master[Standard_Cost_Per_Unit],MATCH(Cleaned_Sales_data[[#This Row],[Product]],Raw_product_master[Product],0))</f>
        <v>2380</v>
      </c>
      <c r="Q72">
        <v>2806</v>
      </c>
      <c r="R72" s="11">
        <v>0.16878195488721801</v>
      </c>
      <c r="S72" s="11">
        <f>INDEX(Raw_product_master[Target_Margin], MATCH(Cleaned_Sales_data[[#This Row],[Product]],Raw_product_master[Product], 0 ))</f>
        <v>0.2</v>
      </c>
      <c r="T72" t="str">
        <f>IF(Cleaned_Sales_data[[#This Row],[Profit]]&gt;0, "Profitable", "Loss")</f>
        <v>Profitable</v>
      </c>
      <c r="U72" t="str">
        <f>_xlfn.IFS(Cleaned_Sales_data[[#This Row],[Profit]]&gt;=10000, "High", Cleaned_Sales_data[[#This Row],[Profit]]&gt;=5000, "Medium", Cleaned_Sales_data[[#This Row],[Profit]]&gt;=0, "Low", Cleaned_Sales_data[[#This Row],[Profit]] &lt;0, "Loss")</f>
        <v>Low</v>
      </c>
      <c r="V72" t="str">
        <f t="shared" si="1"/>
        <v>UnderPerforming</v>
      </c>
      <c r="W72" s="3">
        <v>45901</v>
      </c>
    </row>
    <row r="73" spans="1:23">
      <c r="A73" t="s">
        <v>332</v>
      </c>
      <c r="B73" s="3">
        <v>46071</v>
      </c>
      <c r="C73" t="s">
        <v>18</v>
      </c>
      <c r="D73" t="str">
        <f>INDEX(Raw_product_master[Category],MATCH(Cleaned_Sales_data[[#This Row],[Product]],Raw_product_master[Product],0))</f>
        <v>Computers</v>
      </c>
      <c r="E73" t="s">
        <v>34</v>
      </c>
      <c r="F73" t="s">
        <v>20</v>
      </c>
      <c r="G73" t="s">
        <v>35</v>
      </c>
      <c r="H73">
        <v>1</v>
      </c>
      <c r="I73">
        <v>32000</v>
      </c>
      <c r="J73" s="10">
        <v>0.2</v>
      </c>
      <c r="K73">
        <v>32000</v>
      </c>
      <c r="L73">
        <v>25600</v>
      </c>
      <c r="M73">
        <v>26240</v>
      </c>
      <c r="N73">
        <v>1125</v>
      </c>
      <c r="O73">
        <v>1531</v>
      </c>
      <c r="P73">
        <f>INDEX(Raw_product_master[Standard_Cost_Per_Unit],MATCH(Cleaned_Sales_data[[#This Row],[Product]],Raw_product_master[Product],0))</f>
        <v>26240</v>
      </c>
      <c r="Q73">
        <v>-3296</v>
      </c>
      <c r="R73" s="11">
        <v>-0.12875</v>
      </c>
      <c r="S73" s="11">
        <f>INDEX(Raw_product_master[Target_Margin], MATCH(Cleaned_Sales_data[[#This Row],[Product]],Raw_product_master[Product], 0 ))</f>
        <v>0.12</v>
      </c>
      <c r="T73" t="str">
        <f>IF(Cleaned_Sales_data[[#This Row],[Profit]]&gt;0, "Profitable", "Loss")</f>
        <v>Loss</v>
      </c>
      <c r="U73" t="str">
        <f>_xlfn.IFS(Cleaned_Sales_data[[#This Row],[Profit]]&gt;=10000, "High", Cleaned_Sales_data[[#This Row],[Profit]]&gt;=5000, "Medium", Cleaned_Sales_data[[#This Row],[Profit]]&gt;=0, "Low", Cleaned_Sales_data[[#This Row],[Profit]] &lt;0, "Loss")</f>
        <v>Loss</v>
      </c>
      <c r="V73" t="str">
        <f t="shared" si="1"/>
        <v>UnderPerforming</v>
      </c>
      <c r="W73" s="3">
        <v>46054</v>
      </c>
    </row>
    <row r="74" spans="1:23">
      <c r="A74" t="s">
        <v>335</v>
      </c>
      <c r="B74" s="3">
        <v>46129</v>
      </c>
      <c r="C74" t="s">
        <v>18</v>
      </c>
      <c r="D74" t="str">
        <f>INDEX(Raw_product_master[Category],MATCH(Cleaned_Sales_data[[#This Row],[Product]],Raw_product_master[Product],0))</f>
        <v>Computers</v>
      </c>
      <c r="E74" t="s">
        <v>51</v>
      </c>
      <c r="F74" t="s">
        <v>20</v>
      </c>
      <c r="G74" t="s">
        <v>35</v>
      </c>
      <c r="H74">
        <v>2</v>
      </c>
      <c r="I74">
        <v>32000</v>
      </c>
      <c r="J74" s="10">
        <v>0.15</v>
      </c>
      <c r="K74">
        <v>64000</v>
      </c>
      <c r="L74">
        <v>54400</v>
      </c>
      <c r="M74">
        <v>52480</v>
      </c>
      <c r="N74">
        <v>871</v>
      </c>
      <c r="O74">
        <v>1271</v>
      </c>
      <c r="P74">
        <f>INDEX(Raw_product_master[Standard_Cost_Per_Unit],MATCH(Cleaned_Sales_data[[#This Row],[Product]],Raw_product_master[Product],0))</f>
        <v>26240</v>
      </c>
      <c r="Q74">
        <v>-222</v>
      </c>
      <c r="R74" s="11">
        <v>-4.0808823529411798E-3</v>
      </c>
      <c r="S74" s="11">
        <f>INDEX(Raw_product_master[Target_Margin], MATCH(Cleaned_Sales_data[[#This Row],[Product]],Raw_product_master[Product], 0 ))</f>
        <v>0.12</v>
      </c>
      <c r="T74" t="str">
        <f>IF(Cleaned_Sales_data[[#This Row],[Profit]]&gt;0, "Profitable", "Loss")</f>
        <v>Loss</v>
      </c>
      <c r="U74" t="str">
        <f>_xlfn.IFS(Cleaned_Sales_data[[#This Row],[Profit]]&gt;=10000, "High", Cleaned_Sales_data[[#This Row],[Profit]]&gt;=5000, "Medium", Cleaned_Sales_data[[#This Row],[Profit]]&gt;=0, "Low", Cleaned_Sales_data[[#This Row],[Profit]] &lt;0, "Loss")</f>
        <v>Loss</v>
      </c>
      <c r="V74" t="str">
        <f t="shared" si="1"/>
        <v>UnderPerforming</v>
      </c>
      <c r="W74" s="3">
        <v>46113</v>
      </c>
    </row>
    <row r="75" spans="1:23">
      <c r="A75" t="s">
        <v>339</v>
      </c>
      <c r="B75" s="3">
        <v>45855</v>
      </c>
      <c r="C75" t="s">
        <v>61</v>
      </c>
      <c r="D75" t="str">
        <f>INDEX(Raw_product_master[Category],MATCH(Cleaned_Sales_data[[#This Row],[Product]],Raw_product_master[Product],0))</f>
        <v>Accessories</v>
      </c>
      <c r="E75" t="s">
        <v>25</v>
      </c>
      <c r="F75" t="s">
        <v>20</v>
      </c>
      <c r="G75" t="s">
        <v>35</v>
      </c>
      <c r="H75">
        <v>1</v>
      </c>
      <c r="I75">
        <v>4500</v>
      </c>
      <c r="J75" s="10">
        <v>0.08</v>
      </c>
      <c r="K75">
        <v>4500</v>
      </c>
      <c r="L75">
        <v>4140</v>
      </c>
      <c r="M75">
        <v>2925</v>
      </c>
      <c r="N75">
        <v>1165</v>
      </c>
      <c r="O75">
        <v>1617</v>
      </c>
      <c r="P75">
        <f>INDEX(Raw_product_master[Standard_Cost_Per_Unit],MATCH(Cleaned_Sales_data[[#This Row],[Product]],Raw_product_master[Product],0))</f>
        <v>2925</v>
      </c>
      <c r="Q75">
        <v>-1567</v>
      </c>
      <c r="R75" s="11">
        <v>-0.37850241545893698</v>
      </c>
      <c r="S75" s="11">
        <f>INDEX(Raw_product_master[Target_Margin], MATCH(Cleaned_Sales_data[[#This Row],[Product]],Raw_product_master[Product], 0 ))</f>
        <v>0.22</v>
      </c>
      <c r="T75" t="str">
        <f>IF(Cleaned_Sales_data[[#This Row],[Profit]]&gt;0, "Profitable", "Loss")</f>
        <v>Loss</v>
      </c>
      <c r="U75" t="str">
        <f>_xlfn.IFS(Cleaned_Sales_data[[#This Row],[Profit]]&gt;=10000, "High", Cleaned_Sales_data[[#This Row],[Profit]]&gt;=5000, "Medium", Cleaned_Sales_data[[#This Row],[Profit]]&gt;=0, "Low", Cleaned_Sales_data[[#This Row],[Profit]] &lt;0, "Loss")</f>
        <v>Loss</v>
      </c>
      <c r="V75" t="str">
        <f t="shared" si="1"/>
        <v>UnderPerforming</v>
      </c>
      <c r="W75" s="3">
        <v>45839</v>
      </c>
    </row>
    <row r="76" spans="1:23">
      <c r="A76" t="s">
        <v>341</v>
      </c>
      <c r="B76" s="3">
        <v>45900</v>
      </c>
      <c r="C76" t="s">
        <v>46</v>
      </c>
      <c r="D76" t="str">
        <f>INDEX(Raw_product_master[Category],MATCH(Cleaned_Sales_data[[#This Row],[Product]],Raw_product_master[Product],0))</f>
        <v>Office Equipment</v>
      </c>
      <c r="E76" t="s">
        <v>63</v>
      </c>
      <c r="F76" t="s">
        <v>20</v>
      </c>
      <c r="G76" t="s">
        <v>35</v>
      </c>
      <c r="H76">
        <v>3</v>
      </c>
      <c r="I76">
        <v>18000</v>
      </c>
      <c r="J76" s="10">
        <v>0.08</v>
      </c>
      <c r="K76">
        <v>54000</v>
      </c>
      <c r="L76">
        <v>49680</v>
      </c>
      <c r="M76">
        <v>43200</v>
      </c>
      <c r="N76">
        <v>770</v>
      </c>
      <c r="O76">
        <v>710</v>
      </c>
      <c r="P76">
        <f>INDEX(Raw_product_master[Standard_Cost_Per_Unit],MATCH(Cleaned_Sales_data[[#This Row],[Product]],Raw_product_master[Product],0))</f>
        <v>14400</v>
      </c>
      <c r="Q76">
        <v>5000</v>
      </c>
      <c r="R76" s="11">
        <v>0.100644122383253</v>
      </c>
      <c r="S76" s="11">
        <f>INDEX(Raw_product_master[Target_Margin], MATCH(Cleaned_Sales_data[[#This Row],[Product]],Raw_product_master[Product], 0 ))</f>
        <v>0.15</v>
      </c>
      <c r="T76" t="str">
        <f>IF(Cleaned_Sales_data[[#This Row],[Profit]]&gt;0, "Profitable", "Loss")</f>
        <v>Profitable</v>
      </c>
      <c r="U76" t="str">
        <f>_xlfn.IFS(Cleaned_Sales_data[[#This Row],[Profit]]&gt;=10000, "High", Cleaned_Sales_data[[#This Row],[Profit]]&gt;=5000, "Medium", Cleaned_Sales_data[[#This Row],[Profit]]&gt;=0, "Low", Cleaned_Sales_data[[#This Row],[Profit]] &lt;0, "Loss")</f>
        <v>Medium</v>
      </c>
      <c r="V76" t="str">
        <f t="shared" si="1"/>
        <v>UnderPerforming</v>
      </c>
      <c r="W76" s="3">
        <v>45870</v>
      </c>
    </row>
    <row r="77" spans="1:23">
      <c r="A77" t="s">
        <v>343</v>
      </c>
      <c r="B77" s="3">
        <v>45683</v>
      </c>
      <c r="C77" t="s">
        <v>61</v>
      </c>
      <c r="D77" t="str">
        <f>INDEX(Raw_product_master[Category],MATCH(Cleaned_Sales_data[[#This Row],[Product]],Raw_product_master[Product],0))</f>
        <v>Accessories</v>
      </c>
      <c r="E77" t="s">
        <v>63</v>
      </c>
      <c r="F77" t="s">
        <v>20</v>
      </c>
      <c r="G77" t="s">
        <v>35</v>
      </c>
      <c r="H77">
        <v>3</v>
      </c>
      <c r="I77">
        <v>4500</v>
      </c>
      <c r="J77" s="10">
        <v>0.15</v>
      </c>
      <c r="K77">
        <v>13500</v>
      </c>
      <c r="L77">
        <v>11475</v>
      </c>
      <c r="M77">
        <v>8775</v>
      </c>
      <c r="N77">
        <v>879</v>
      </c>
      <c r="O77">
        <v>2205</v>
      </c>
      <c r="P77">
        <f>INDEX(Raw_product_master[Standard_Cost_Per_Unit],MATCH(Cleaned_Sales_data[[#This Row],[Product]],Raw_product_master[Product],0))</f>
        <v>2925</v>
      </c>
      <c r="Q77">
        <v>-384</v>
      </c>
      <c r="R77" s="11">
        <v>-3.3464052287581703E-2</v>
      </c>
      <c r="S77" s="11">
        <f>INDEX(Raw_product_master[Target_Margin], MATCH(Cleaned_Sales_data[[#This Row],[Product]],Raw_product_master[Product], 0 ))</f>
        <v>0.22</v>
      </c>
      <c r="T77" t="str">
        <f>IF(Cleaned_Sales_data[[#This Row],[Profit]]&gt;0, "Profitable", "Loss")</f>
        <v>Loss</v>
      </c>
      <c r="U77" t="str">
        <f>_xlfn.IFS(Cleaned_Sales_data[[#This Row],[Profit]]&gt;=10000, "High", Cleaned_Sales_data[[#This Row],[Profit]]&gt;=5000, "Medium", Cleaned_Sales_data[[#This Row],[Profit]]&gt;=0, "Low", Cleaned_Sales_data[[#This Row],[Profit]] &lt;0, "Loss")</f>
        <v>Loss</v>
      </c>
      <c r="V77" t="str">
        <f t="shared" si="1"/>
        <v>UnderPerforming</v>
      </c>
      <c r="W77" s="3">
        <v>45658</v>
      </c>
    </row>
    <row r="78" spans="1:23">
      <c r="A78" t="s">
        <v>352</v>
      </c>
      <c r="B78" s="3">
        <v>46107</v>
      </c>
      <c r="C78" t="s">
        <v>61</v>
      </c>
      <c r="D78" t="str">
        <f>INDEX(Raw_product_master[Category],MATCH(Cleaned_Sales_data[[#This Row],[Product]],Raw_product_master[Product],0))</f>
        <v>Accessories</v>
      </c>
      <c r="E78" t="s">
        <v>31</v>
      </c>
      <c r="F78" t="s">
        <v>20</v>
      </c>
      <c r="G78" t="s">
        <v>35</v>
      </c>
      <c r="H78">
        <v>3</v>
      </c>
      <c r="I78">
        <v>4500</v>
      </c>
      <c r="J78" s="10">
        <v>0.1</v>
      </c>
      <c r="K78">
        <v>13500</v>
      </c>
      <c r="L78">
        <v>12150</v>
      </c>
      <c r="M78">
        <v>8775</v>
      </c>
      <c r="N78">
        <v>1600</v>
      </c>
      <c r="O78">
        <v>1518</v>
      </c>
      <c r="P78">
        <f>INDEX(Raw_product_master[Standard_Cost_Per_Unit],MATCH(Cleaned_Sales_data[[#This Row],[Product]],Raw_product_master[Product],0))</f>
        <v>2925</v>
      </c>
      <c r="Q78">
        <v>257</v>
      </c>
      <c r="R78" s="11">
        <v>2.11522633744856E-2</v>
      </c>
      <c r="S78" s="11">
        <f>INDEX(Raw_product_master[Target_Margin], MATCH(Cleaned_Sales_data[[#This Row],[Product]],Raw_product_master[Product], 0 ))</f>
        <v>0.22</v>
      </c>
      <c r="T78" t="str">
        <f>IF(Cleaned_Sales_data[[#This Row],[Profit]]&gt;0, "Profitable", "Loss")</f>
        <v>Profitable</v>
      </c>
      <c r="U78" t="str">
        <f>_xlfn.IFS(Cleaned_Sales_data[[#This Row],[Profit]]&gt;=10000, "High", Cleaned_Sales_data[[#This Row],[Profit]]&gt;=5000, "Medium", Cleaned_Sales_data[[#This Row],[Profit]]&gt;=0, "Low", Cleaned_Sales_data[[#This Row],[Profit]] &lt;0, "Loss")</f>
        <v>Low</v>
      </c>
      <c r="V78" t="str">
        <f t="shared" si="1"/>
        <v>UnderPerforming</v>
      </c>
      <c r="W78" s="3">
        <v>46082</v>
      </c>
    </row>
    <row r="79" spans="1:23">
      <c r="A79" t="s">
        <v>363</v>
      </c>
      <c r="B79" s="3">
        <v>45922</v>
      </c>
      <c r="C79" t="s">
        <v>61</v>
      </c>
      <c r="D79" t="str">
        <f>INDEX(Raw_product_master[Category],MATCH(Cleaned_Sales_data[[#This Row],[Product]],Raw_product_master[Product],0))</f>
        <v>Accessories</v>
      </c>
      <c r="E79" t="s">
        <v>63</v>
      </c>
      <c r="F79" t="s">
        <v>20</v>
      </c>
      <c r="G79" t="s">
        <v>35</v>
      </c>
      <c r="H79">
        <v>5</v>
      </c>
      <c r="I79">
        <v>4500</v>
      </c>
      <c r="J79" s="10">
        <v>0.08</v>
      </c>
      <c r="K79">
        <v>22500</v>
      </c>
      <c r="L79">
        <v>20700</v>
      </c>
      <c r="M79">
        <v>14625</v>
      </c>
      <c r="N79">
        <v>1135</v>
      </c>
      <c r="O79">
        <v>385</v>
      </c>
      <c r="P79">
        <f>INDEX(Raw_product_master[Standard_Cost_Per_Unit],MATCH(Cleaned_Sales_data[[#This Row],[Product]],Raw_product_master[Product],0))</f>
        <v>2925</v>
      </c>
      <c r="Q79">
        <v>4555</v>
      </c>
      <c r="R79" s="11">
        <v>0.22004830917874399</v>
      </c>
      <c r="S79" s="11">
        <f>INDEX(Raw_product_master[Target_Margin], MATCH(Cleaned_Sales_data[[#This Row],[Product]],Raw_product_master[Product], 0 ))</f>
        <v>0.22</v>
      </c>
      <c r="T79" t="str">
        <f>IF(Cleaned_Sales_data[[#This Row],[Profit]]&gt;0, "Profitable", "Loss")</f>
        <v>Profitable</v>
      </c>
      <c r="U79" t="str">
        <f>_xlfn.IFS(Cleaned_Sales_data[[#This Row],[Profit]]&gt;=10000, "High", Cleaned_Sales_data[[#This Row],[Profit]]&gt;=5000, "Medium", Cleaned_Sales_data[[#This Row],[Profit]]&gt;=0, "Low", Cleaned_Sales_data[[#This Row],[Profit]] &lt;0, "Loss")</f>
        <v>Low</v>
      </c>
      <c r="V79" t="str">
        <f t="shared" si="1"/>
        <v>On Target</v>
      </c>
      <c r="W79" s="3">
        <v>45901</v>
      </c>
    </row>
    <row r="80" spans="1:23">
      <c r="A80" t="s">
        <v>368</v>
      </c>
      <c r="B80" s="3">
        <v>46095</v>
      </c>
      <c r="C80" t="s">
        <v>75</v>
      </c>
      <c r="D80" t="str">
        <f>INDEX(Raw_product_master[Category],MATCH(Cleaned_Sales_data[[#This Row],[Product]],Raw_product_master[Product],0))</f>
        <v>Computers</v>
      </c>
      <c r="E80" t="s">
        <v>31</v>
      </c>
      <c r="F80" t="s">
        <v>20</v>
      </c>
      <c r="G80" t="s">
        <v>35</v>
      </c>
      <c r="H80">
        <v>1</v>
      </c>
      <c r="I80">
        <v>65000</v>
      </c>
      <c r="J80" s="10">
        <v>0.1</v>
      </c>
      <c r="K80">
        <v>65000</v>
      </c>
      <c r="L80">
        <v>58500</v>
      </c>
      <c r="M80">
        <v>54600</v>
      </c>
      <c r="N80">
        <v>1647</v>
      </c>
      <c r="O80">
        <v>2479</v>
      </c>
      <c r="P80">
        <f>INDEX(Raw_product_master[Standard_Cost_Per_Unit],MATCH(Cleaned_Sales_data[[#This Row],[Product]],Raw_product_master[Product],0))</f>
        <v>54600</v>
      </c>
      <c r="Q80">
        <v>-226</v>
      </c>
      <c r="R80" s="11">
        <v>-3.8632478632478601E-3</v>
      </c>
      <c r="S80" s="11">
        <f>INDEX(Raw_product_master[Target_Margin], MATCH(Cleaned_Sales_data[[#This Row],[Product]],Raw_product_master[Product], 0 ))</f>
        <v>0.12</v>
      </c>
      <c r="T80" t="str">
        <f>IF(Cleaned_Sales_data[[#This Row],[Profit]]&gt;0, "Profitable", "Loss")</f>
        <v>Loss</v>
      </c>
      <c r="U80" t="str">
        <f>_xlfn.IFS(Cleaned_Sales_data[[#This Row],[Profit]]&gt;=10000, "High", Cleaned_Sales_data[[#This Row],[Profit]]&gt;=5000, "Medium", Cleaned_Sales_data[[#This Row],[Profit]]&gt;=0, "Low", Cleaned_Sales_data[[#This Row],[Profit]] &lt;0, "Loss")</f>
        <v>Loss</v>
      </c>
      <c r="V80" t="str">
        <f t="shared" si="1"/>
        <v>UnderPerforming</v>
      </c>
      <c r="W80" s="3">
        <v>46082</v>
      </c>
    </row>
    <row r="81" spans="1:23">
      <c r="A81" t="s">
        <v>371</v>
      </c>
      <c r="B81" s="3">
        <v>45744</v>
      </c>
      <c r="C81" t="s">
        <v>30</v>
      </c>
      <c r="D81" t="str">
        <f>INDEX(Raw_product_master[Category],MATCH(Cleaned_Sales_data[[#This Row],[Product]],Raw_product_master[Product],0))</f>
        <v>Displays</v>
      </c>
      <c r="E81" t="s">
        <v>34</v>
      </c>
      <c r="F81" t="s">
        <v>20</v>
      </c>
      <c r="G81" t="s">
        <v>35</v>
      </c>
      <c r="H81">
        <v>2</v>
      </c>
      <c r="I81">
        <v>28000</v>
      </c>
      <c r="J81" s="10">
        <v>0.05</v>
      </c>
      <c r="K81">
        <v>56000</v>
      </c>
      <c r="L81">
        <v>53200</v>
      </c>
      <c r="M81">
        <v>43680</v>
      </c>
      <c r="N81">
        <v>1584</v>
      </c>
      <c r="O81">
        <v>1892</v>
      </c>
      <c r="P81">
        <f>INDEX(Raw_product_master[Standard_Cost_Per_Unit],MATCH(Cleaned_Sales_data[[#This Row],[Product]],Raw_product_master[Product],0))</f>
        <v>21840</v>
      </c>
      <c r="Q81">
        <v>6044</v>
      </c>
      <c r="R81" s="11">
        <v>0.11360902255639101</v>
      </c>
      <c r="S81" s="11">
        <f>INDEX(Raw_product_master[Target_Margin], MATCH(Cleaned_Sales_data[[#This Row],[Product]],Raw_product_master[Product], 0 ))</f>
        <v>0.18</v>
      </c>
      <c r="T81" t="str">
        <f>IF(Cleaned_Sales_data[[#This Row],[Profit]]&gt;0, "Profitable", "Loss")</f>
        <v>Profitable</v>
      </c>
      <c r="U81" t="str">
        <f>_xlfn.IFS(Cleaned_Sales_data[[#This Row],[Profit]]&gt;=10000, "High", Cleaned_Sales_data[[#This Row],[Profit]]&gt;=5000, "Medium", Cleaned_Sales_data[[#This Row],[Profit]]&gt;=0, "Low", Cleaned_Sales_data[[#This Row],[Profit]] &lt;0, "Loss")</f>
        <v>Medium</v>
      </c>
      <c r="V81" t="str">
        <f t="shared" si="1"/>
        <v>UnderPerforming</v>
      </c>
      <c r="W81" s="3">
        <v>45717</v>
      </c>
    </row>
    <row r="82" spans="1:23">
      <c r="A82" t="s">
        <v>380</v>
      </c>
      <c r="B82" s="3">
        <v>45770</v>
      </c>
      <c r="C82" t="s">
        <v>24</v>
      </c>
      <c r="D82" t="str">
        <f>INDEX(Raw_product_master[Category],MATCH(Cleaned_Sales_data[[#This Row],[Product]],Raw_product_master[Product],0))</f>
        <v>Accessories</v>
      </c>
      <c r="E82" t="s">
        <v>63</v>
      </c>
      <c r="F82" t="s">
        <v>20</v>
      </c>
      <c r="G82" t="s">
        <v>35</v>
      </c>
      <c r="H82">
        <v>3</v>
      </c>
      <c r="I82">
        <v>3500</v>
      </c>
      <c r="J82" s="10">
        <v>0.08</v>
      </c>
      <c r="K82">
        <v>10500</v>
      </c>
      <c r="L82">
        <v>9660</v>
      </c>
      <c r="M82">
        <v>7140</v>
      </c>
      <c r="N82">
        <v>1135</v>
      </c>
      <c r="O82">
        <v>1207</v>
      </c>
      <c r="P82">
        <f>INDEX(Raw_product_master[Standard_Cost_Per_Unit],MATCH(Cleaned_Sales_data[[#This Row],[Product]],Raw_product_master[Product],0))</f>
        <v>2380</v>
      </c>
      <c r="Q82">
        <v>178</v>
      </c>
      <c r="R82" s="11">
        <v>1.84265010351966E-2</v>
      </c>
      <c r="S82" s="11">
        <f>INDEX(Raw_product_master[Target_Margin], MATCH(Cleaned_Sales_data[[#This Row],[Product]],Raw_product_master[Product], 0 ))</f>
        <v>0.2</v>
      </c>
      <c r="T82" t="str">
        <f>IF(Cleaned_Sales_data[[#This Row],[Profit]]&gt;0, "Profitable", "Loss")</f>
        <v>Profitable</v>
      </c>
      <c r="U82" t="str">
        <f>_xlfn.IFS(Cleaned_Sales_data[[#This Row],[Profit]]&gt;=10000, "High", Cleaned_Sales_data[[#This Row],[Profit]]&gt;=5000, "Medium", Cleaned_Sales_data[[#This Row],[Profit]]&gt;=0, "Low", Cleaned_Sales_data[[#This Row],[Profit]] &lt;0, "Loss")</f>
        <v>Low</v>
      </c>
      <c r="V82" t="str">
        <f t="shared" si="1"/>
        <v>UnderPerforming</v>
      </c>
      <c r="W82" s="3">
        <v>45748</v>
      </c>
    </row>
    <row r="83" spans="1:23">
      <c r="A83" t="s">
        <v>383</v>
      </c>
      <c r="B83" s="3">
        <v>45738</v>
      </c>
      <c r="C83" t="s">
        <v>61</v>
      </c>
      <c r="D83" t="str">
        <f>INDEX(Raw_product_master[Category],MATCH(Cleaned_Sales_data[[#This Row],[Product]],Raw_product_master[Product],0))</f>
        <v>Accessories</v>
      </c>
      <c r="E83" t="s">
        <v>63</v>
      </c>
      <c r="F83" t="s">
        <v>20</v>
      </c>
      <c r="G83" t="s">
        <v>35</v>
      </c>
      <c r="H83">
        <v>3</v>
      </c>
      <c r="I83">
        <v>4500</v>
      </c>
      <c r="J83" s="10">
        <v>0.08</v>
      </c>
      <c r="K83">
        <v>13500</v>
      </c>
      <c r="L83">
        <v>12420</v>
      </c>
      <c r="M83">
        <v>8775</v>
      </c>
      <c r="N83">
        <v>495</v>
      </c>
      <c r="O83">
        <v>2405</v>
      </c>
      <c r="P83">
        <f>INDEX(Raw_product_master[Standard_Cost_Per_Unit],MATCH(Cleaned_Sales_data[[#This Row],[Product]],Raw_product_master[Product],0))</f>
        <v>2925</v>
      </c>
      <c r="Q83">
        <v>745</v>
      </c>
      <c r="R83" s="11">
        <v>5.9983896940418703E-2</v>
      </c>
      <c r="S83" s="11">
        <f>INDEX(Raw_product_master[Target_Margin], MATCH(Cleaned_Sales_data[[#This Row],[Product]],Raw_product_master[Product], 0 ))</f>
        <v>0.22</v>
      </c>
      <c r="T83" t="str">
        <f>IF(Cleaned_Sales_data[[#This Row],[Profit]]&gt;0, "Profitable", "Loss")</f>
        <v>Profitable</v>
      </c>
      <c r="U83" t="str">
        <f>_xlfn.IFS(Cleaned_Sales_data[[#This Row],[Profit]]&gt;=10000, "High", Cleaned_Sales_data[[#This Row],[Profit]]&gt;=5000, "Medium", Cleaned_Sales_data[[#This Row],[Profit]]&gt;=0, "Low", Cleaned_Sales_data[[#This Row],[Profit]] &lt;0, "Loss")</f>
        <v>Low</v>
      </c>
      <c r="V83" t="str">
        <f t="shared" si="1"/>
        <v>UnderPerforming</v>
      </c>
      <c r="W83" s="3">
        <v>45717</v>
      </c>
    </row>
    <row r="84" spans="1:23">
      <c r="A84" t="s">
        <v>385</v>
      </c>
      <c r="B84" s="3">
        <v>45764</v>
      </c>
      <c r="C84" t="s">
        <v>18</v>
      </c>
      <c r="D84" t="str">
        <f>INDEX(Raw_product_master[Category],MATCH(Cleaned_Sales_data[[#This Row],[Product]],Raw_product_master[Product],0))</f>
        <v>Computers</v>
      </c>
      <c r="E84" t="s">
        <v>25</v>
      </c>
      <c r="F84" t="s">
        <v>20</v>
      </c>
      <c r="G84" t="s">
        <v>35</v>
      </c>
      <c r="H84">
        <v>1</v>
      </c>
      <c r="I84">
        <v>32000</v>
      </c>
      <c r="J84" s="10">
        <v>0</v>
      </c>
      <c r="K84">
        <v>32000</v>
      </c>
      <c r="L84">
        <v>32000</v>
      </c>
      <c r="M84">
        <v>26240</v>
      </c>
      <c r="N84">
        <v>476</v>
      </c>
      <c r="O84">
        <v>1561</v>
      </c>
      <c r="P84">
        <f>INDEX(Raw_product_master[Standard_Cost_Per_Unit],MATCH(Cleaned_Sales_data[[#This Row],[Product]],Raw_product_master[Product],0))</f>
        <v>26240</v>
      </c>
      <c r="Q84">
        <v>3723</v>
      </c>
      <c r="R84" s="11">
        <v>0.11634375</v>
      </c>
      <c r="S84" s="11">
        <f>INDEX(Raw_product_master[Target_Margin], MATCH(Cleaned_Sales_data[[#This Row],[Product]],Raw_product_master[Product], 0 ))</f>
        <v>0.12</v>
      </c>
      <c r="T84" t="str">
        <f>IF(Cleaned_Sales_data[[#This Row],[Profit]]&gt;0, "Profitable", "Loss")</f>
        <v>Profitable</v>
      </c>
      <c r="U84" t="str">
        <f>_xlfn.IFS(Cleaned_Sales_data[[#This Row],[Profit]]&gt;=10000, "High", Cleaned_Sales_data[[#This Row],[Profit]]&gt;=5000, "Medium", Cleaned_Sales_data[[#This Row],[Profit]]&gt;=0, "Low", Cleaned_Sales_data[[#This Row],[Profit]] &lt;0, "Loss")</f>
        <v>Low</v>
      </c>
      <c r="V84" t="str">
        <f t="shared" si="1"/>
        <v>UnderPerforming</v>
      </c>
      <c r="W84" s="3">
        <v>45748</v>
      </c>
    </row>
    <row r="85" spans="1:23">
      <c r="A85" t="s">
        <v>395</v>
      </c>
      <c r="B85" s="3">
        <v>46011</v>
      </c>
      <c r="C85" t="s">
        <v>30</v>
      </c>
      <c r="D85" t="str">
        <f>INDEX(Raw_product_master[Category],MATCH(Cleaned_Sales_data[[#This Row],[Product]],Raw_product_master[Product],0))</f>
        <v>Displays</v>
      </c>
      <c r="E85" t="s">
        <v>51</v>
      </c>
      <c r="F85" t="s">
        <v>20</v>
      </c>
      <c r="G85" t="s">
        <v>35</v>
      </c>
      <c r="H85">
        <v>1</v>
      </c>
      <c r="I85">
        <v>28000</v>
      </c>
      <c r="J85" s="10">
        <v>0.1</v>
      </c>
      <c r="K85">
        <v>28000</v>
      </c>
      <c r="L85">
        <v>25200</v>
      </c>
      <c r="M85">
        <v>21840</v>
      </c>
      <c r="N85">
        <v>1602</v>
      </c>
      <c r="O85">
        <v>2490</v>
      </c>
      <c r="P85">
        <f>INDEX(Raw_product_master[Standard_Cost_Per_Unit],MATCH(Cleaned_Sales_data[[#This Row],[Product]],Raw_product_master[Product],0))</f>
        <v>21840</v>
      </c>
      <c r="Q85">
        <v>-732</v>
      </c>
      <c r="R85" s="11">
        <v>-2.9047619047618999E-2</v>
      </c>
      <c r="S85" s="11">
        <f>INDEX(Raw_product_master[Target_Margin], MATCH(Cleaned_Sales_data[[#This Row],[Product]],Raw_product_master[Product], 0 ))</f>
        <v>0.18</v>
      </c>
      <c r="T85" t="str">
        <f>IF(Cleaned_Sales_data[[#This Row],[Profit]]&gt;0, "Profitable", "Loss")</f>
        <v>Loss</v>
      </c>
      <c r="U85" t="str">
        <f>_xlfn.IFS(Cleaned_Sales_data[[#This Row],[Profit]]&gt;=10000, "High", Cleaned_Sales_data[[#This Row],[Profit]]&gt;=5000, "Medium", Cleaned_Sales_data[[#This Row],[Profit]]&gt;=0, "Low", Cleaned_Sales_data[[#This Row],[Profit]] &lt;0, "Loss")</f>
        <v>Loss</v>
      </c>
      <c r="V85" t="str">
        <f t="shared" si="1"/>
        <v>UnderPerforming</v>
      </c>
      <c r="W85" s="3">
        <v>45992</v>
      </c>
    </row>
    <row r="86" spans="1:23">
      <c r="A86" t="s">
        <v>400</v>
      </c>
      <c r="B86" s="3">
        <v>45841</v>
      </c>
      <c r="C86" t="s">
        <v>24</v>
      </c>
      <c r="D86" t="str">
        <f>INDEX(Raw_product_master[Category],MATCH(Cleaned_Sales_data[[#This Row],[Product]],Raw_product_master[Product],0))</f>
        <v>Accessories</v>
      </c>
      <c r="E86" t="s">
        <v>31</v>
      </c>
      <c r="F86" t="s">
        <v>20</v>
      </c>
      <c r="G86" t="s">
        <v>35</v>
      </c>
      <c r="H86">
        <v>6</v>
      </c>
      <c r="I86">
        <v>3500</v>
      </c>
      <c r="J86" s="10">
        <v>0.1</v>
      </c>
      <c r="K86">
        <v>21000</v>
      </c>
      <c r="L86">
        <v>18900</v>
      </c>
      <c r="M86">
        <v>14280</v>
      </c>
      <c r="N86">
        <v>675</v>
      </c>
      <c r="O86">
        <v>1076</v>
      </c>
      <c r="P86">
        <f>INDEX(Raw_product_master[Standard_Cost_Per_Unit],MATCH(Cleaned_Sales_data[[#This Row],[Product]],Raw_product_master[Product],0))</f>
        <v>2380</v>
      </c>
      <c r="Q86">
        <v>2869</v>
      </c>
      <c r="R86" s="11">
        <v>0.15179894179894199</v>
      </c>
      <c r="S86" s="11">
        <f>INDEX(Raw_product_master[Target_Margin], MATCH(Cleaned_Sales_data[[#This Row],[Product]],Raw_product_master[Product], 0 ))</f>
        <v>0.2</v>
      </c>
      <c r="T86" t="str">
        <f>IF(Cleaned_Sales_data[[#This Row],[Profit]]&gt;0, "Profitable", "Loss")</f>
        <v>Profitable</v>
      </c>
      <c r="U86" t="str">
        <f>_xlfn.IFS(Cleaned_Sales_data[[#This Row],[Profit]]&gt;=10000, "High", Cleaned_Sales_data[[#This Row],[Profit]]&gt;=5000, "Medium", Cleaned_Sales_data[[#This Row],[Profit]]&gt;=0, "Low", Cleaned_Sales_data[[#This Row],[Profit]] &lt;0, "Loss")</f>
        <v>Low</v>
      </c>
      <c r="V86" t="str">
        <f t="shared" si="1"/>
        <v>UnderPerforming</v>
      </c>
      <c r="W86" s="3">
        <v>45839</v>
      </c>
    </row>
    <row r="87" spans="1:23">
      <c r="A87" t="s">
        <v>416</v>
      </c>
      <c r="B87" s="3">
        <v>46011</v>
      </c>
      <c r="C87" t="s">
        <v>53</v>
      </c>
      <c r="D87" t="str">
        <f>INDEX(Raw_product_master[Category],MATCH(Cleaned_Sales_data[[#This Row],[Product]],Raw_product_master[Product],0))</f>
        <v>Accessories</v>
      </c>
      <c r="E87" t="s">
        <v>19</v>
      </c>
      <c r="F87" t="s">
        <v>20</v>
      </c>
      <c r="G87" t="s">
        <v>35</v>
      </c>
      <c r="H87">
        <v>7</v>
      </c>
      <c r="I87">
        <v>1500</v>
      </c>
      <c r="J87" s="10">
        <v>0.03</v>
      </c>
      <c r="K87">
        <v>10500</v>
      </c>
      <c r="L87">
        <v>10185</v>
      </c>
      <c r="M87">
        <v>5775</v>
      </c>
      <c r="N87">
        <v>1513</v>
      </c>
      <c r="O87">
        <v>949</v>
      </c>
      <c r="P87">
        <f>INDEX(Raw_product_master[Standard_Cost_Per_Unit],MATCH(Cleaned_Sales_data[[#This Row],[Product]],Raw_product_master[Product],0))</f>
        <v>825</v>
      </c>
      <c r="Q87">
        <v>1948</v>
      </c>
      <c r="R87" s="11">
        <v>0.19126165930289599</v>
      </c>
      <c r="S87" s="11">
        <f>INDEX(Raw_product_master[Target_Margin], MATCH(Cleaned_Sales_data[[#This Row],[Product]],Raw_product_master[Product], 0 ))</f>
        <v>0.3</v>
      </c>
      <c r="T87" t="str">
        <f>IF(Cleaned_Sales_data[[#This Row],[Profit]]&gt;0, "Profitable", "Loss")</f>
        <v>Profitable</v>
      </c>
      <c r="U87" t="str">
        <f>_xlfn.IFS(Cleaned_Sales_data[[#This Row],[Profit]]&gt;=10000, "High", Cleaned_Sales_data[[#This Row],[Profit]]&gt;=5000, "Medium", Cleaned_Sales_data[[#This Row],[Profit]]&gt;=0, "Low", Cleaned_Sales_data[[#This Row],[Profit]] &lt;0, "Loss")</f>
        <v>Low</v>
      </c>
      <c r="V87" t="str">
        <f t="shared" si="1"/>
        <v>UnderPerforming</v>
      </c>
      <c r="W87" s="3">
        <v>45992</v>
      </c>
    </row>
    <row r="88" spans="1:23">
      <c r="A88" t="s">
        <v>418</v>
      </c>
      <c r="B88" s="3">
        <v>45814</v>
      </c>
      <c r="C88" t="s">
        <v>30</v>
      </c>
      <c r="D88" t="str">
        <f>INDEX(Raw_product_master[Category],MATCH(Cleaned_Sales_data[[#This Row],[Product]],Raw_product_master[Product],0))</f>
        <v>Displays</v>
      </c>
      <c r="E88" t="s">
        <v>31</v>
      </c>
      <c r="F88" t="s">
        <v>20</v>
      </c>
      <c r="G88" t="s">
        <v>35</v>
      </c>
      <c r="H88">
        <v>1</v>
      </c>
      <c r="I88">
        <v>28000</v>
      </c>
      <c r="J88" s="10">
        <v>0.05</v>
      </c>
      <c r="K88">
        <v>28000</v>
      </c>
      <c r="L88">
        <v>26600</v>
      </c>
      <c r="M88">
        <v>21840</v>
      </c>
      <c r="N88">
        <v>1139</v>
      </c>
      <c r="O88">
        <v>988</v>
      </c>
      <c r="P88">
        <f>INDEX(Raw_product_master[Standard_Cost_Per_Unit],MATCH(Cleaned_Sales_data[[#This Row],[Product]],Raw_product_master[Product],0))</f>
        <v>21840</v>
      </c>
      <c r="Q88">
        <v>2633</v>
      </c>
      <c r="R88" s="11">
        <v>9.8984962406014995E-2</v>
      </c>
      <c r="S88" s="11">
        <f>INDEX(Raw_product_master[Target_Margin], MATCH(Cleaned_Sales_data[[#This Row],[Product]],Raw_product_master[Product], 0 ))</f>
        <v>0.18</v>
      </c>
      <c r="T88" t="str">
        <f>IF(Cleaned_Sales_data[[#This Row],[Profit]]&gt;0, "Profitable", "Loss")</f>
        <v>Profitable</v>
      </c>
      <c r="U88" t="str">
        <f>_xlfn.IFS(Cleaned_Sales_data[[#This Row],[Profit]]&gt;=10000, "High", Cleaned_Sales_data[[#This Row],[Profit]]&gt;=5000, "Medium", Cleaned_Sales_data[[#This Row],[Profit]]&gt;=0, "Low", Cleaned_Sales_data[[#This Row],[Profit]] &lt;0, "Loss")</f>
        <v>Low</v>
      </c>
      <c r="V88" t="str">
        <f t="shared" si="1"/>
        <v>UnderPerforming</v>
      </c>
      <c r="W88" s="3">
        <v>45809</v>
      </c>
    </row>
    <row r="89" spans="1:23">
      <c r="A89" t="s">
        <v>424</v>
      </c>
      <c r="B89" s="3">
        <v>45830</v>
      </c>
      <c r="C89" t="s">
        <v>50</v>
      </c>
      <c r="D89" t="str">
        <f>INDEX(Raw_product_master[Category],MATCH(Cleaned_Sales_data[[#This Row],[Product]],Raw_product_master[Product],0))</f>
        <v>Accessories</v>
      </c>
      <c r="E89" t="s">
        <v>51</v>
      </c>
      <c r="F89" t="s">
        <v>20</v>
      </c>
      <c r="G89" t="s">
        <v>35</v>
      </c>
      <c r="H89">
        <v>6</v>
      </c>
      <c r="I89">
        <v>2500</v>
      </c>
      <c r="J89" s="10">
        <v>0.15</v>
      </c>
      <c r="K89">
        <v>15000</v>
      </c>
      <c r="L89">
        <v>12750</v>
      </c>
      <c r="M89">
        <v>9300</v>
      </c>
      <c r="N89">
        <v>1323</v>
      </c>
      <c r="O89">
        <v>1978</v>
      </c>
      <c r="P89">
        <f>INDEX(Raw_product_master[Standard_Cost_Per_Unit],MATCH(Cleaned_Sales_data[[#This Row],[Product]],Raw_product_master[Product],0))</f>
        <v>1550</v>
      </c>
      <c r="Q89">
        <v>149</v>
      </c>
      <c r="R89" s="11">
        <v>1.16862745098039E-2</v>
      </c>
      <c r="S89" s="11">
        <f>INDEX(Raw_product_master[Target_Margin], MATCH(Cleaned_Sales_data[[#This Row],[Product]],Raw_product_master[Product], 0 ))</f>
        <v>0.25</v>
      </c>
      <c r="T89" t="str">
        <f>IF(Cleaned_Sales_data[[#This Row],[Profit]]&gt;0, "Profitable", "Loss")</f>
        <v>Profitable</v>
      </c>
      <c r="U89" t="str">
        <f>_xlfn.IFS(Cleaned_Sales_data[[#This Row],[Profit]]&gt;=10000, "High", Cleaned_Sales_data[[#This Row],[Profit]]&gt;=5000, "Medium", Cleaned_Sales_data[[#This Row],[Profit]]&gt;=0, "Low", Cleaned_Sales_data[[#This Row],[Profit]] &lt;0, "Loss")</f>
        <v>Low</v>
      </c>
      <c r="V89" t="str">
        <f t="shared" si="1"/>
        <v>UnderPerforming</v>
      </c>
      <c r="W89" s="3">
        <v>45809</v>
      </c>
    </row>
    <row r="90" spans="1:23">
      <c r="A90" t="s">
        <v>429</v>
      </c>
      <c r="B90" s="3">
        <v>46159</v>
      </c>
      <c r="C90" t="s">
        <v>61</v>
      </c>
      <c r="D90" t="str">
        <f>INDEX(Raw_product_master[Category],MATCH(Cleaned_Sales_data[[#This Row],[Product]],Raw_product_master[Product],0))</f>
        <v>Accessories</v>
      </c>
      <c r="E90" t="s">
        <v>51</v>
      </c>
      <c r="F90" t="s">
        <v>20</v>
      </c>
      <c r="G90" t="s">
        <v>35</v>
      </c>
      <c r="H90">
        <v>1</v>
      </c>
      <c r="I90">
        <v>4500</v>
      </c>
      <c r="J90" s="10">
        <v>0.05</v>
      </c>
      <c r="K90">
        <v>4500</v>
      </c>
      <c r="L90">
        <v>4275</v>
      </c>
      <c r="M90">
        <v>2925</v>
      </c>
      <c r="N90">
        <v>1379</v>
      </c>
      <c r="O90">
        <v>2251</v>
      </c>
      <c r="P90">
        <f>INDEX(Raw_product_master[Standard_Cost_Per_Unit],MATCH(Cleaned_Sales_data[[#This Row],[Product]],Raw_product_master[Product],0))</f>
        <v>2925</v>
      </c>
      <c r="Q90">
        <v>-2280</v>
      </c>
      <c r="R90" s="11">
        <v>-0.53333333333333299</v>
      </c>
      <c r="S90" s="11">
        <f>INDEX(Raw_product_master[Target_Margin], MATCH(Cleaned_Sales_data[[#This Row],[Product]],Raw_product_master[Product], 0 ))</f>
        <v>0.22</v>
      </c>
      <c r="T90" t="str">
        <f>IF(Cleaned_Sales_data[[#This Row],[Profit]]&gt;0, "Profitable", "Loss")</f>
        <v>Loss</v>
      </c>
      <c r="U90" t="str">
        <f>_xlfn.IFS(Cleaned_Sales_data[[#This Row],[Profit]]&gt;=10000, "High", Cleaned_Sales_data[[#This Row],[Profit]]&gt;=5000, "Medium", Cleaned_Sales_data[[#This Row],[Profit]]&gt;=0, "Low", Cleaned_Sales_data[[#This Row],[Profit]] &lt;0, "Loss")</f>
        <v>Loss</v>
      </c>
      <c r="V90" t="str">
        <f t="shared" si="1"/>
        <v>UnderPerforming</v>
      </c>
      <c r="W90" s="3">
        <v>46143</v>
      </c>
    </row>
    <row r="91" spans="1:23">
      <c r="A91" t="s">
        <v>432</v>
      </c>
      <c r="B91" s="3">
        <v>46161</v>
      </c>
      <c r="C91" t="s">
        <v>50</v>
      </c>
      <c r="D91" t="str">
        <f>INDEX(Raw_product_master[Category],MATCH(Cleaned_Sales_data[[#This Row],[Product]],Raw_product_master[Product],0))</f>
        <v>Accessories</v>
      </c>
      <c r="E91" t="s">
        <v>51</v>
      </c>
      <c r="F91" t="s">
        <v>20</v>
      </c>
      <c r="G91" t="s">
        <v>35</v>
      </c>
      <c r="H91">
        <v>1</v>
      </c>
      <c r="I91">
        <v>2500</v>
      </c>
      <c r="J91" s="10">
        <v>0.08</v>
      </c>
      <c r="K91">
        <v>2500</v>
      </c>
      <c r="L91">
        <v>2300</v>
      </c>
      <c r="M91">
        <v>1550</v>
      </c>
      <c r="N91">
        <v>975</v>
      </c>
      <c r="O91">
        <v>324</v>
      </c>
      <c r="P91">
        <f>INDEX(Raw_product_master[Standard_Cost_Per_Unit],MATCH(Cleaned_Sales_data[[#This Row],[Product]],Raw_product_master[Product],0))</f>
        <v>1550</v>
      </c>
      <c r="Q91">
        <v>-549</v>
      </c>
      <c r="R91" s="11">
        <v>-0.238695652173913</v>
      </c>
      <c r="S91" s="11">
        <f>INDEX(Raw_product_master[Target_Margin], MATCH(Cleaned_Sales_data[[#This Row],[Product]],Raw_product_master[Product], 0 ))</f>
        <v>0.25</v>
      </c>
      <c r="T91" t="str">
        <f>IF(Cleaned_Sales_data[[#This Row],[Profit]]&gt;0, "Profitable", "Loss")</f>
        <v>Loss</v>
      </c>
      <c r="U91" t="str">
        <f>_xlfn.IFS(Cleaned_Sales_data[[#This Row],[Profit]]&gt;=10000, "High", Cleaned_Sales_data[[#This Row],[Profit]]&gt;=5000, "Medium", Cleaned_Sales_data[[#This Row],[Profit]]&gt;=0, "Low", Cleaned_Sales_data[[#This Row],[Profit]] &lt;0, "Loss")</f>
        <v>Loss</v>
      </c>
      <c r="V91" t="str">
        <f t="shared" si="1"/>
        <v>UnderPerforming</v>
      </c>
      <c r="W91" s="3">
        <v>46143</v>
      </c>
    </row>
    <row r="92" spans="1:23">
      <c r="A92" t="s">
        <v>435</v>
      </c>
      <c r="B92" s="3">
        <v>45682</v>
      </c>
      <c r="C92" t="s">
        <v>75</v>
      </c>
      <c r="D92" t="str">
        <f>INDEX(Raw_product_master[Category],MATCH(Cleaned_Sales_data[[#This Row],[Product]],Raw_product_master[Product],0))</f>
        <v>Computers</v>
      </c>
      <c r="E92" t="s">
        <v>25</v>
      </c>
      <c r="F92" t="s">
        <v>20</v>
      </c>
      <c r="G92" t="s">
        <v>35</v>
      </c>
      <c r="H92">
        <v>1</v>
      </c>
      <c r="I92">
        <v>65000</v>
      </c>
      <c r="J92" s="10">
        <v>0.03</v>
      </c>
      <c r="K92">
        <v>65000</v>
      </c>
      <c r="L92">
        <v>63050</v>
      </c>
      <c r="M92">
        <v>54600</v>
      </c>
      <c r="N92">
        <v>1715</v>
      </c>
      <c r="O92">
        <v>125</v>
      </c>
      <c r="P92">
        <f>INDEX(Raw_product_master[Standard_Cost_Per_Unit],MATCH(Cleaned_Sales_data[[#This Row],[Product]],Raw_product_master[Product],0))</f>
        <v>54600</v>
      </c>
      <c r="Q92">
        <v>6610</v>
      </c>
      <c r="R92" s="11">
        <v>0.104837430610626</v>
      </c>
      <c r="S92" s="11">
        <f>INDEX(Raw_product_master[Target_Margin], MATCH(Cleaned_Sales_data[[#This Row],[Product]],Raw_product_master[Product], 0 ))</f>
        <v>0.12</v>
      </c>
      <c r="T92" t="str">
        <f>IF(Cleaned_Sales_data[[#This Row],[Profit]]&gt;0, "Profitable", "Loss")</f>
        <v>Profitable</v>
      </c>
      <c r="U92" t="str">
        <f>_xlfn.IFS(Cleaned_Sales_data[[#This Row],[Profit]]&gt;=10000, "High", Cleaned_Sales_data[[#This Row],[Profit]]&gt;=5000, "Medium", Cleaned_Sales_data[[#This Row],[Profit]]&gt;=0, "Low", Cleaned_Sales_data[[#This Row],[Profit]] &lt;0, "Loss")</f>
        <v>Medium</v>
      </c>
      <c r="V92" t="str">
        <f t="shared" si="1"/>
        <v>UnderPerforming</v>
      </c>
      <c r="W92" s="3">
        <v>45658</v>
      </c>
    </row>
    <row r="93" spans="1:23">
      <c r="A93" t="s">
        <v>436</v>
      </c>
      <c r="B93" s="3">
        <v>46069</v>
      </c>
      <c r="C93" t="s">
        <v>24</v>
      </c>
      <c r="D93" t="str">
        <f>INDEX(Raw_product_master[Category],MATCH(Cleaned_Sales_data[[#This Row],[Product]],Raw_product_master[Product],0))</f>
        <v>Accessories</v>
      </c>
      <c r="E93" t="s">
        <v>19</v>
      </c>
      <c r="F93" t="s">
        <v>20</v>
      </c>
      <c r="G93" t="s">
        <v>35</v>
      </c>
      <c r="H93">
        <v>5</v>
      </c>
      <c r="I93">
        <v>3500</v>
      </c>
      <c r="J93" s="10">
        <v>0.08</v>
      </c>
      <c r="K93">
        <v>17500</v>
      </c>
      <c r="L93">
        <v>16100</v>
      </c>
      <c r="M93">
        <v>11900</v>
      </c>
      <c r="N93">
        <v>1291</v>
      </c>
      <c r="O93">
        <v>1106</v>
      </c>
      <c r="P93">
        <f>INDEX(Raw_product_master[Standard_Cost_Per_Unit],MATCH(Cleaned_Sales_data[[#This Row],[Product]],Raw_product_master[Product],0))</f>
        <v>2380</v>
      </c>
      <c r="Q93">
        <v>1803</v>
      </c>
      <c r="R93" s="11">
        <v>0.11198757763975201</v>
      </c>
      <c r="S93" s="11">
        <f>INDEX(Raw_product_master[Target_Margin], MATCH(Cleaned_Sales_data[[#This Row],[Product]],Raw_product_master[Product], 0 ))</f>
        <v>0.2</v>
      </c>
      <c r="T93" t="str">
        <f>IF(Cleaned_Sales_data[[#This Row],[Profit]]&gt;0, "Profitable", "Loss")</f>
        <v>Profitable</v>
      </c>
      <c r="U93" t="str">
        <f>_xlfn.IFS(Cleaned_Sales_data[[#This Row],[Profit]]&gt;=10000, "High", Cleaned_Sales_data[[#This Row],[Profit]]&gt;=5000, "Medium", Cleaned_Sales_data[[#This Row],[Profit]]&gt;=0, "Low", Cleaned_Sales_data[[#This Row],[Profit]] &lt;0, "Loss")</f>
        <v>Low</v>
      </c>
      <c r="V93" t="str">
        <f t="shared" si="1"/>
        <v>UnderPerforming</v>
      </c>
      <c r="W93" s="3">
        <v>46054</v>
      </c>
    </row>
    <row r="94" spans="1:23">
      <c r="A94" t="s">
        <v>437</v>
      </c>
      <c r="B94" s="3">
        <v>46146</v>
      </c>
      <c r="C94" t="s">
        <v>53</v>
      </c>
      <c r="D94" t="str">
        <f>INDEX(Raw_product_master[Category],MATCH(Cleaned_Sales_data[[#This Row],[Product]],Raw_product_master[Product],0))</f>
        <v>Accessories</v>
      </c>
      <c r="E94" t="s">
        <v>34</v>
      </c>
      <c r="F94" t="s">
        <v>20</v>
      </c>
      <c r="G94" t="s">
        <v>35</v>
      </c>
      <c r="H94">
        <v>6</v>
      </c>
      <c r="I94">
        <v>1500</v>
      </c>
      <c r="J94" s="10">
        <v>0.05</v>
      </c>
      <c r="K94">
        <v>9000</v>
      </c>
      <c r="L94">
        <v>8550</v>
      </c>
      <c r="M94">
        <v>4950</v>
      </c>
      <c r="N94">
        <v>1792</v>
      </c>
      <c r="O94">
        <v>258</v>
      </c>
      <c r="P94">
        <f>INDEX(Raw_product_master[Standard_Cost_Per_Unit],MATCH(Cleaned_Sales_data[[#This Row],[Product]],Raw_product_master[Product],0))</f>
        <v>825</v>
      </c>
      <c r="Q94">
        <v>1550</v>
      </c>
      <c r="R94" s="11">
        <v>0.181286549707602</v>
      </c>
      <c r="S94" s="11">
        <f>INDEX(Raw_product_master[Target_Margin], MATCH(Cleaned_Sales_data[[#This Row],[Product]],Raw_product_master[Product], 0 ))</f>
        <v>0.3</v>
      </c>
      <c r="T94" t="str">
        <f>IF(Cleaned_Sales_data[[#This Row],[Profit]]&gt;0, "Profitable", "Loss")</f>
        <v>Profitable</v>
      </c>
      <c r="U94" t="str">
        <f>_xlfn.IFS(Cleaned_Sales_data[[#This Row],[Profit]]&gt;=10000, "High", Cleaned_Sales_data[[#This Row],[Profit]]&gt;=5000, "Medium", Cleaned_Sales_data[[#This Row],[Profit]]&gt;=0, "Low", Cleaned_Sales_data[[#This Row],[Profit]] &lt;0, "Loss")</f>
        <v>Low</v>
      </c>
      <c r="V94" t="str">
        <f t="shared" si="1"/>
        <v>UnderPerforming</v>
      </c>
      <c r="W94" s="3">
        <v>46143</v>
      </c>
    </row>
    <row r="95" spans="1:23">
      <c r="A95" t="s">
        <v>454</v>
      </c>
      <c r="B95" s="3">
        <v>45804</v>
      </c>
      <c r="C95" t="s">
        <v>18</v>
      </c>
      <c r="D95" t="str">
        <f>INDEX(Raw_product_master[Category],MATCH(Cleaned_Sales_data[[#This Row],[Product]],Raw_product_master[Product],0))</f>
        <v>Computers</v>
      </c>
      <c r="E95" t="s">
        <v>34</v>
      </c>
      <c r="F95" t="s">
        <v>20</v>
      </c>
      <c r="G95" t="s">
        <v>35</v>
      </c>
      <c r="H95">
        <v>2</v>
      </c>
      <c r="I95">
        <v>32000</v>
      </c>
      <c r="J95" s="10">
        <v>0.03</v>
      </c>
      <c r="K95">
        <v>64000</v>
      </c>
      <c r="L95">
        <v>62080</v>
      </c>
      <c r="M95">
        <v>52480</v>
      </c>
      <c r="N95">
        <v>420</v>
      </c>
      <c r="O95">
        <v>1491</v>
      </c>
      <c r="P95">
        <f>INDEX(Raw_product_master[Standard_Cost_Per_Unit],MATCH(Cleaned_Sales_data[[#This Row],[Product]],Raw_product_master[Product],0))</f>
        <v>26240</v>
      </c>
      <c r="Q95">
        <v>7689</v>
      </c>
      <c r="R95" s="11">
        <v>0.12385631443299</v>
      </c>
      <c r="S95" s="11">
        <f>INDEX(Raw_product_master[Target_Margin], MATCH(Cleaned_Sales_data[[#This Row],[Product]],Raw_product_master[Product], 0 ))</f>
        <v>0.12</v>
      </c>
      <c r="T95" t="str">
        <f>IF(Cleaned_Sales_data[[#This Row],[Profit]]&gt;0, "Profitable", "Loss")</f>
        <v>Profitable</v>
      </c>
      <c r="U95" t="str">
        <f>_xlfn.IFS(Cleaned_Sales_data[[#This Row],[Profit]]&gt;=10000, "High", Cleaned_Sales_data[[#This Row],[Profit]]&gt;=5000, "Medium", Cleaned_Sales_data[[#This Row],[Profit]]&gt;=0, "Low", Cleaned_Sales_data[[#This Row],[Profit]] &lt;0, "Loss")</f>
        <v>Medium</v>
      </c>
      <c r="V95" t="str">
        <f t="shared" si="1"/>
        <v>On Target</v>
      </c>
      <c r="W95" s="3">
        <v>45778</v>
      </c>
    </row>
    <row r="96" spans="1:23">
      <c r="A96" t="s">
        <v>456</v>
      </c>
      <c r="B96" s="3">
        <v>46090</v>
      </c>
      <c r="C96" t="s">
        <v>30</v>
      </c>
      <c r="D96" t="str">
        <f>INDEX(Raw_product_master[Category],MATCH(Cleaned_Sales_data[[#This Row],[Product]],Raw_product_master[Product],0))</f>
        <v>Displays</v>
      </c>
      <c r="E96" t="s">
        <v>51</v>
      </c>
      <c r="F96" t="s">
        <v>20</v>
      </c>
      <c r="G96" t="s">
        <v>35</v>
      </c>
      <c r="H96">
        <v>1</v>
      </c>
      <c r="I96">
        <v>28000</v>
      </c>
      <c r="J96" s="10">
        <v>0.1</v>
      </c>
      <c r="K96">
        <v>28000</v>
      </c>
      <c r="L96">
        <v>25200</v>
      </c>
      <c r="M96">
        <v>21840</v>
      </c>
      <c r="N96">
        <v>1227</v>
      </c>
      <c r="O96">
        <v>389</v>
      </c>
      <c r="P96">
        <f>INDEX(Raw_product_master[Standard_Cost_Per_Unit],MATCH(Cleaned_Sales_data[[#This Row],[Product]],Raw_product_master[Product],0))</f>
        <v>21840</v>
      </c>
      <c r="Q96">
        <v>1744</v>
      </c>
      <c r="R96" s="11">
        <v>6.9206349206349202E-2</v>
      </c>
      <c r="S96" s="11">
        <f>INDEX(Raw_product_master[Target_Margin], MATCH(Cleaned_Sales_data[[#This Row],[Product]],Raw_product_master[Product], 0 ))</f>
        <v>0.18</v>
      </c>
      <c r="T96" t="str">
        <f>IF(Cleaned_Sales_data[[#This Row],[Profit]]&gt;0, "Profitable", "Loss")</f>
        <v>Profitable</v>
      </c>
      <c r="U96" t="str">
        <f>_xlfn.IFS(Cleaned_Sales_data[[#This Row],[Profit]]&gt;=10000, "High", Cleaned_Sales_data[[#This Row],[Profit]]&gt;=5000, "Medium", Cleaned_Sales_data[[#This Row],[Profit]]&gt;=0, "Low", Cleaned_Sales_data[[#This Row],[Profit]] &lt;0, "Loss")</f>
        <v>Low</v>
      </c>
      <c r="V96" t="str">
        <f t="shared" si="1"/>
        <v>UnderPerforming</v>
      </c>
      <c r="W96" s="3">
        <v>46082</v>
      </c>
    </row>
    <row r="97" spans="1:23">
      <c r="A97" t="s">
        <v>457</v>
      </c>
      <c r="B97" s="3">
        <v>46166</v>
      </c>
      <c r="C97" t="s">
        <v>24</v>
      </c>
      <c r="D97" t="str">
        <f>INDEX(Raw_product_master[Category],MATCH(Cleaned_Sales_data[[#This Row],[Product]],Raw_product_master[Product],0))</f>
        <v>Accessories</v>
      </c>
      <c r="E97" t="s">
        <v>63</v>
      </c>
      <c r="F97" t="s">
        <v>20</v>
      </c>
      <c r="G97" t="s">
        <v>35</v>
      </c>
      <c r="H97">
        <v>7</v>
      </c>
      <c r="I97">
        <v>3500</v>
      </c>
      <c r="J97" s="10">
        <v>0</v>
      </c>
      <c r="K97">
        <v>24500</v>
      </c>
      <c r="L97">
        <v>24500</v>
      </c>
      <c r="M97">
        <v>16660</v>
      </c>
      <c r="N97">
        <v>880</v>
      </c>
      <c r="O97">
        <v>924</v>
      </c>
      <c r="P97">
        <f>INDEX(Raw_product_master[Standard_Cost_Per_Unit],MATCH(Cleaned_Sales_data[[#This Row],[Product]],Raw_product_master[Product],0))</f>
        <v>2380</v>
      </c>
      <c r="Q97">
        <v>6036</v>
      </c>
      <c r="R97" s="11">
        <v>0.24636734693877599</v>
      </c>
      <c r="S97" s="11">
        <f>INDEX(Raw_product_master[Target_Margin], MATCH(Cleaned_Sales_data[[#This Row],[Product]],Raw_product_master[Product], 0 ))</f>
        <v>0.2</v>
      </c>
      <c r="T97" t="str">
        <f>IF(Cleaned_Sales_data[[#This Row],[Profit]]&gt;0, "Profitable", "Loss")</f>
        <v>Profitable</v>
      </c>
      <c r="U97" t="str">
        <f>_xlfn.IFS(Cleaned_Sales_data[[#This Row],[Profit]]&gt;=10000, "High", Cleaned_Sales_data[[#This Row],[Profit]]&gt;=5000, "Medium", Cleaned_Sales_data[[#This Row],[Profit]]&gt;=0, "Low", Cleaned_Sales_data[[#This Row],[Profit]] &lt;0, "Loss")</f>
        <v>Medium</v>
      </c>
      <c r="V97" t="str">
        <f t="shared" si="1"/>
        <v>On Target</v>
      </c>
      <c r="W97" s="3">
        <v>46143</v>
      </c>
    </row>
    <row r="98" spans="1:23">
      <c r="A98" t="s">
        <v>458</v>
      </c>
      <c r="B98" s="3">
        <v>46172</v>
      </c>
      <c r="C98" t="s">
        <v>75</v>
      </c>
      <c r="D98" t="str">
        <f>INDEX(Raw_product_master[Category],MATCH(Cleaned_Sales_data[[#This Row],[Product]],Raw_product_master[Product],0))</f>
        <v>Computers</v>
      </c>
      <c r="E98" t="s">
        <v>19</v>
      </c>
      <c r="F98" t="s">
        <v>20</v>
      </c>
      <c r="G98" t="s">
        <v>35</v>
      </c>
      <c r="H98">
        <v>2</v>
      </c>
      <c r="I98">
        <v>65000</v>
      </c>
      <c r="J98" s="10">
        <v>0.03</v>
      </c>
      <c r="K98">
        <v>130000</v>
      </c>
      <c r="L98">
        <v>126100</v>
      </c>
      <c r="M98">
        <v>109200</v>
      </c>
      <c r="N98">
        <v>1308</v>
      </c>
      <c r="O98">
        <v>311</v>
      </c>
      <c r="P98">
        <f>INDEX(Raw_product_master[Standard_Cost_Per_Unit],MATCH(Cleaned_Sales_data[[#This Row],[Product]],Raw_product_master[Product],0))</f>
        <v>54600</v>
      </c>
      <c r="Q98">
        <v>15281</v>
      </c>
      <c r="R98" s="11">
        <v>0.121181601903251</v>
      </c>
      <c r="S98" s="11">
        <f>INDEX(Raw_product_master[Target_Margin], MATCH(Cleaned_Sales_data[[#This Row],[Product]],Raw_product_master[Product], 0 ))</f>
        <v>0.12</v>
      </c>
      <c r="T98" t="str">
        <f>IF(Cleaned_Sales_data[[#This Row],[Profit]]&gt;0, "Profitable", "Loss")</f>
        <v>Profitable</v>
      </c>
      <c r="U98" t="str">
        <f>_xlfn.IFS(Cleaned_Sales_data[[#This Row],[Profit]]&gt;=10000, "High", Cleaned_Sales_data[[#This Row],[Profit]]&gt;=5000, "Medium", Cleaned_Sales_data[[#This Row],[Profit]]&gt;=0, "Low", Cleaned_Sales_data[[#This Row],[Profit]] &lt;0, "Loss")</f>
        <v>High</v>
      </c>
      <c r="V98" t="str">
        <f t="shared" si="1"/>
        <v>On Target</v>
      </c>
      <c r="W98" s="3">
        <v>46143</v>
      </c>
    </row>
    <row r="99" spans="1:23">
      <c r="A99" t="s">
        <v>459</v>
      </c>
      <c r="B99" s="3">
        <v>46000</v>
      </c>
      <c r="C99" t="s">
        <v>53</v>
      </c>
      <c r="D99" t="str">
        <f>INDEX(Raw_product_master[Category],MATCH(Cleaned_Sales_data[[#This Row],[Product]],Raw_product_master[Product],0))</f>
        <v>Accessories</v>
      </c>
      <c r="E99" t="s">
        <v>25</v>
      </c>
      <c r="F99" t="s">
        <v>20</v>
      </c>
      <c r="G99" t="s">
        <v>35</v>
      </c>
      <c r="H99">
        <v>6</v>
      </c>
      <c r="I99">
        <v>1500</v>
      </c>
      <c r="J99" s="10">
        <v>0.1</v>
      </c>
      <c r="K99">
        <v>9000</v>
      </c>
      <c r="L99">
        <v>8100</v>
      </c>
      <c r="M99">
        <v>4950</v>
      </c>
      <c r="N99">
        <v>619</v>
      </c>
      <c r="O99">
        <v>2088</v>
      </c>
      <c r="P99">
        <f>INDEX(Raw_product_master[Standard_Cost_Per_Unit],MATCH(Cleaned_Sales_data[[#This Row],[Product]],Raw_product_master[Product],0))</f>
        <v>825</v>
      </c>
      <c r="Q99">
        <v>443</v>
      </c>
      <c r="R99" s="11">
        <v>5.4691358024691397E-2</v>
      </c>
      <c r="S99" s="11">
        <f>INDEX(Raw_product_master[Target_Margin], MATCH(Cleaned_Sales_data[[#This Row],[Product]],Raw_product_master[Product], 0 ))</f>
        <v>0.3</v>
      </c>
      <c r="T99" t="str">
        <f>IF(Cleaned_Sales_data[[#This Row],[Profit]]&gt;0, "Profitable", "Loss")</f>
        <v>Profitable</v>
      </c>
      <c r="U99" t="str">
        <f>_xlfn.IFS(Cleaned_Sales_data[[#This Row],[Profit]]&gt;=10000, "High", Cleaned_Sales_data[[#This Row],[Profit]]&gt;=5000, "Medium", Cleaned_Sales_data[[#This Row],[Profit]]&gt;=0, "Low", Cleaned_Sales_data[[#This Row],[Profit]] &lt;0, "Loss")</f>
        <v>Low</v>
      </c>
      <c r="V99" t="str">
        <f t="shared" si="1"/>
        <v>UnderPerforming</v>
      </c>
      <c r="W99" s="3">
        <v>45992</v>
      </c>
    </row>
    <row r="100" spans="1:23">
      <c r="A100" t="s">
        <v>460</v>
      </c>
      <c r="B100" s="3">
        <v>46036</v>
      </c>
      <c r="C100" t="s">
        <v>75</v>
      </c>
      <c r="D100" t="str">
        <f>INDEX(Raw_product_master[Category],MATCH(Cleaned_Sales_data[[#This Row],[Product]],Raw_product_master[Product],0))</f>
        <v>Computers</v>
      </c>
      <c r="E100" t="s">
        <v>34</v>
      </c>
      <c r="F100" t="s">
        <v>20</v>
      </c>
      <c r="G100" t="s">
        <v>35</v>
      </c>
      <c r="H100">
        <v>3</v>
      </c>
      <c r="I100">
        <v>65000</v>
      </c>
      <c r="J100" s="10">
        <v>0.05</v>
      </c>
      <c r="K100">
        <v>195000</v>
      </c>
      <c r="L100">
        <v>185250</v>
      </c>
      <c r="M100">
        <v>163800</v>
      </c>
      <c r="N100">
        <v>1408</v>
      </c>
      <c r="O100">
        <v>595</v>
      </c>
      <c r="P100">
        <f>INDEX(Raw_product_master[Standard_Cost_Per_Unit],MATCH(Cleaned_Sales_data[[#This Row],[Product]],Raw_product_master[Product],0))</f>
        <v>54600</v>
      </c>
      <c r="Q100">
        <v>19447</v>
      </c>
      <c r="R100" s="11">
        <v>0.10497705802969</v>
      </c>
      <c r="S100" s="11">
        <f>INDEX(Raw_product_master[Target_Margin], MATCH(Cleaned_Sales_data[[#This Row],[Product]],Raw_product_master[Product], 0 ))</f>
        <v>0.12</v>
      </c>
      <c r="T100" t="str">
        <f>IF(Cleaned_Sales_data[[#This Row],[Profit]]&gt;0, "Profitable", "Loss")</f>
        <v>Profitable</v>
      </c>
      <c r="U100" t="str">
        <f>_xlfn.IFS(Cleaned_Sales_data[[#This Row],[Profit]]&gt;=10000, "High", Cleaned_Sales_data[[#This Row],[Profit]]&gt;=5000, "Medium", Cleaned_Sales_data[[#This Row],[Profit]]&gt;=0, "Low", Cleaned_Sales_data[[#This Row],[Profit]] &lt;0, "Loss")</f>
        <v>High</v>
      </c>
      <c r="V100" t="str">
        <f t="shared" si="1"/>
        <v>UnderPerforming</v>
      </c>
      <c r="W100" s="3">
        <v>46023</v>
      </c>
    </row>
    <row r="101" spans="1:23">
      <c r="A101" t="s">
        <v>468</v>
      </c>
      <c r="B101" s="3">
        <v>45825</v>
      </c>
      <c r="C101" t="s">
        <v>24</v>
      </c>
      <c r="D101" t="str">
        <f>INDEX(Raw_product_master[Category],MATCH(Cleaned_Sales_data[[#This Row],[Product]],Raw_product_master[Product],0))</f>
        <v>Accessories</v>
      </c>
      <c r="E101" t="s">
        <v>19</v>
      </c>
      <c r="F101" t="s">
        <v>20</v>
      </c>
      <c r="G101" t="s">
        <v>35</v>
      </c>
      <c r="H101">
        <v>7</v>
      </c>
      <c r="I101">
        <v>3500</v>
      </c>
      <c r="J101" s="10">
        <v>0.03</v>
      </c>
      <c r="K101">
        <v>24500</v>
      </c>
      <c r="L101">
        <v>23765</v>
      </c>
      <c r="M101">
        <v>16660</v>
      </c>
      <c r="N101">
        <v>1538</v>
      </c>
      <c r="O101">
        <v>1001</v>
      </c>
      <c r="P101">
        <f>INDEX(Raw_product_master[Standard_Cost_Per_Unit],MATCH(Cleaned_Sales_data[[#This Row],[Product]],Raw_product_master[Product],0))</f>
        <v>2380</v>
      </c>
      <c r="Q101">
        <v>4566</v>
      </c>
      <c r="R101" s="11">
        <v>0.192131285503892</v>
      </c>
      <c r="S101" s="11">
        <f>INDEX(Raw_product_master[Target_Margin], MATCH(Cleaned_Sales_data[[#This Row],[Product]],Raw_product_master[Product], 0 ))</f>
        <v>0.2</v>
      </c>
      <c r="T101" t="str">
        <f>IF(Cleaned_Sales_data[[#This Row],[Profit]]&gt;0, "Profitable", "Loss")</f>
        <v>Profitable</v>
      </c>
      <c r="U101" t="str">
        <f>_xlfn.IFS(Cleaned_Sales_data[[#This Row],[Profit]]&gt;=10000, "High", Cleaned_Sales_data[[#This Row],[Profit]]&gt;=5000, "Medium", Cleaned_Sales_data[[#This Row],[Profit]]&gt;=0, "Low", Cleaned_Sales_data[[#This Row],[Profit]] &lt;0, "Loss")</f>
        <v>Low</v>
      </c>
      <c r="V101" t="str">
        <f t="shared" si="1"/>
        <v>UnderPerforming</v>
      </c>
      <c r="W101" s="3">
        <v>45809</v>
      </c>
    </row>
    <row r="102" spans="1:23">
      <c r="A102" t="s">
        <v>469</v>
      </c>
      <c r="B102" s="3">
        <v>46140</v>
      </c>
      <c r="C102" t="s">
        <v>46</v>
      </c>
      <c r="D102" t="str">
        <f>INDEX(Raw_product_master[Category],MATCH(Cleaned_Sales_data[[#This Row],[Product]],Raw_product_master[Product],0))</f>
        <v>Office Equipment</v>
      </c>
      <c r="E102" t="s">
        <v>19</v>
      </c>
      <c r="F102" t="s">
        <v>20</v>
      </c>
      <c r="G102" t="s">
        <v>35</v>
      </c>
      <c r="H102">
        <v>2</v>
      </c>
      <c r="I102">
        <v>18000</v>
      </c>
      <c r="J102" s="10">
        <v>0</v>
      </c>
      <c r="K102">
        <v>36000</v>
      </c>
      <c r="L102">
        <v>36000</v>
      </c>
      <c r="M102">
        <v>28800</v>
      </c>
      <c r="N102">
        <v>1463</v>
      </c>
      <c r="O102">
        <v>1955</v>
      </c>
      <c r="P102">
        <f>INDEX(Raw_product_master[Standard_Cost_Per_Unit],MATCH(Cleaned_Sales_data[[#This Row],[Product]],Raw_product_master[Product],0))</f>
        <v>14400</v>
      </c>
      <c r="Q102">
        <v>3782</v>
      </c>
      <c r="R102" s="11">
        <v>0.105055555555556</v>
      </c>
      <c r="S102" s="11">
        <f>INDEX(Raw_product_master[Target_Margin], MATCH(Cleaned_Sales_data[[#This Row],[Product]],Raw_product_master[Product], 0 ))</f>
        <v>0.15</v>
      </c>
      <c r="T102" t="str">
        <f>IF(Cleaned_Sales_data[[#This Row],[Profit]]&gt;0, "Profitable", "Loss")</f>
        <v>Profitable</v>
      </c>
      <c r="U102" t="str">
        <f>_xlfn.IFS(Cleaned_Sales_data[[#This Row],[Profit]]&gt;=10000, "High", Cleaned_Sales_data[[#This Row],[Profit]]&gt;=5000, "Medium", Cleaned_Sales_data[[#This Row],[Profit]]&gt;=0, "Low", Cleaned_Sales_data[[#This Row],[Profit]] &lt;0, "Loss")</f>
        <v>Low</v>
      </c>
      <c r="V102" t="str">
        <f t="shared" si="1"/>
        <v>UnderPerforming</v>
      </c>
      <c r="W102" s="3">
        <v>46113</v>
      </c>
    </row>
    <row r="103" spans="1:23">
      <c r="A103" t="s">
        <v>471</v>
      </c>
      <c r="B103" s="3">
        <v>45836</v>
      </c>
      <c r="C103" t="s">
        <v>18</v>
      </c>
      <c r="D103" t="str">
        <f>INDEX(Raw_product_master[Category],MATCH(Cleaned_Sales_data[[#This Row],[Product]],Raw_product_master[Product],0))</f>
        <v>Computers</v>
      </c>
      <c r="E103" t="s">
        <v>25</v>
      </c>
      <c r="F103" t="s">
        <v>20</v>
      </c>
      <c r="G103" t="s">
        <v>35</v>
      </c>
      <c r="H103">
        <v>2</v>
      </c>
      <c r="I103">
        <v>32000</v>
      </c>
      <c r="J103" s="10">
        <v>0.08</v>
      </c>
      <c r="K103">
        <v>64000</v>
      </c>
      <c r="L103">
        <v>58880</v>
      </c>
      <c r="M103">
        <v>52480</v>
      </c>
      <c r="N103">
        <v>650</v>
      </c>
      <c r="O103">
        <v>694</v>
      </c>
      <c r="P103">
        <f>INDEX(Raw_product_master[Standard_Cost_Per_Unit],MATCH(Cleaned_Sales_data[[#This Row],[Product]],Raw_product_master[Product],0))</f>
        <v>26240</v>
      </c>
      <c r="Q103">
        <v>5056</v>
      </c>
      <c r="R103" s="11">
        <v>8.5869565217391294E-2</v>
      </c>
      <c r="S103" s="11">
        <f>INDEX(Raw_product_master[Target_Margin], MATCH(Cleaned_Sales_data[[#This Row],[Product]],Raw_product_master[Product], 0 ))</f>
        <v>0.12</v>
      </c>
      <c r="T103" t="str">
        <f>IF(Cleaned_Sales_data[[#This Row],[Profit]]&gt;0, "Profitable", "Loss")</f>
        <v>Profitable</v>
      </c>
      <c r="U103" t="str">
        <f>_xlfn.IFS(Cleaned_Sales_data[[#This Row],[Profit]]&gt;=10000, "High", Cleaned_Sales_data[[#This Row],[Profit]]&gt;=5000, "Medium", Cleaned_Sales_data[[#This Row],[Profit]]&gt;=0, "Low", Cleaned_Sales_data[[#This Row],[Profit]] &lt;0, "Loss")</f>
        <v>Medium</v>
      </c>
      <c r="V103" t="str">
        <f t="shared" si="1"/>
        <v>UnderPerforming</v>
      </c>
      <c r="W103" s="3">
        <v>45809</v>
      </c>
    </row>
    <row r="104" spans="1:23">
      <c r="A104" t="s">
        <v>477</v>
      </c>
      <c r="B104" s="3">
        <v>46082</v>
      </c>
      <c r="C104" t="s">
        <v>53</v>
      </c>
      <c r="D104" t="str">
        <f>INDEX(Raw_product_master[Category],MATCH(Cleaned_Sales_data[[#This Row],[Product]],Raw_product_master[Product],0))</f>
        <v>Accessories</v>
      </c>
      <c r="E104" t="s">
        <v>63</v>
      </c>
      <c r="F104" t="s">
        <v>20</v>
      </c>
      <c r="G104" t="s">
        <v>35</v>
      </c>
      <c r="H104">
        <v>6</v>
      </c>
      <c r="I104">
        <v>1500</v>
      </c>
      <c r="J104" s="10">
        <v>0.08</v>
      </c>
      <c r="K104">
        <v>9000</v>
      </c>
      <c r="L104">
        <v>8280</v>
      </c>
      <c r="M104">
        <v>4950</v>
      </c>
      <c r="N104">
        <v>1305</v>
      </c>
      <c r="O104">
        <v>1591</v>
      </c>
      <c r="P104">
        <f>INDEX(Raw_product_master[Standard_Cost_Per_Unit],MATCH(Cleaned_Sales_data[[#This Row],[Product]],Raw_product_master[Product],0))</f>
        <v>825</v>
      </c>
      <c r="Q104">
        <v>434</v>
      </c>
      <c r="R104" s="11">
        <v>5.2415458937198102E-2</v>
      </c>
      <c r="S104" s="11">
        <f>INDEX(Raw_product_master[Target_Margin], MATCH(Cleaned_Sales_data[[#This Row],[Product]],Raw_product_master[Product], 0 ))</f>
        <v>0.3</v>
      </c>
      <c r="T104" t="str">
        <f>IF(Cleaned_Sales_data[[#This Row],[Profit]]&gt;0, "Profitable", "Loss")</f>
        <v>Profitable</v>
      </c>
      <c r="U104" t="str">
        <f>_xlfn.IFS(Cleaned_Sales_data[[#This Row],[Profit]]&gt;=10000, "High", Cleaned_Sales_data[[#This Row],[Profit]]&gt;=5000, "Medium", Cleaned_Sales_data[[#This Row],[Profit]]&gt;=0, "Low", Cleaned_Sales_data[[#This Row],[Profit]] &lt;0, "Loss")</f>
        <v>Low</v>
      </c>
      <c r="V104" t="str">
        <f t="shared" si="1"/>
        <v>UnderPerforming</v>
      </c>
      <c r="W104" s="3">
        <v>46082</v>
      </c>
    </row>
    <row r="105" spans="1:23">
      <c r="A105" t="s">
        <v>479</v>
      </c>
      <c r="B105" s="3">
        <v>46152</v>
      </c>
      <c r="C105" t="s">
        <v>61</v>
      </c>
      <c r="D105" t="str">
        <f>INDEX(Raw_product_master[Category],MATCH(Cleaned_Sales_data[[#This Row],[Product]],Raw_product_master[Product],0))</f>
        <v>Accessories</v>
      </c>
      <c r="E105" t="s">
        <v>34</v>
      </c>
      <c r="F105" t="s">
        <v>20</v>
      </c>
      <c r="G105" t="s">
        <v>35</v>
      </c>
      <c r="H105">
        <v>2</v>
      </c>
      <c r="I105">
        <v>4500</v>
      </c>
      <c r="J105" s="10">
        <v>0.08</v>
      </c>
      <c r="K105">
        <v>9000</v>
      </c>
      <c r="L105">
        <v>8280</v>
      </c>
      <c r="M105">
        <v>5850</v>
      </c>
      <c r="N105">
        <v>1518</v>
      </c>
      <c r="O105">
        <v>318</v>
      </c>
      <c r="P105">
        <f>INDEX(Raw_product_master[Standard_Cost_Per_Unit],MATCH(Cleaned_Sales_data[[#This Row],[Product]],Raw_product_master[Product],0))</f>
        <v>2925</v>
      </c>
      <c r="Q105">
        <v>594</v>
      </c>
      <c r="R105" s="11">
        <v>7.1739130434782597E-2</v>
      </c>
      <c r="S105" s="11">
        <f>INDEX(Raw_product_master[Target_Margin], MATCH(Cleaned_Sales_data[[#This Row],[Product]],Raw_product_master[Product], 0 ))</f>
        <v>0.22</v>
      </c>
      <c r="T105" t="str">
        <f>IF(Cleaned_Sales_data[[#This Row],[Profit]]&gt;0, "Profitable", "Loss")</f>
        <v>Profitable</v>
      </c>
      <c r="U105" t="str">
        <f>_xlfn.IFS(Cleaned_Sales_data[[#This Row],[Profit]]&gt;=10000, "High", Cleaned_Sales_data[[#This Row],[Profit]]&gt;=5000, "Medium", Cleaned_Sales_data[[#This Row],[Profit]]&gt;=0, "Low", Cleaned_Sales_data[[#This Row],[Profit]] &lt;0, "Loss")</f>
        <v>Low</v>
      </c>
      <c r="V105" t="str">
        <f t="shared" si="1"/>
        <v>UnderPerforming</v>
      </c>
      <c r="W105" s="3">
        <v>46143</v>
      </c>
    </row>
    <row r="106" spans="1:23">
      <c r="A106" t="s">
        <v>485</v>
      </c>
      <c r="B106" s="3">
        <v>46027</v>
      </c>
      <c r="C106" t="s">
        <v>46</v>
      </c>
      <c r="D106" t="str">
        <f>INDEX(Raw_product_master[Category],MATCH(Cleaned_Sales_data[[#This Row],[Product]],Raw_product_master[Product],0))</f>
        <v>Office Equipment</v>
      </c>
      <c r="E106" t="s">
        <v>19</v>
      </c>
      <c r="F106" t="s">
        <v>20</v>
      </c>
      <c r="G106" t="s">
        <v>35</v>
      </c>
      <c r="H106">
        <v>2</v>
      </c>
      <c r="I106">
        <v>18000</v>
      </c>
      <c r="J106" s="10">
        <v>0.2</v>
      </c>
      <c r="K106">
        <v>36000</v>
      </c>
      <c r="L106">
        <v>28800</v>
      </c>
      <c r="M106">
        <v>28800</v>
      </c>
      <c r="N106">
        <v>856</v>
      </c>
      <c r="O106">
        <v>941</v>
      </c>
      <c r="P106">
        <f>INDEX(Raw_product_master[Standard_Cost_Per_Unit],MATCH(Cleaned_Sales_data[[#This Row],[Product]],Raw_product_master[Product],0))</f>
        <v>14400</v>
      </c>
      <c r="Q106">
        <v>-1797</v>
      </c>
      <c r="R106" s="11">
        <v>-6.2395833333333303E-2</v>
      </c>
      <c r="S106" s="11">
        <f>INDEX(Raw_product_master[Target_Margin], MATCH(Cleaned_Sales_data[[#This Row],[Product]],Raw_product_master[Product], 0 ))</f>
        <v>0.15</v>
      </c>
      <c r="T106" t="str">
        <f>IF(Cleaned_Sales_data[[#This Row],[Profit]]&gt;0, "Profitable", "Loss")</f>
        <v>Loss</v>
      </c>
      <c r="U106" t="str">
        <f>_xlfn.IFS(Cleaned_Sales_data[[#This Row],[Profit]]&gt;=10000, "High", Cleaned_Sales_data[[#This Row],[Profit]]&gt;=5000, "Medium", Cleaned_Sales_data[[#This Row],[Profit]]&gt;=0, "Low", Cleaned_Sales_data[[#This Row],[Profit]] &lt;0, "Loss")</f>
        <v>Loss</v>
      </c>
      <c r="V106" t="str">
        <f t="shared" si="1"/>
        <v>UnderPerforming</v>
      </c>
      <c r="W106" s="3">
        <v>46023</v>
      </c>
    </row>
    <row r="107" spans="1:23">
      <c r="A107" t="s">
        <v>487</v>
      </c>
      <c r="B107" s="3">
        <v>45869</v>
      </c>
      <c r="C107" t="s">
        <v>53</v>
      </c>
      <c r="D107" t="str">
        <f>INDEX(Raw_product_master[Category],MATCH(Cleaned_Sales_data[[#This Row],[Product]],Raw_product_master[Product],0))</f>
        <v>Accessories</v>
      </c>
      <c r="E107" t="s">
        <v>51</v>
      </c>
      <c r="F107" t="s">
        <v>20</v>
      </c>
      <c r="G107" t="s">
        <v>35</v>
      </c>
      <c r="H107">
        <v>1</v>
      </c>
      <c r="I107">
        <v>1500</v>
      </c>
      <c r="J107" s="10">
        <v>0.08</v>
      </c>
      <c r="K107">
        <v>1500</v>
      </c>
      <c r="L107">
        <v>1380</v>
      </c>
      <c r="M107">
        <v>825</v>
      </c>
      <c r="N107">
        <v>1264</v>
      </c>
      <c r="O107">
        <v>2317</v>
      </c>
      <c r="P107">
        <f>INDEX(Raw_product_master[Standard_Cost_Per_Unit],MATCH(Cleaned_Sales_data[[#This Row],[Product]],Raw_product_master[Product],0))</f>
        <v>825</v>
      </c>
      <c r="Q107">
        <v>-3026</v>
      </c>
      <c r="R107" s="11">
        <v>-2.1927536231884099</v>
      </c>
      <c r="S107" s="11">
        <f>INDEX(Raw_product_master[Target_Margin], MATCH(Cleaned_Sales_data[[#This Row],[Product]],Raw_product_master[Product], 0 ))</f>
        <v>0.3</v>
      </c>
      <c r="T107" t="str">
        <f>IF(Cleaned_Sales_data[[#This Row],[Profit]]&gt;0, "Profitable", "Loss")</f>
        <v>Loss</v>
      </c>
      <c r="U107" t="str">
        <f>_xlfn.IFS(Cleaned_Sales_data[[#This Row],[Profit]]&gt;=10000, "High", Cleaned_Sales_data[[#This Row],[Profit]]&gt;=5000, "Medium", Cleaned_Sales_data[[#This Row],[Profit]]&gt;=0, "Low", Cleaned_Sales_data[[#This Row],[Profit]] &lt;0, "Loss")</f>
        <v>Loss</v>
      </c>
      <c r="V107" t="str">
        <f t="shared" si="1"/>
        <v>UnderPerforming</v>
      </c>
      <c r="W107" s="3">
        <v>45839</v>
      </c>
    </row>
    <row r="108" spans="1:23">
      <c r="A108" t="s">
        <v>489</v>
      </c>
      <c r="B108" s="3">
        <v>45988</v>
      </c>
      <c r="C108" t="s">
        <v>50</v>
      </c>
      <c r="D108" t="str">
        <f>INDEX(Raw_product_master[Category],MATCH(Cleaned_Sales_data[[#This Row],[Product]],Raw_product_master[Product],0))</f>
        <v>Accessories</v>
      </c>
      <c r="E108" t="s">
        <v>25</v>
      </c>
      <c r="F108" t="s">
        <v>20</v>
      </c>
      <c r="G108" t="s">
        <v>35</v>
      </c>
      <c r="H108">
        <v>5</v>
      </c>
      <c r="I108">
        <v>2500</v>
      </c>
      <c r="J108" s="10">
        <v>0.05</v>
      </c>
      <c r="K108">
        <v>12500</v>
      </c>
      <c r="L108">
        <v>11875</v>
      </c>
      <c r="M108">
        <v>7750</v>
      </c>
      <c r="N108">
        <v>1537</v>
      </c>
      <c r="O108">
        <v>1284</v>
      </c>
      <c r="P108">
        <f>INDEX(Raw_product_master[Standard_Cost_Per_Unit],MATCH(Cleaned_Sales_data[[#This Row],[Product]],Raw_product_master[Product],0))</f>
        <v>1550</v>
      </c>
      <c r="Q108">
        <v>1304</v>
      </c>
      <c r="R108" s="11">
        <v>0.10981052631579</v>
      </c>
      <c r="S108" s="11">
        <f>INDEX(Raw_product_master[Target_Margin], MATCH(Cleaned_Sales_data[[#This Row],[Product]],Raw_product_master[Product], 0 ))</f>
        <v>0.25</v>
      </c>
      <c r="T108" t="str">
        <f>IF(Cleaned_Sales_data[[#This Row],[Profit]]&gt;0, "Profitable", "Loss")</f>
        <v>Profitable</v>
      </c>
      <c r="U108" t="str">
        <f>_xlfn.IFS(Cleaned_Sales_data[[#This Row],[Profit]]&gt;=10000, "High", Cleaned_Sales_data[[#This Row],[Profit]]&gt;=5000, "Medium", Cleaned_Sales_data[[#This Row],[Profit]]&gt;=0, "Low", Cleaned_Sales_data[[#This Row],[Profit]] &lt;0, "Loss")</f>
        <v>Low</v>
      </c>
      <c r="V108" t="str">
        <f t="shared" si="1"/>
        <v>UnderPerforming</v>
      </c>
      <c r="W108" s="3">
        <v>45962</v>
      </c>
    </row>
    <row r="109" spans="1:23">
      <c r="A109" t="s">
        <v>494</v>
      </c>
      <c r="B109" s="3">
        <v>45792</v>
      </c>
      <c r="C109" t="s">
        <v>46</v>
      </c>
      <c r="D109" t="str">
        <f>INDEX(Raw_product_master[Category],MATCH(Cleaned_Sales_data[[#This Row],[Product]],Raw_product_master[Product],0))</f>
        <v>Office Equipment</v>
      </c>
      <c r="E109" t="s">
        <v>51</v>
      </c>
      <c r="F109" t="s">
        <v>20</v>
      </c>
      <c r="G109" t="s">
        <v>35</v>
      </c>
      <c r="H109">
        <v>3</v>
      </c>
      <c r="I109">
        <v>18000</v>
      </c>
      <c r="J109" s="10">
        <v>0.08</v>
      </c>
      <c r="K109">
        <v>54000</v>
      </c>
      <c r="L109">
        <v>49680</v>
      </c>
      <c r="M109">
        <v>43200</v>
      </c>
      <c r="N109">
        <v>1428</v>
      </c>
      <c r="O109">
        <v>355</v>
      </c>
      <c r="P109">
        <f>INDEX(Raw_product_master[Standard_Cost_Per_Unit],MATCH(Cleaned_Sales_data[[#This Row],[Product]],Raw_product_master[Product],0))</f>
        <v>14400</v>
      </c>
      <c r="Q109">
        <v>4697</v>
      </c>
      <c r="R109" s="11">
        <v>9.4545088566827695E-2</v>
      </c>
      <c r="S109" s="11">
        <f>INDEX(Raw_product_master[Target_Margin], MATCH(Cleaned_Sales_data[[#This Row],[Product]],Raw_product_master[Product], 0 ))</f>
        <v>0.15</v>
      </c>
      <c r="T109" t="str">
        <f>IF(Cleaned_Sales_data[[#This Row],[Profit]]&gt;0, "Profitable", "Loss")</f>
        <v>Profitable</v>
      </c>
      <c r="U109" t="str">
        <f>_xlfn.IFS(Cleaned_Sales_data[[#This Row],[Profit]]&gt;=10000, "High", Cleaned_Sales_data[[#This Row],[Profit]]&gt;=5000, "Medium", Cleaned_Sales_data[[#This Row],[Profit]]&gt;=0, "Low", Cleaned_Sales_data[[#This Row],[Profit]] &lt;0, "Loss")</f>
        <v>Low</v>
      </c>
      <c r="V109" t="str">
        <f t="shared" si="1"/>
        <v>UnderPerforming</v>
      </c>
      <c r="W109" s="3">
        <v>45778</v>
      </c>
    </row>
    <row r="110" spans="1:23">
      <c r="A110" t="s">
        <v>499</v>
      </c>
      <c r="B110" s="3">
        <v>45754</v>
      </c>
      <c r="C110" t="s">
        <v>53</v>
      </c>
      <c r="D110" t="str">
        <f>INDEX(Raw_product_master[Category],MATCH(Cleaned_Sales_data[[#This Row],[Product]],Raw_product_master[Product],0))</f>
        <v>Accessories</v>
      </c>
      <c r="E110" t="s">
        <v>63</v>
      </c>
      <c r="F110" t="s">
        <v>20</v>
      </c>
      <c r="G110" t="s">
        <v>35</v>
      </c>
      <c r="H110">
        <v>6</v>
      </c>
      <c r="I110">
        <v>1500</v>
      </c>
      <c r="J110" s="10">
        <v>0.05</v>
      </c>
      <c r="K110">
        <v>9000</v>
      </c>
      <c r="L110">
        <v>8550</v>
      </c>
      <c r="M110">
        <v>4950</v>
      </c>
      <c r="N110">
        <v>1585</v>
      </c>
      <c r="O110">
        <v>413</v>
      </c>
      <c r="P110">
        <f>INDEX(Raw_product_master[Standard_Cost_Per_Unit],MATCH(Cleaned_Sales_data[[#This Row],[Product]],Raw_product_master[Product],0))</f>
        <v>825</v>
      </c>
      <c r="Q110">
        <v>1602</v>
      </c>
      <c r="R110" s="11">
        <v>0.18736842105263199</v>
      </c>
      <c r="S110" s="11">
        <f>INDEX(Raw_product_master[Target_Margin], MATCH(Cleaned_Sales_data[[#This Row],[Product]],Raw_product_master[Product], 0 ))</f>
        <v>0.3</v>
      </c>
      <c r="T110" t="str">
        <f>IF(Cleaned_Sales_data[[#This Row],[Profit]]&gt;0, "Profitable", "Loss")</f>
        <v>Profitable</v>
      </c>
      <c r="U110" t="str">
        <f>_xlfn.IFS(Cleaned_Sales_data[[#This Row],[Profit]]&gt;=10000, "High", Cleaned_Sales_data[[#This Row],[Profit]]&gt;=5000, "Medium", Cleaned_Sales_data[[#This Row],[Profit]]&gt;=0, "Low", Cleaned_Sales_data[[#This Row],[Profit]] &lt;0, "Loss")</f>
        <v>Low</v>
      </c>
      <c r="V110" t="str">
        <f t="shared" si="1"/>
        <v>UnderPerforming</v>
      </c>
      <c r="W110" s="3">
        <v>45748</v>
      </c>
    </row>
    <row r="111" spans="1:23">
      <c r="A111" t="s">
        <v>504</v>
      </c>
      <c r="B111" s="3">
        <v>45904</v>
      </c>
      <c r="C111" t="s">
        <v>18</v>
      </c>
      <c r="D111" t="str">
        <f>INDEX(Raw_product_master[Category],MATCH(Cleaned_Sales_data[[#This Row],[Product]],Raw_product_master[Product],0))</f>
        <v>Computers</v>
      </c>
      <c r="E111" t="s">
        <v>34</v>
      </c>
      <c r="F111" t="s">
        <v>20</v>
      </c>
      <c r="G111" t="s">
        <v>35</v>
      </c>
      <c r="H111">
        <v>3</v>
      </c>
      <c r="I111">
        <v>32000</v>
      </c>
      <c r="J111" s="10">
        <v>0.03</v>
      </c>
      <c r="K111">
        <v>96000</v>
      </c>
      <c r="L111">
        <v>93120</v>
      </c>
      <c r="M111">
        <v>78720</v>
      </c>
      <c r="N111">
        <v>1457</v>
      </c>
      <c r="O111">
        <v>2353</v>
      </c>
      <c r="P111">
        <f>INDEX(Raw_product_master[Standard_Cost_Per_Unit],MATCH(Cleaned_Sales_data[[#This Row],[Product]],Raw_product_master[Product],0))</f>
        <v>26240</v>
      </c>
      <c r="Q111">
        <v>10590</v>
      </c>
      <c r="R111" s="11">
        <v>0.113724226804124</v>
      </c>
      <c r="S111" s="11">
        <f>INDEX(Raw_product_master[Target_Margin], MATCH(Cleaned_Sales_data[[#This Row],[Product]],Raw_product_master[Product], 0 ))</f>
        <v>0.12</v>
      </c>
      <c r="T111" t="str">
        <f>IF(Cleaned_Sales_data[[#This Row],[Profit]]&gt;0, "Profitable", "Loss")</f>
        <v>Profitable</v>
      </c>
      <c r="U111" t="str">
        <f>_xlfn.IFS(Cleaned_Sales_data[[#This Row],[Profit]]&gt;=10000, "High", Cleaned_Sales_data[[#This Row],[Profit]]&gt;=5000, "Medium", Cleaned_Sales_data[[#This Row],[Profit]]&gt;=0, "Low", Cleaned_Sales_data[[#This Row],[Profit]] &lt;0, "Loss")</f>
        <v>High</v>
      </c>
      <c r="V111" t="str">
        <f t="shared" si="1"/>
        <v>UnderPerforming</v>
      </c>
      <c r="W111" s="3">
        <v>45901</v>
      </c>
    </row>
    <row r="112" spans="1:23">
      <c r="A112" t="s">
        <v>514</v>
      </c>
      <c r="B112" s="3">
        <v>45878</v>
      </c>
      <c r="C112" t="s">
        <v>30</v>
      </c>
      <c r="D112" t="str">
        <f>INDEX(Raw_product_master[Category],MATCH(Cleaned_Sales_data[[#This Row],[Product]],Raw_product_master[Product],0))</f>
        <v>Displays</v>
      </c>
      <c r="E112" t="s">
        <v>19</v>
      </c>
      <c r="F112" t="s">
        <v>20</v>
      </c>
      <c r="G112" t="s">
        <v>35</v>
      </c>
      <c r="H112">
        <v>2</v>
      </c>
      <c r="I112">
        <v>28000</v>
      </c>
      <c r="J112" s="10">
        <v>0.08</v>
      </c>
      <c r="K112">
        <v>56000</v>
      </c>
      <c r="L112">
        <v>51520</v>
      </c>
      <c r="M112">
        <v>43680</v>
      </c>
      <c r="N112">
        <v>534</v>
      </c>
      <c r="O112">
        <v>631</v>
      </c>
      <c r="P112">
        <f>INDEX(Raw_product_master[Standard_Cost_Per_Unit],MATCH(Cleaned_Sales_data[[#This Row],[Product]],Raw_product_master[Product],0))</f>
        <v>21840</v>
      </c>
      <c r="Q112">
        <v>6675</v>
      </c>
      <c r="R112" s="11">
        <v>0.129561335403727</v>
      </c>
      <c r="S112" s="11">
        <f>INDEX(Raw_product_master[Target_Margin], MATCH(Cleaned_Sales_data[[#This Row],[Product]],Raw_product_master[Product], 0 ))</f>
        <v>0.18</v>
      </c>
      <c r="T112" t="str">
        <f>IF(Cleaned_Sales_data[[#This Row],[Profit]]&gt;0, "Profitable", "Loss")</f>
        <v>Profitable</v>
      </c>
      <c r="U112" t="str">
        <f>_xlfn.IFS(Cleaned_Sales_data[[#This Row],[Profit]]&gt;=10000, "High", Cleaned_Sales_data[[#This Row],[Profit]]&gt;=5000, "Medium", Cleaned_Sales_data[[#This Row],[Profit]]&gt;=0, "Low", Cleaned_Sales_data[[#This Row],[Profit]] &lt;0, "Loss")</f>
        <v>Medium</v>
      </c>
      <c r="V112" t="str">
        <f t="shared" si="1"/>
        <v>UnderPerforming</v>
      </c>
      <c r="W112" s="3">
        <v>45870</v>
      </c>
    </row>
    <row r="113" spans="1:23">
      <c r="A113" t="s">
        <v>525</v>
      </c>
      <c r="B113" s="3">
        <v>46197</v>
      </c>
      <c r="C113" t="s">
        <v>46</v>
      </c>
      <c r="D113" t="str">
        <f>INDEX(Raw_product_master[Category],MATCH(Cleaned_Sales_data[[#This Row],[Product]],Raw_product_master[Product],0))</f>
        <v>Office Equipment</v>
      </c>
      <c r="E113" t="s">
        <v>63</v>
      </c>
      <c r="F113" t="s">
        <v>20</v>
      </c>
      <c r="G113" t="s">
        <v>35</v>
      </c>
      <c r="H113">
        <v>2</v>
      </c>
      <c r="I113">
        <v>18000</v>
      </c>
      <c r="J113" s="10">
        <v>0.1</v>
      </c>
      <c r="K113">
        <v>36000</v>
      </c>
      <c r="L113">
        <v>32400</v>
      </c>
      <c r="M113">
        <v>28800</v>
      </c>
      <c r="N113">
        <v>403</v>
      </c>
      <c r="O113">
        <v>260</v>
      </c>
      <c r="P113">
        <f>INDEX(Raw_product_master[Standard_Cost_Per_Unit],MATCH(Cleaned_Sales_data[[#This Row],[Product]],Raw_product_master[Product],0))</f>
        <v>14400</v>
      </c>
      <c r="Q113">
        <v>2937</v>
      </c>
      <c r="R113" s="11">
        <v>9.0648148148148103E-2</v>
      </c>
      <c r="S113" s="11">
        <f>INDEX(Raw_product_master[Target_Margin], MATCH(Cleaned_Sales_data[[#This Row],[Product]],Raw_product_master[Product], 0 ))</f>
        <v>0.15</v>
      </c>
      <c r="T113" t="str">
        <f>IF(Cleaned_Sales_data[[#This Row],[Profit]]&gt;0, "Profitable", "Loss")</f>
        <v>Profitable</v>
      </c>
      <c r="U113" t="str">
        <f>_xlfn.IFS(Cleaned_Sales_data[[#This Row],[Profit]]&gt;=10000, "High", Cleaned_Sales_data[[#This Row],[Profit]]&gt;=5000, "Medium", Cleaned_Sales_data[[#This Row],[Profit]]&gt;=0, "Low", Cleaned_Sales_data[[#This Row],[Profit]] &lt;0, "Loss")</f>
        <v>Low</v>
      </c>
      <c r="V113" t="str">
        <f t="shared" si="1"/>
        <v>UnderPerforming</v>
      </c>
      <c r="W113" s="3">
        <v>46174</v>
      </c>
    </row>
    <row r="114" spans="1:23">
      <c r="A114" t="s">
        <v>536</v>
      </c>
      <c r="B114" s="3">
        <v>45750</v>
      </c>
      <c r="C114" t="s">
        <v>53</v>
      </c>
      <c r="D114" t="str">
        <f>INDEX(Raw_product_master[Category],MATCH(Cleaned_Sales_data[[#This Row],[Product]],Raw_product_master[Product],0))</f>
        <v>Accessories</v>
      </c>
      <c r="E114" t="s">
        <v>34</v>
      </c>
      <c r="F114" t="s">
        <v>20</v>
      </c>
      <c r="G114" t="s">
        <v>35</v>
      </c>
      <c r="H114">
        <v>1</v>
      </c>
      <c r="I114">
        <v>1500</v>
      </c>
      <c r="J114" s="10">
        <v>0.03</v>
      </c>
      <c r="K114">
        <v>1500</v>
      </c>
      <c r="L114">
        <v>1455</v>
      </c>
      <c r="M114">
        <v>825</v>
      </c>
      <c r="N114">
        <v>605</v>
      </c>
      <c r="O114">
        <v>1849</v>
      </c>
      <c r="P114">
        <f>INDEX(Raw_product_master[Standard_Cost_Per_Unit],MATCH(Cleaned_Sales_data[[#This Row],[Product]],Raw_product_master[Product],0))</f>
        <v>825</v>
      </c>
      <c r="Q114">
        <v>-1824</v>
      </c>
      <c r="R114" s="11">
        <v>-1.25360824742268</v>
      </c>
      <c r="S114" s="11">
        <f>INDEX(Raw_product_master[Target_Margin], MATCH(Cleaned_Sales_data[[#This Row],[Product]],Raw_product_master[Product], 0 ))</f>
        <v>0.3</v>
      </c>
      <c r="T114" t="str">
        <f>IF(Cleaned_Sales_data[[#This Row],[Profit]]&gt;0, "Profitable", "Loss")</f>
        <v>Loss</v>
      </c>
      <c r="U114" t="str">
        <f>_xlfn.IFS(Cleaned_Sales_data[[#This Row],[Profit]]&gt;=10000, "High", Cleaned_Sales_data[[#This Row],[Profit]]&gt;=5000, "Medium", Cleaned_Sales_data[[#This Row],[Profit]]&gt;=0, "Low", Cleaned_Sales_data[[#This Row],[Profit]] &lt;0, "Loss")</f>
        <v>Loss</v>
      </c>
      <c r="V114" t="str">
        <f t="shared" si="1"/>
        <v>UnderPerforming</v>
      </c>
      <c r="W114" s="3">
        <v>45748</v>
      </c>
    </row>
    <row r="115" spans="1:23">
      <c r="A115" t="s">
        <v>549</v>
      </c>
      <c r="B115" s="3">
        <v>46096</v>
      </c>
      <c r="C115" t="s">
        <v>75</v>
      </c>
      <c r="D115" t="str">
        <f>INDEX(Raw_product_master[Category],MATCH(Cleaned_Sales_data[[#This Row],[Product]],Raw_product_master[Product],0))</f>
        <v>Computers</v>
      </c>
      <c r="E115" t="s">
        <v>25</v>
      </c>
      <c r="F115" t="s">
        <v>20</v>
      </c>
      <c r="G115" t="s">
        <v>35</v>
      </c>
      <c r="H115">
        <v>1</v>
      </c>
      <c r="I115">
        <v>65000</v>
      </c>
      <c r="J115" s="10">
        <v>0.05</v>
      </c>
      <c r="K115">
        <v>65000</v>
      </c>
      <c r="L115">
        <v>61750</v>
      </c>
      <c r="M115">
        <v>54600</v>
      </c>
      <c r="N115">
        <v>1190</v>
      </c>
      <c r="O115">
        <v>924</v>
      </c>
      <c r="P115">
        <f>INDEX(Raw_product_master[Standard_Cost_Per_Unit],MATCH(Cleaned_Sales_data[[#This Row],[Product]],Raw_product_master[Product],0))</f>
        <v>54600</v>
      </c>
      <c r="Q115">
        <v>5036</v>
      </c>
      <c r="R115" s="11">
        <v>8.15546558704454E-2</v>
      </c>
      <c r="S115" s="11">
        <f>INDEX(Raw_product_master[Target_Margin], MATCH(Cleaned_Sales_data[[#This Row],[Product]],Raw_product_master[Product], 0 ))</f>
        <v>0.12</v>
      </c>
      <c r="T115" t="str">
        <f>IF(Cleaned_Sales_data[[#This Row],[Profit]]&gt;0, "Profitable", "Loss")</f>
        <v>Profitable</v>
      </c>
      <c r="U115" t="str">
        <f>_xlfn.IFS(Cleaned_Sales_data[[#This Row],[Profit]]&gt;=10000, "High", Cleaned_Sales_data[[#This Row],[Profit]]&gt;=5000, "Medium", Cleaned_Sales_data[[#This Row],[Profit]]&gt;=0, "Low", Cleaned_Sales_data[[#This Row],[Profit]] &lt;0, "Loss")</f>
        <v>Medium</v>
      </c>
      <c r="V115" t="str">
        <f t="shared" si="1"/>
        <v>UnderPerforming</v>
      </c>
      <c r="W115" s="3">
        <v>46082</v>
      </c>
    </row>
    <row r="116" spans="1:23">
      <c r="A116" t="s">
        <v>556</v>
      </c>
      <c r="B116" s="3">
        <v>46079</v>
      </c>
      <c r="C116" t="s">
        <v>50</v>
      </c>
      <c r="D116" t="str">
        <f>INDEX(Raw_product_master[Category],MATCH(Cleaned_Sales_data[[#This Row],[Product]],Raw_product_master[Product],0))</f>
        <v>Accessories</v>
      </c>
      <c r="E116" t="s">
        <v>34</v>
      </c>
      <c r="F116" t="s">
        <v>20</v>
      </c>
      <c r="G116" t="s">
        <v>35</v>
      </c>
      <c r="H116">
        <v>5</v>
      </c>
      <c r="I116">
        <v>2500</v>
      </c>
      <c r="J116" s="10">
        <v>0.05</v>
      </c>
      <c r="K116">
        <v>12500</v>
      </c>
      <c r="L116">
        <v>11875</v>
      </c>
      <c r="M116">
        <v>7750</v>
      </c>
      <c r="N116">
        <v>919</v>
      </c>
      <c r="O116">
        <v>505</v>
      </c>
      <c r="P116">
        <f>INDEX(Raw_product_master[Standard_Cost_Per_Unit],MATCH(Cleaned_Sales_data[[#This Row],[Product]],Raw_product_master[Product],0))</f>
        <v>1550</v>
      </c>
      <c r="Q116">
        <v>2701</v>
      </c>
      <c r="R116" s="11">
        <v>0.22745263157894699</v>
      </c>
      <c r="S116" s="11">
        <f>INDEX(Raw_product_master[Target_Margin], MATCH(Cleaned_Sales_data[[#This Row],[Product]],Raw_product_master[Product], 0 ))</f>
        <v>0.25</v>
      </c>
      <c r="T116" t="str">
        <f>IF(Cleaned_Sales_data[[#This Row],[Profit]]&gt;0, "Profitable", "Loss")</f>
        <v>Profitable</v>
      </c>
      <c r="U116" t="str">
        <f>_xlfn.IFS(Cleaned_Sales_data[[#This Row],[Profit]]&gt;=10000, "High", Cleaned_Sales_data[[#This Row],[Profit]]&gt;=5000, "Medium", Cleaned_Sales_data[[#This Row],[Profit]]&gt;=0, "Low", Cleaned_Sales_data[[#This Row],[Profit]] &lt;0, "Loss")</f>
        <v>Low</v>
      </c>
      <c r="V116" t="str">
        <f t="shared" si="1"/>
        <v>UnderPerforming</v>
      </c>
      <c r="W116" s="3">
        <v>46054</v>
      </c>
    </row>
    <row r="117" spans="1:23">
      <c r="A117" t="s">
        <v>559</v>
      </c>
      <c r="B117" s="3">
        <v>46138</v>
      </c>
      <c r="C117" t="s">
        <v>30</v>
      </c>
      <c r="D117" t="str">
        <f>INDEX(Raw_product_master[Category],MATCH(Cleaned_Sales_data[[#This Row],[Product]],Raw_product_master[Product],0))</f>
        <v>Displays</v>
      </c>
      <c r="E117" t="s">
        <v>63</v>
      </c>
      <c r="F117" t="s">
        <v>20</v>
      </c>
      <c r="G117" t="s">
        <v>35</v>
      </c>
      <c r="H117">
        <v>2</v>
      </c>
      <c r="I117">
        <v>28000</v>
      </c>
      <c r="J117" s="10">
        <v>0</v>
      </c>
      <c r="K117">
        <v>56000</v>
      </c>
      <c r="L117">
        <v>56000</v>
      </c>
      <c r="M117">
        <v>43680</v>
      </c>
      <c r="N117">
        <v>699</v>
      </c>
      <c r="O117">
        <v>436</v>
      </c>
      <c r="P117">
        <f>INDEX(Raw_product_master[Standard_Cost_Per_Unit],MATCH(Cleaned_Sales_data[[#This Row],[Product]],Raw_product_master[Product],0))</f>
        <v>21840</v>
      </c>
      <c r="Q117">
        <v>11185</v>
      </c>
      <c r="R117" s="11">
        <v>0.199732142857143</v>
      </c>
      <c r="S117" s="11">
        <f>INDEX(Raw_product_master[Target_Margin], MATCH(Cleaned_Sales_data[[#This Row],[Product]],Raw_product_master[Product], 0 ))</f>
        <v>0.18</v>
      </c>
      <c r="T117" t="str">
        <f>IF(Cleaned_Sales_data[[#This Row],[Profit]]&gt;0, "Profitable", "Loss")</f>
        <v>Profitable</v>
      </c>
      <c r="U117" t="str">
        <f>_xlfn.IFS(Cleaned_Sales_data[[#This Row],[Profit]]&gt;=10000, "High", Cleaned_Sales_data[[#This Row],[Profit]]&gt;=5000, "Medium", Cleaned_Sales_data[[#This Row],[Profit]]&gt;=0, "Low", Cleaned_Sales_data[[#This Row],[Profit]] &lt;0, "Loss")</f>
        <v>High</v>
      </c>
      <c r="V117" t="str">
        <f t="shared" si="1"/>
        <v>On Target</v>
      </c>
      <c r="W117" s="3">
        <v>46113</v>
      </c>
    </row>
    <row r="118" spans="1:23">
      <c r="A118" t="s">
        <v>567</v>
      </c>
      <c r="B118" s="3">
        <v>46047</v>
      </c>
      <c r="C118" t="s">
        <v>30</v>
      </c>
      <c r="D118" t="str">
        <f>INDEX(Raw_product_master[Category],MATCH(Cleaned_Sales_data[[#This Row],[Product]],Raw_product_master[Product],0))</f>
        <v>Displays</v>
      </c>
      <c r="E118" t="s">
        <v>34</v>
      </c>
      <c r="F118" t="s">
        <v>20</v>
      </c>
      <c r="G118" t="s">
        <v>35</v>
      </c>
      <c r="H118">
        <v>1</v>
      </c>
      <c r="I118">
        <v>28000</v>
      </c>
      <c r="J118" s="10">
        <v>0.15</v>
      </c>
      <c r="K118">
        <v>28000</v>
      </c>
      <c r="L118">
        <v>23800</v>
      </c>
      <c r="M118">
        <v>21840</v>
      </c>
      <c r="N118">
        <v>623</v>
      </c>
      <c r="O118">
        <v>1691</v>
      </c>
      <c r="P118">
        <f>INDEX(Raw_product_master[Standard_Cost_Per_Unit],MATCH(Cleaned_Sales_data[[#This Row],[Product]],Raw_product_master[Product],0))</f>
        <v>21840</v>
      </c>
      <c r="Q118">
        <v>-354</v>
      </c>
      <c r="R118" s="11">
        <v>-1.48739495798319E-2</v>
      </c>
      <c r="S118" s="11">
        <f>INDEX(Raw_product_master[Target_Margin], MATCH(Cleaned_Sales_data[[#This Row],[Product]],Raw_product_master[Product], 0 ))</f>
        <v>0.18</v>
      </c>
      <c r="T118" t="str">
        <f>IF(Cleaned_Sales_data[[#This Row],[Profit]]&gt;0, "Profitable", "Loss")</f>
        <v>Loss</v>
      </c>
      <c r="U118" t="str">
        <f>_xlfn.IFS(Cleaned_Sales_data[[#This Row],[Profit]]&gt;=10000, "High", Cleaned_Sales_data[[#This Row],[Profit]]&gt;=5000, "Medium", Cleaned_Sales_data[[#This Row],[Profit]]&gt;=0, "Low", Cleaned_Sales_data[[#This Row],[Profit]] &lt;0, "Loss")</f>
        <v>Loss</v>
      </c>
      <c r="V118" t="str">
        <f t="shared" si="1"/>
        <v>UnderPerforming</v>
      </c>
      <c r="W118" s="3">
        <v>46023</v>
      </c>
    </row>
    <row r="119" spans="1:23">
      <c r="A119" t="s">
        <v>568</v>
      </c>
      <c r="B119" s="3">
        <v>45884</v>
      </c>
      <c r="C119" t="s">
        <v>46</v>
      </c>
      <c r="D119" t="str">
        <f>INDEX(Raw_product_master[Category],MATCH(Cleaned_Sales_data[[#This Row],[Product]],Raw_product_master[Product],0))</f>
        <v>Office Equipment</v>
      </c>
      <c r="E119" t="s">
        <v>19</v>
      </c>
      <c r="F119" t="s">
        <v>20</v>
      </c>
      <c r="G119" t="s">
        <v>35</v>
      </c>
      <c r="H119">
        <v>3</v>
      </c>
      <c r="I119">
        <v>18000</v>
      </c>
      <c r="J119" s="10">
        <v>0.08</v>
      </c>
      <c r="K119">
        <v>54000</v>
      </c>
      <c r="L119">
        <v>49680</v>
      </c>
      <c r="M119">
        <v>43200</v>
      </c>
      <c r="N119">
        <v>1456</v>
      </c>
      <c r="O119">
        <v>2068</v>
      </c>
      <c r="P119">
        <f>INDEX(Raw_product_master[Standard_Cost_Per_Unit],MATCH(Cleaned_Sales_data[[#This Row],[Product]],Raw_product_master[Product],0))</f>
        <v>14400</v>
      </c>
      <c r="Q119">
        <v>2956</v>
      </c>
      <c r="R119" s="11">
        <v>5.9500805152979099E-2</v>
      </c>
      <c r="S119" s="11">
        <f>INDEX(Raw_product_master[Target_Margin], MATCH(Cleaned_Sales_data[[#This Row],[Product]],Raw_product_master[Product], 0 ))</f>
        <v>0.15</v>
      </c>
      <c r="T119" t="str">
        <f>IF(Cleaned_Sales_data[[#This Row],[Profit]]&gt;0, "Profitable", "Loss")</f>
        <v>Profitable</v>
      </c>
      <c r="U119" t="str">
        <f>_xlfn.IFS(Cleaned_Sales_data[[#This Row],[Profit]]&gt;=10000, "High", Cleaned_Sales_data[[#This Row],[Profit]]&gt;=5000, "Medium", Cleaned_Sales_data[[#This Row],[Profit]]&gt;=0, "Low", Cleaned_Sales_data[[#This Row],[Profit]] &lt;0, "Loss")</f>
        <v>Low</v>
      </c>
      <c r="V119" t="str">
        <f t="shared" si="1"/>
        <v>UnderPerforming</v>
      </c>
      <c r="W119" s="3">
        <v>45870</v>
      </c>
    </row>
    <row r="120" spans="1:23">
      <c r="A120" t="s">
        <v>571</v>
      </c>
      <c r="B120" s="3">
        <v>45740</v>
      </c>
      <c r="C120" t="s">
        <v>46</v>
      </c>
      <c r="D120" t="str">
        <f>INDEX(Raw_product_master[Category],MATCH(Cleaned_Sales_data[[#This Row],[Product]],Raw_product_master[Product],0))</f>
        <v>Office Equipment</v>
      </c>
      <c r="E120" t="s">
        <v>25</v>
      </c>
      <c r="F120" t="s">
        <v>20</v>
      </c>
      <c r="G120" t="s">
        <v>35</v>
      </c>
      <c r="H120">
        <v>1</v>
      </c>
      <c r="I120">
        <v>18000</v>
      </c>
      <c r="J120" s="10">
        <v>0.1</v>
      </c>
      <c r="K120">
        <v>18000</v>
      </c>
      <c r="L120">
        <v>16200</v>
      </c>
      <c r="M120">
        <v>14400</v>
      </c>
      <c r="N120">
        <v>1470</v>
      </c>
      <c r="O120">
        <v>1617</v>
      </c>
      <c r="P120">
        <f>INDEX(Raw_product_master[Standard_Cost_Per_Unit],MATCH(Cleaned_Sales_data[[#This Row],[Product]],Raw_product_master[Product],0))</f>
        <v>14400</v>
      </c>
      <c r="Q120">
        <v>-1287</v>
      </c>
      <c r="R120" s="11">
        <v>-7.9444444444444401E-2</v>
      </c>
      <c r="S120" s="11">
        <f>INDEX(Raw_product_master[Target_Margin], MATCH(Cleaned_Sales_data[[#This Row],[Product]],Raw_product_master[Product], 0 ))</f>
        <v>0.15</v>
      </c>
      <c r="T120" t="str">
        <f>IF(Cleaned_Sales_data[[#This Row],[Profit]]&gt;0, "Profitable", "Loss")</f>
        <v>Loss</v>
      </c>
      <c r="U120" t="str">
        <f>_xlfn.IFS(Cleaned_Sales_data[[#This Row],[Profit]]&gt;=10000, "High", Cleaned_Sales_data[[#This Row],[Profit]]&gt;=5000, "Medium", Cleaned_Sales_data[[#This Row],[Profit]]&gt;=0, "Low", Cleaned_Sales_data[[#This Row],[Profit]] &lt;0, "Loss")</f>
        <v>Loss</v>
      </c>
      <c r="V120" t="str">
        <f t="shared" si="1"/>
        <v>UnderPerforming</v>
      </c>
      <c r="W120" s="3">
        <v>45717</v>
      </c>
    </row>
    <row r="121" spans="1:23">
      <c r="A121" t="s">
        <v>573</v>
      </c>
      <c r="B121" s="3">
        <v>46194</v>
      </c>
      <c r="C121" t="s">
        <v>75</v>
      </c>
      <c r="D121" t="str">
        <f>INDEX(Raw_product_master[Category],MATCH(Cleaned_Sales_data[[#This Row],[Product]],Raw_product_master[Product],0))</f>
        <v>Computers</v>
      </c>
      <c r="E121" t="s">
        <v>25</v>
      </c>
      <c r="F121" t="s">
        <v>20</v>
      </c>
      <c r="G121" t="s">
        <v>35</v>
      </c>
      <c r="H121">
        <v>3</v>
      </c>
      <c r="I121">
        <v>65000</v>
      </c>
      <c r="J121" s="10">
        <v>0.03</v>
      </c>
      <c r="K121">
        <v>195000</v>
      </c>
      <c r="L121">
        <v>189150</v>
      </c>
      <c r="M121">
        <v>163800</v>
      </c>
      <c r="N121">
        <v>1510</v>
      </c>
      <c r="O121">
        <v>1498</v>
      </c>
      <c r="P121">
        <f>INDEX(Raw_product_master[Standard_Cost_Per_Unit],MATCH(Cleaned_Sales_data[[#This Row],[Product]],Raw_product_master[Product],0))</f>
        <v>54600</v>
      </c>
      <c r="Q121">
        <v>22342</v>
      </c>
      <c r="R121" s="11">
        <v>0.11811789584985501</v>
      </c>
      <c r="S121" s="11">
        <f>INDEX(Raw_product_master[Target_Margin], MATCH(Cleaned_Sales_data[[#This Row],[Product]],Raw_product_master[Product], 0 ))</f>
        <v>0.12</v>
      </c>
      <c r="T121" t="str">
        <f>IF(Cleaned_Sales_data[[#This Row],[Profit]]&gt;0, "Profitable", "Loss")</f>
        <v>Profitable</v>
      </c>
      <c r="U121" t="str">
        <f>_xlfn.IFS(Cleaned_Sales_data[[#This Row],[Profit]]&gt;=10000, "High", Cleaned_Sales_data[[#This Row],[Profit]]&gt;=5000, "Medium", Cleaned_Sales_data[[#This Row],[Profit]]&gt;=0, "Low", Cleaned_Sales_data[[#This Row],[Profit]] &lt;0, "Loss")</f>
        <v>High</v>
      </c>
      <c r="V121" t="str">
        <f t="shared" si="1"/>
        <v>UnderPerforming</v>
      </c>
      <c r="W121" s="3">
        <v>46174</v>
      </c>
    </row>
    <row r="122" spans="1:23">
      <c r="A122" t="s">
        <v>577</v>
      </c>
      <c r="B122" s="3">
        <v>45951</v>
      </c>
      <c r="C122" t="s">
        <v>61</v>
      </c>
      <c r="D122" t="str">
        <f>INDEX(Raw_product_master[Category],MATCH(Cleaned_Sales_data[[#This Row],[Product]],Raw_product_master[Product],0))</f>
        <v>Accessories</v>
      </c>
      <c r="E122" t="s">
        <v>51</v>
      </c>
      <c r="F122" t="s">
        <v>20</v>
      </c>
      <c r="G122" t="s">
        <v>35</v>
      </c>
      <c r="H122">
        <v>5</v>
      </c>
      <c r="I122">
        <v>4500</v>
      </c>
      <c r="J122" s="10">
        <v>0.1</v>
      </c>
      <c r="K122">
        <v>22500</v>
      </c>
      <c r="L122">
        <v>20250</v>
      </c>
      <c r="M122">
        <v>14625</v>
      </c>
      <c r="N122">
        <v>1704</v>
      </c>
      <c r="O122">
        <v>983</v>
      </c>
      <c r="P122">
        <f>INDEX(Raw_product_master[Standard_Cost_Per_Unit],MATCH(Cleaned_Sales_data[[#This Row],[Product]],Raw_product_master[Product],0))</f>
        <v>2925</v>
      </c>
      <c r="Q122">
        <v>2938</v>
      </c>
      <c r="R122" s="11">
        <v>0.145086419753086</v>
      </c>
      <c r="S122" s="11">
        <f>INDEX(Raw_product_master[Target_Margin], MATCH(Cleaned_Sales_data[[#This Row],[Product]],Raw_product_master[Product], 0 ))</f>
        <v>0.22</v>
      </c>
      <c r="T122" t="str">
        <f>IF(Cleaned_Sales_data[[#This Row],[Profit]]&gt;0, "Profitable", "Loss")</f>
        <v>Profitable</v>
      </c>
      <c r="U122" t="str">
        <f>_xlfn.IFS(Cleaned_Sales_data[[#This Row],[Profit]]&gt;=10000, "High", Cleaned_Sales_data[[#This Row],[Profit]]&gt;=5000, "Medium", Cleaned_Sales_data[[#This Row],[Profit]]&gt;=0, "Low", Cleaned_Sales_data[[#This Row],[Profit]] &lt;0, "Loss")</f>
        <v>Low</v>
      </c>
      <c r="V122" t="str">
        <f t="shared" si="1"/>
        <v>UnderPerforming</v>
      </c>
      <c r="W122" s="3">
        <v>45931</v>
      </c>
    </row>
    <row r="123" spans="1:23">
      <c r="A123" t="s">
        <v>578</v>
      </c>
      <c r="B123" s="3">
        <v>45727</v>
      </c>
      <c r="C123" t="s">
        <v>53</v>
      </c>
      <c r="D123" t="str">
        <f>INDEX(Raw_product_master[Category],MATCH(Cleaned_Sales_data[[#This Row],[Product]],Raw_product_master[Product],0))</f>
        <v>Accessories</v>
      </c>
      <c r="E123" t="s">
        <v>63</v>
      </c>
      <c r="F123" t="s">
        <v>20</v>
      </c>
      <c r="G123" t="s">
        <v>35</v>
      </c>
      <c r="H123">
        <v>7</v>
      </c>
      <c r="I123">
        <v>1500</v>
      </c>
      <c r="J123" s="10">
        <v>0.05</v>
      </c>
      <c r="K123">
        <v>10500</v>
      </c>
      <c r="L123">
        <v>9975</v>
      </c>
      <c r="M123">
        <v>5775</v>
      </c>
      <c r="N123">
        <v>988</v>
      </c>
      <c r="O123">
        <v>1083</v>
      </c>
      <c r="P123">
        <f>INDEX(Raw_product_master[Standard_Cost_Per_Unit],MATCH(Cleaned_Sales_data[[#This Row],[Product]],Raw_product_master[Product],0))</f>
        <v>825</v>
      </c>
      <c r="Q123">
        <v>2129</v>
      </c>
      <c r="R123" s="11">
        <v>0.2134335839599</v>
      </c>
      <c r="S123" s="11">
        <f>INDEX(Raw_product_master[Target_Margin], MATCH(Cleaned_Sales_data[[#This Row],[Product]],Raw_product_master[Product], 0 ))</f>
        <v>0.3</v>
      </c>
      <c r="T123" t="str">
        <f>IF(Cleaned_Sales_data[[#This Row],[Profit]]&gt;0, "Profitable", "Loss")</f>
        <v>Profitable</v>
      </c>
      <c r="U123" t="str">
        <f>_xlfn.IFS(Cleaned_Sales_data[[#This Row],[Profit]]&gt;=10000, "High", Cleaned_Sales_data[[#This Row],[Profit]]&gt;=5000, "Medium", Cleaned_Sales_data[[#This Row],[Profit]]&gt;=0, "Low", Cleaned_Sales_data[[#This Row],[Profit]] &lt;0, "Loss")</f>
        <v>Low</v>
      </c>
      <c r="V123" t="str">
        <f t="shared" si="1"/>
        <v>UnderPerforming</v>
      </c>
      <c r="W123" s="3">
        <v>45717</v>
      </c>
    </row>
    <row r="124" spans="1:23">
      <c r="A124" t="s">
        <v>580</v>
      </c>
      <c r="B124" s="3">
        <v>45849</v>
      </c>
      <c r="C124" t="s">
        <v>53</v>
      </c>
      <c r="D124" t="str">
        <f>INDEX(Raw_product_master[Category],MATCH(Cleaned_Sales_data[[#This Row],[Product]],Raw_product_master[Product],0))</f>
        <v>Accessories</v>
      </c>
      <c r="E124" t="s">
        <v>51</v>
      </c>
      <c r="F124" t="s">
        <v>20</v>
      </c>
      <c r="G124" t="s">
        <v>35</v>
      </c>
      <c r="H124">
        <v>1</v>
      </c>
      <c r="I124">
        <v>1500</v>
      </c>
      <c r="J124" s="10">
        <v>0</v>
      </c>
      <c r="K124">
        <v>1500</v>
      </c>
      <c r="L124">
        <v>1500</v>
      </c>
      <c r="M124">
        <v>825</v>
      </c>
      <c r="N124">
        <v>402</v>
      </c>
      <c r="O124">
        <v>672</v>
      </c>
      <c r="P124">
        <f>INDEX(Raw_product_master[Standard_Cost_Per_Unit],MATCH(Cleaned_Sales_data[[#This Row],[Product]],Raw_product_master[Product],0))</f>
        <v>825</v>
      </c>
      <c r="Q124">
        <v>-399</v>
      </c>
      <c r="R124" s="11">
        <v>-0.26600000000000001</v>
      </c>
      <c r="S124" s="11">
        <f>INDEX(Raw_product_master[Target_Margin], MATCH(Cleaned_Sales_data[[#This Row],[Product]],Raw_product_master[Product], 0 ))</f>
        <v>0.3</v>
      </c>
      <c r="T124" t="str">
        <f>IF(Cleaned_Sales_data[[#This Row],[Profit]]&gt;0, "Profitable", "Loss")</f>
        <v>Loss</v>
      </c>
      <c r="U124" t="str">
        <f>_xlfn.IFS(Cleaned_Sales_data[[#This Row],[Profit]]&gt;=10000, "High", Cleaned_Sales_data[[#This Row],[Profit]]&gt;=5000, "Medium", Cleaned_Sales_data[[#This Row],[Profit]]&gt;=0, "Low", Cleaned_Sales_data[[#This Row],[Profit]] &lt;0, "Loss")</f>
        <v>Loss</v>
      </c>
      <c r="V124" t="str">
        <f t="shared" si="1"/>
        <v>UnderPerforming</v>
      </c>
      <c r="W124" s="3">
        <v>45839</v>
      </c>
    </row>
    <row r="125" spans="1:23">
      <c r="A125" t="s">
        <v>591</v>
      </c>
      <c r="B125" s="3">
        <v>46055</v>
      </c>
      <c r="C125" t="s">
        <v>30</v>
      </c>
      <c r="D125" t="str">
        <f>INDEX(Raw_product_master[Category],MATCH(Cleaned_Sales_data[[#This Row],[Product]],Raw_product_master[Product],0))</f>
        <v>Displays</v>
      </c>
      <c r="E125" t="s">
        <v>51</v>
      </c>
      <c r="F125" t="s">
        <v>20</v>
      </c>
      <c r="G125" t="s">
        <v>35</v>
      </c>
      <c r="H125">
        <v>1</v>
      </c>
      <c r="I125">
        <v>28000</v>
      </c>
      <c r="J125" s="10">
        <v>0.05</v>
      </c>
      <c r="K125">
        <v>28000</v>
      </c>
      <c r="L125">
        <v>26600</v>
      </c>
      <c r="M125">
        <v>21840</v>
      </c>
      <c r="N125">
        <v>1387</v>
      </c>
      <c r="O125">
        <v>1251</v>
      </c>
      <c r="P125">
        <f>INDEX(Raw_product_master[Standard_Cost_Per_Unit],MATCH(Cleaned_Sales_data[[#This Row],[Product]],Raw_product_master[Product],0))</f>
        <v>21840</v>
      </c>
      <c r="Q125">
        <v>2122</v>
      </c>
      <c r="R125" s="11">
        <v>7.9774436090225595E-2</v>
      </c>
      <c r="S125" s="11">
        <f>INDEX(Raw_product_master[Target_Margin], MATCH(Cleaned_Sales_data[[#This Row],[Product]],Raw_product_master[Product], 0 ))</f>
        <v>0.18</v>
      </c>
      <c r="T125" t="str">
        <f>IF(Cleaned_Sales_data[[#This Row],[Profit]]&gt;0, "Profitable", "Loss")</f>
        <v>Profitable</v>
      </c>
      <c r="U125" t="str">
        <f>_xlfn.IFS(Cleaned_Sales_data[[#This Row],[Profit]]&gt;=10000, "High", Cleaned_Sales_data[[#This Row],[Profit]]&gt;=5000, "Medium", Cleaned_Sales_data[[#This Row],[Profit]]&gt;=0, "Low", Cleaned_Sales_data[[#This Row],[Profit]] &lt;0, "Loss")</f>
        <v>Low</v>
      </c>
      <c r="V125" t="str">
        <f t="shared" si="1"/>
        <v>UnderPerforming</v>
      </c>
      <c r="W125" s="3">
        <v>46054</v>
      </c>
    </row>
    <row r="126" spans="1:23">
      <c r="A126" t="s">
        <v>598</v>
      </c>
      <c r="B126" s="3">
        <v>46161</v>
      </c>
      <c r="C126" t="s">
        <v>18</v>
      </c>
      <c r="D126" t="str">
        <f>INDEX(Raw_product_master[Category],MATCH(Cleaned_Sales_data[[#This Row],[Product]],Raw_product_master[Product],0))</f>
        <v>Computers</v>
      </c>
      <c r="E126" t="s">
        <v>34</v>
      </c>
      <c r="F126" t="s">
        <v>20</v>
      </c>
      <c r="G126" t="s">
        <v>35</v>
      </c>
      <c r="H126">
        <v>1</v>
      </c>
      <c r="I126">
        <v>32000</v>
      </c>
      <c r="J126" s="10">
        <v>0.1</v>
      </c>
      <c r="K126">
        <v>32000</v>
      </c>
      <c r="L126">
        <v>28800</v>
      </c>
      <c r="M126">
        <v>26240</v>
      </c>
      <c r="N126">
        <v>615</v>
      </c>
      <c r="O126">
        <v>825</v>
      </c>
      <c r="P126">
        <f>INDEX(Raw_product_master[Standard_Cost_Per_Unit],MATCH(Cleaned_Sales_data[[#This Row],[Product]],Raw_product_master[Product],0))</f>
        <v>26240</v>
      </c>
      <c r="Q126">
        <v>1120</v>
      </c>
      <c r="R126" s="11">
        <v>3.8888888888888903E-2</v>
      </c>
      <c r="S126" s="11">
        <f>INDEX(Raw_product_master[Target_Margin], MATCH(Cleaned_Sales_data[[#This Row],[Product]],Raw_product_master[Product], 0 ))</f>
        <v>0.12</v>
      </c>
      <c r="T126" t="str">
        <f>IF(Cleaned_Sales_data[[#This Row],[Profit]]&gt;0, "Profitable", "Loss")</f>
        <v>Profitable</v>
      </c>
      <c r="U126" t="str">
        <f>_xlfn.IFS(Cleaned_Sales_data[[#This Row],[Profit]]&gt;=10000, "High", Cleaned_Sales_data[[#This Row],[Profit]]&gt;=5000, "Medium", Cleaned_Sales_data[[#This Row],[Profit]]&gt;=0, "Low", Cleaned_Sales_data[[#This Row],[Profit]] &lt;0, "Loss")</f>
        <v>Low</v>
      </c>
      <c r="V126" t="str">
        <f t="shared" si="1"/>
        <v>UnderPerforming</v>
      </c>
      <c r="W126" s="3">
        <v>46143</v>
      </c>
    </row>
    <row r="127" spans="1:23">
      <c r="A127" t="s">
        <v>600</v>
      </c>
      <c r="B127" s="3">
        <v>45740</v>
      </c>
      <c r="C127" t="s">
        <v>30</v>
      </c>
      <c r="D127" t="str">
        <f>INDEX(Raw_product_master[Category],MATCH(Cleaned_Sales_data[[#This Row],[Product]],Raw_product_master[Product],0))</f>
        <v>Displays</v>
      </c>
      <c r="E127" t="s">
        <v>51</v>
      </c>
      <c r="F127" t="s">
        <v>20</v>
      </c>
      <c r="G127" t="s">
        <v>35</v>
      </c>
      <c r="H127">
        <v>1</v>
      </c>
      <c r="I127">
        <v>28000</v>
      </c>
      <c r="J127" s="10">
        <v>0.05</v>
      </c>
      <c r="K127">
        <v>28000</v>
      </c>
      <c r="L127">
        <v>26600</v>
      </c>
      <c r="M127">
        <v>21840</v>
      </c>
      <c r="N127">
        <v>1040</v>
      </c>
      <c r="O127">
        <v>1914</v>
      </c>
      <c r="P127">
        <f>INDEX(Raw_product_master[Standard_Cost_Per_Unit],MATCH(Cleaned_Sales_data[[#This Row],[Product]],Raw_product_master[Product],0))</f>
        <v>21840</v>
      </c>
      <c r="Q127">
        <v>1806</v>
      </c>
      <c r="R127" s="11">
        <v>6.7894736842105299E-2</v>
      </c>
      <c r="S127" s="11">
        <f>INDEX(Raw_product_master[Target_Margin], MATCH(Cleaned_Sales_data[[#This Row],[Product]],Raw_product_master[Product], 0 ))</f>
        <v>0.18</v>
      </c>
      <c r="T127" t="str">
        <f>IF(Cleaned_Sales_data[[#This Row],[Profit]]&gt;0, "Profitable", "Loss")</f>
        <v>Profitable</v>
      </c>
      <c r="U127" t="str">
        <f>_xlfn.IFS(Cleaned_Sales_data[[#This Row],[Profit]]&gt;=10000, "High", Cleaned_Sales_data[[#This Row],[Profit]]&gt;=5000, "Medium", Cleaned_Sales_data[[#This Row],[Profit]]&gt;=0, "Low", Cleaned_Sales_data[[#This Row],[Profit]] &lt;0, "Loss")</f>
        <v>Low</v>
      </c>
      <c r="V127" t="str">
        <f t="shared" si="1"/>
        <v>UnderPerforming</v>
      </c>
      <c r="W127" s="3">
        <v>45717</v>
      </c>
    </row>
    <row r="128" spans="1:23">
      <c r="A128" t="s">
        <v>602</v>
      </c>
      <c r="B128" s="3">
        <v>45682</v>
      </c>
      <c r="C128" t="s">
        <v>61</v>
      </c>
      <c r="D128" t="str">
        <f>INDEX(Raw_product_master[Category],MATCH(Cleaned_Sales_data[[#This Row],[Product]],Raw_product_master[Product],0))</f>
        <v>Accessories</v>
      </c>
      <c r="E128" t="s">
        <v>34</v>
      </c>
      <c r="F128" t="s">
        <v>20</v>
      </c>
      <c r="G128" t="s">
        <v>35</v>
      </c>
      <c r="H128">
        <v>2</v>
      </c>
      <c r="I128">
        <v>4500</v>
      </c>
      <c r="J128" s="10">
        <v>0.05</v>
      </c>
      <c r="K128">
        <v>9000</v>
      </c>
      <c r="L128">
        <v>8550</v>
      </c>
      <c r="M128">
        <v>5850</v>
      </c>
      <c r="N128">
        <v>838</v>
      </c>
      <c r="O128">
        <v>2060</v>
      </c>
      <c r="P128">
        <f>INDEX(Raw_product_master[Standard_Cost_Per_Unit],MATCH(Cleaned_Sales_data[[#This Row],[Product]],Raw_product_master[Product],0))</f>
        <v>2925</v>
      </c>
      <c r="Q128">
        <v>-198</v>
      </c>
      <c r="R128" s="11">
        <v>-2.31578947368421E-2</v>
      </c>
      <c r="S128" s="11">
        <f>INDEX(Raw_product_master[Target_Margin], MATCH(Cleaned_Sales_data[[#This Row],[Product]],Raw_product_master[Product], 0 ))</f>
        <v>0.22</v>
      </c>
      <c r="T128" t="str">
        <f>IF(Cleaned_Sales_data[[#This Row],[Profit]]&gt;0, "Profitable", "Loss")</f>
        <v>Loss</v>
      </c>
      <c r="U128" t="str">
        <f>_xlfn.IFS(Cleaned_Sales_data[[#This Row],[Profit]]&gt;=10000, "High", Cleaned_Sales_data[[#This Row],[Profit]]&gt;=5000, "Medium", Cleaned_Sales_data[[#This Row],[Profit]]&gt;=0, "Low", Cleaned_Sales_data[[#This Row],[Profit]] &lt;0, "Loss")</f>
        <v>Loss</v>
      </c>
      <c r="V128" t="str">
        <f t="shared" si="1"/>
        <v>UnderPerforming</v>
      </c>
      <c r="W128" s="3">
        <v>45658</v>
      </c>
    </row>
    <row r="129" spans="1:23">
      <c r="A129" t="s">
        <v>604</v>
      </c>
      <c r="B129" s="3">
        <v>45898</v>
      </c>
      <c r="C129" t="s">
        <v>53</v>
      </c>
      <c r="D129" t="str">
        <f>INDEX(Raw_product_master[Category],MATCH(Cleaned_Sales_data[[#This Row],[Product]],Raw_product_master[Product],0))</f>
        <v>Accessories</v>
      </c>
      <c r="E129" t="s">
        <v>19</v>
      </c>
      <c r="F129" t="s">
        <v>20</v>
      </c>
      <c r="G129" t="s">
        <v>35</v>
      </c>
      <c r="H129">
        <v>1</v>
      </c>
      <c r="I129">
        <v>1500</v>
      </c>
      <c r="J129" s="10">
        <v>0.05</v>
      </c>
      <c r="K129">
        <v>1500</v>
      </c>
      <c r="L129">
        <v>1425</v>
      </c>
      <c r="M129">
        <v>825</v>
      </c>
      <c r="N129">
        <v>253</v>
      </c>
      <c r="O129">
        <v>1454</v>
      </c>
      <c r="P129">
        <f>INDEX(Raw_product_master[Standard_Cost_Per_Unit],MATCH(Cleaned_Sales_data[[#This Row],[Product]],Raw_product_master[Product],0))</f>
        <v>825</v>
      </c>
      <c r="Q129">
        <v>-1107</v>
      </c>
      <c r="R129" s="11">
        <v>-0.776842105263158</v>
      </c>
      <c r="S129" s="11">
        <f>INDEX(Raw_product_master[Target_Margin], MATCH(Cleaned_Sales_data[[#This Row],[Product]],Raw_product_master[Product], 0 ))</f>
        <v>0.3</v>
      </c>
      <c r="T129" t="str">
        <f>IF(Cleaned_Sales_data[[#This Row],[Profit]]&gt;0, "Profitable", "Loss")</f>
        <v>Loss</v>
      </c>
      <c r="U129" t="str">
        <f>_xlfn.IFS(Cleaned_Sales_data[[#This Row],[Profit]]&gt;=10000, "High", Cleaned_Sales_data[[#This Row],[Profit]]&gt;=5000, "Medium", Cleaned_Sales_data[[#This Row],[Profit]]&gt;=0, "Low", Cleaned_Sales_data[[#This Row],[Profit]] &lt;0, "Loss")</f>
        <v>Loss</v>
      </c>
      <c r="V129" t="str">
        <f t="shared" si="1"/>
        <v>UnderPerforming</v>
      </c>
      <c r="W129" s="3">
        <v>45870</v>
      </c>
    </row>
    <row r="130" spans="1:23">
      <c r="A130" t="s">
        <v>606</v>
      </c>
      <c r="B130" s="3">
        <v>45729</v>
      </c>
      <c r="C130" t="s">
        <v>18</v>
      </c>
      <c r="D130" t="str">
        <f>INDEX(Raw_product_master[Category],MATCH(Cleaned_Sales_data[[#This Row],[Product]],Raw_product_master[Product],0))</f>
        <v>Computers</v>
      </c>
      <c r="E130" t="s">
        <v>34</v>
      </c>
      <c r="F130" t="s">
        <v>20</v>
      </c>
      <c r="G130" t="s">
        <v>35</v>
      </c>
      <c r="H130">
        <v>2</v>
      </c>
      <c r="I130">
        <v>32000</v>
      </c>
      <c r="J130" s="10">
        <v>0.08</v>
      </c>
      <c r="K130">
        <v>64000</v>
      </c>
      <c r="L130">
        <v>58880</v>
      </c>
      <c r="M130">
        <v>52480</v>
      </c>
      <c r="N130">
        <v>1026</v>
      </c>
      <c r="O130">
        <v>2430</v>
      </c>
      <c r="P130">
        <f>INDEX(Raw_product_master[Standard_Cost_Per_Unit],MATCH(Cleaned_Sales_data[[#This Row],[Product]],Raw_product_master[Product],0))</f>
        <v>26240</v>
      </c>
      <c r="Q130">
        <v>2944</v>
      </c>
      <c r="R130" s="11">
        <v>0.05</v>
      </c>
      <c r="S130" s="11">
        <f>INDEX(Raw_product_master[Target_Margin], MATCH(Cleaned_Sales_data[[#This Row],[Product]],Raw_product_master[Product], 0 ))</f>
        <v>0.12</v>
      </c>
      <c r="T130" t="str">
        <f>IF(Cleaned_Sales_data[[#This Row],[Profit]]&gt;0, "Profitable", "Loss")</f>
        <v>Profitable</v>
      </c>
      <c r="U130" t="str">
        <f>_xlfn.IFS(Cleaned_Sales_data[[#This Row],[Profit]]&gt;=10000, "High", Cleaned_Sales_data[[#This Row],[Profit]]&gt;=5000, "Medium", Cleaned_Sales_data[[#This Row],[Profit]]&gt;=0, "Low", Cleaned_Sales_data[[#This Row],[Profit]] &lt;0, "Loss")</f>
        <v>Low</v>
      </c>
      <c r="V130" t="str">
        <f t="shared" ref="V130:V193" si="2">IF(R130&lt;S130, "UnderPerforming", "On Target")</f>
        <v>UnderPerforming</v>
      </c>
      <c r="W130" s="3">
        <v>45717</v>
      </c>
    </row>
    <row r="131" spans="1:23">
      <c r="A131" t="s">
        <v>610</v>
      </c>
      <c r="B131" s="3">
        <v>45938</v>
      </c>
      <c r="C131" t="s">
        <v>24</v>
      </c>
      <c r="D131" t="str">
        <f>INDEX(Raw_product_master[Category],MATCH(Cleaned_Sales_data[[#This Row],[Product]],Raw_product_master[Product],0))</f>
        <v>Accessories</v>
      </c>
      <c r="E131" t="s">
        <v>34</v>
      </c>
      <c r="F131" t="s">
        <v>20</v>
      </c>
      <c r="G131" t="s">
        <v>35</v>
      </c>
      <c r="H131">
        <v>5</v>
      </c>
      <c r="I131">
        <v>3500</v>
      </c>
      <c r="J131" s="10">
        <v>0.1</v>
      </c>
      <c r="K131">
        <v>17500</v>
      </c>
      <c r="L131">
        <v>15750</v>
      </c>
      <c r="M131">
        <v>11900</v>
      </c>
      <c r="N131">
        <v>1211</v>
      </c>
      <c r="O131">
        <v>384</v>
      </c>
      <c r="P131">
        <f>INDEX(Raw_product_master[Standard_Cost_Per_Unit],MATCH(Cleaned_Sales_data[[#This Row],[Product]],Raw_product_master[Product],0))</f>
        <v>2380</v>
      </c>
      <c r="Q131">
        <v>2255</v>
      </c>
      <c r="R131" s="11">
        <v>0.14317460317460301</v>
      </c>
      <c r="S131" s="11">
        <f>INDEX(Raw_product_master[Target_Margin], MATCH(Cleaned_Sales_data[[#This Row],[Product]],Raw_product_master[Product], 0 ))</f>
        <v>0.2</v>
      </c>
      <c r="T131" t="str">
        <f>IF(Cleaned_Sales_data[[#This Row],[Profit]]&gt;0, "Profitable", "Loss")</f>
        <v>Profitable</v>
      </c>
      <c r="U131" t="str">
        <f>_xlfn.IFS(Cleaned_Sales_data[[#This Row],[Profit]]&gt;=10000, "High", Cleaned_Sales_data[[#This Row],[Profit]]&gt;=5000, "Medium", Cleaned_Sales_data[[#This Row],[Profit]]&gt;=0, "Low", Cleaned_Sales_data[[#This Row],[Profit]] &lt;0, "Loss")</f>
        <v>Low</v>
      </c>
      <c r="V131" t="str">
        <f t="shared" si="2"/>
        <v>UnderPerforming</v>
      </c>
      <c r="W131" s="3">
        <v>45931</v>
      </c>
    </row>
    <row r="132" spans="1:23">
      <c r="A132" t="s">
        <v>613</v>
      </c>
      <c r="B132" s="3">
        <v>45957</v>
      </c>
      <c r="C132" t="s">
        <v>30</v>
      </c>
      <c r="D132" t="str">
        <f>INDEX(Raw_product_master[Category],MATCH(Cleaned_Sales_data[[#This Row],[Product]],Raw_product_master[Product],0))</f>
        <v>Displays</v>
      </c>
      <c r="E132" t="s">
        <v>25</v>
      </c>
      <c r="F132" t="s">
        <v>20</v>
      </c>
      <c r="G132" t="s">
        <v>35</v>
      </c>
      <c r="H132">
        <v>2</v>
      </c>
      <c r="I132">
        <v>28000</v>
      </c>
      <c r="J132" s="10">
        <v>0</v>
      </c>
      <c r="K132">
        <v>56000</v>
      </c>
      <c r="L132">
        <v>56000</v>
      </c>
      <c r="M132">
        <v>43680</v>
      </c>
      <c r="N132">
        <v>837</v>
      </c>
      <c r="O132">
        <v>377</v>
      </c>
      <c r="P132">
        <f>INDEX(Raw_product_master[Standard_Cost_Per_Unit],MATCH(Cleaned_Sales_data[[#This Row],[Product]],Raw_product_master[Product],0))</f>
        <v>21840</v>
      </c>
      <c r="Q132">
        <v>11106</v>
      </c>
      <c r="R132" s="11">
        <v>0.19832142857142901</v>
      </c>
      <c r="S132" s="11">
        <f>INDEX(Raw_product_master[Target_Margin], MATCH(Cleaned_Sales_data[[#This Row],[Product]],Raw_product_master[Product], 0 ))</f>
        <v>0.18</v>
      </c>
      <c r="T132" t="str">
        <f>IF(Cleaned_Sales_data[[#This Row],[Profit]]&gt;0, "Profitable", "Loss")</f>
        <v>Profitable</v>
      </c>
      <c r="U132" t="str">
        <f>_xlfn.IFS(Cleaned_Sales_data[[#This Row],[Profit]]&gt;=10000, "High", Cleaned_Sales_data[[#This Row],[Profit]]&gt;=5000, "Medium", Cleaned_Sales_data[[#This Row],[Profit]]&gt;=0, "Low", Cleaned_Sales_data[[#This Row],[Profit]] &lt;0, "Loss")</f>
        <v>High</v>
      </c>
      <c r="V132" t="str">
        <f t="shared" si="2"/>
        <v>On Target</v>
      </c>
      <c r="W132" s="3">
        <v>45931</v>
      </c>
    </row>
    <row r="133" spans="1:23">
      <c r="A133" t="s">
        <v>619</v>
      </c>
      <c r="B133" s="3">
        <v>45973</v>
      </c>
      <c r="C133" t="s">
        <v>30</v>
      </c>
      <c r="D133" t="str">
        <f>INDEX(Raw_product_master[Category],MATCH(Cleaned_Sales_data[[#This Row],[Product]],Raw_product_master[Product],0))</f>
        <v>Displays</v>
      </c>
      <c r="E133" t="s">
        <v>34</v>
      </c>
      <c r="F133" t="s">
        <v>20</v>
      </c>
      <c r="G133" t="s">
        <v>35</v>
      </c>
      <c r="H133">
        <v>3</v>
      </c>
      <c r="I133">
        <v>28000</v>
      </c>
      <c r="J133" s="10">
        <v>0.08</v>
      </c>
      <c r="K133">
        <v>84000</v>
      </c>
      <c r="L133">
        <v>77280</v>
      </c>
      <c r="M133">
        <v>65520</v>
      </c>
      <c r="N133">
        <v>1161</v>
      </c>
      <c r="O133">
        <v>755</v>
      </c>
      <c r="P133">
        <f>INDEX(Raw_product_master[Standard_Cost_Per_Unit],MATCH(Cleaned_Sales_data[[#This Row],[Product]],Raw_product_master[Product],0))</f>
        <v>21840</v>
      </c>
      <c r="Q133">
        <v>9844</v>
      </c>
      <c r="R133" s="11">
        <v>0.12738095238095201</v>
      </c>
      <c r="S133" s="11">
        <f>INDEX(Raw_product_master[Target_Margin], MATCH(Cleaned_Sales_data[[#This Row],[Product]],Raw_product_master[Product], 0 ))</f>
        <v>0.18</v>
      </c>
      <c r="T133" t="str">
        <f>IF(Cleaned_Sales_data[[#This Row],[Profit]]&gt;0, "Profitable", "Loss")</f>
        <v>Profitable</v>
      </c>
      <c r="U133" t="str">
        <f>_xlfn.IFS(Cleaned_Sales_data[[#This Row],[Profit]]&gt;=10000, "High", Cleaned_Sales_data[[#This Row],[Profit]]&gt;=5000, "Medium", Cleaned_Sales_data[[#This Row],[Profit]]&gt;=0, "Low", Cleaned_Sales_data[[#This Row],[Profit]] &lt;0, "Loss")</f>
        <v>Medium</v>
      </c>
      <c r="V133" t="str">
        <f t="shared" si="2"/>
        <v>UnderPerforming</v>
      </c>
      <c r="W133" s="3">
        <v>45962</v>
      </c>
    </row>
    <row r="134" spans="1:23">
      <c r="A134" t="s">
        <v>620</v>
      </c>
      <c r="B134" s="3">
        <v>46018</v>
      </c>
      <c r="C134" t="s">
        <v>75</v>
      </c>
      <c r="D134" t="str">
        <f>INDEX(Raw_product_master[Category],MATCH(Cleaned_Sales_data[[#This Row],[Product]],Raw_product_master[Product],0))</f>
        <v>Computers</v>
      </c>
      <c r="E134" t="s">
        <v>34</v>
      </c>
      <c r="F134" t="s">
        <v>20</v>
      </c>
      <c r="G134" t="s">
        <v>35</v>
      </c>
      <c r="H134">
        <v>1</v>
      </c>
      <c r="I134">
        <v>65000</v>
      </c>
      <c r="J134" s="10">
        <v>0.05</v>
      </c>
      <c r="K134">
        <v>65000</v>
      </c>
      <c r="L134">
        <v>61750</v>
      </c>
      <c r="M134">
        <v>54600</v>
      </c>
      <c r="N134">
        <v>497</v>
      </c>
      <c r="O134">
        <v>907</v>
      </c>
      <c r="P134">
        <f>INDEX(Raw_product_master[Standard_Cost_Per_Unit],MATCH(Cleaned_Sales_data[[#This Row],[Product]],Raw_product_master[Product],0))</f>
        <v>54600</v>
      </c>
      <c r="Q134">
        <v>5746</v>
      </c>
      <c r="R134" s="11">
        <v>9.3052631578947401E-2</v>
      </c>
      <c r="S134" s="11">
        <f>INDEX(Raw_product_master[Target_Margin], MATCH(Cleaned_Sales_data[[#This Row],[Product]],Raw_product_master[Product], 0 ))</f>
        <v>0.12</v>
      </c>
      <c r="T134" t="str">
        <f>IF(Cleaned_Sales_data[[#This Row],[Profit]]&gt;0, "Profitable", "Loss")</f>
        <v>Profitable</v>
      </c>
      <c r="U134" t="str">
        <f>_xlfn.IFS(Cleaned_Sales_data[[#This Row],[Profit]]&gt;=10000, "High", Cleaned_Sales_data[[#This Row],[Profit]]&gt;=5000, "Medium", Cleaned_Sales_data[[#This Row],[Profit]]&gt;=0, "Low", Cleaned_Sales_data[[#This Row],[Profit]] &lt;0, "Loss")</f>
        <v>Medium</v>
      </c>
      <c r="V134" t="str">
        <f t="shared" si="2"/>
        <v>UnderPerforming</v>
      </c>
      <c r="W134" s="3">
        <v>45992</v>
      </c>
    </row>
    <row r="135" spans="1:23">
      <c r="A135" t="s">
        <v>624</v>
      </c>
      <c r="B135" s="3">
        <v>45937</v>
      </c>
      <c r="C135" t="s">
        <v>53</v>
      </c>
      <c r="D135" t="str">
        <f>INDEX(Raw_product_master[Category],MATCH(Cleaned_Sales_data[[#This Row],[Product]],Raw_product_master[Product],0))</f>
        <v>Accessories</v>
      </c>
      <c r="E135" t="s">
        <v>51</v>
      </c>
      <c r="F135" t="s">
        <v>20</v>
      </c>
      <c r="G135" t="s">
        <v>35</v>
      </c>
      <c r="H135">
        <v>5</v>
      </c>
      <c r="I135">
        <v>1500</v>
      </c>
      <c r="J135" s="10">
        <v>0.08</v>
      </c>
      <c r="K135">
        <v>7500</v>
      </c>
      <c r="L135">
        <v>6900</v>
      </c>
      <c r="M135">
        <v>4125</v>
      </c>
      <c r="N135">
        <v>324</v>
      </c>
      <c r="O135">
        <v>970</v>
      </c>
      <c r="P135">
        <f>INDEX(Raw_product_master[Standard_Cost_Per_Unit],MATCH(Cleaned_Sales_data[[#This Row],[Product]],Raw_product_master[Product],0))</f>
        <v>825</v>
      </c>
      <c r="Q135">
        <v>1481</v>
      </c>
      <c r="R135" s="11">
        <v>0.21463768115942</v>
      </c>
      <c r="S135" s="11">
        <f>INDEX(Raw_product_master[Target_Margin], MATCH(Cleaned_Sales_data[[#This Row],[Product]],Raw_product_master[Product], 0 ))</f>
        <v>0.3</v>
      </c>
      <c r="T135" t="str">
        <f>IF(Cleaned_Sales_data[[#This Row],[Profit]]&gt;0, "Profitable", "Loss")</f>
        <v>Profitable</v>
      </c>
      <c r="U135" t="str">
        <f>_xlfn.IFS(Cleaned_Sales_data[[#This Row],[Profit]]&gt;=10000, "High", Cleaned_Sales_data[[#This Row],[Profit]]&gt;=5000, "Medium", Cleaned_Sales_data[[#This Row],[Profit]]&gt;=0, "Low", Cleaned_Sales_data[[#This Row],[Profit]] &lt;0, "Loss")</f>
        <v>Low</v>
      </c>
      <c r="V135" t="str">
        <f t="shared" si="2"/>
        <v>UnderPerforming</v>
      </c>
      <c r="W135" s="3">
        <v>45931</v>
      </c>
    </row>
    <row r="136" spans="1:23">
      <c r="A136" t="s">
        <v>628</v>
      </c>
      <c r="B136" s="3">
        <v>45799</v>
      </c>
      <c r="C136" t="s">
        <v>18</v>
      </c>
      <c r="D136" t="str">
        <f>INDEX(Raw_product_master[Category],MATCH(Cleaned_Sales_data[[#This Row],[Product]],Raw_product_master[Product],0))</f>
        <v>Computers</v>
      </c>
      <c r="E136" t="s">
        <v>51</v>
      </c>
      <c r="F136" t="s">
        <v>20</v>
      </c>
      <c r="G136" t="s">
        <v>35</v>
      </c>
      <c r="H136">
        <v>2</v>
      </c>
      <c r="I136">
        <v>32000</v>
      </c>
      <c r="J136" s="10">
        <v>0.1</v>
      </c>
      <c r="K136">
        <v>64000</v>
      </c>
      <c r="L136">
        <v>57600</v>
      </c>
      <c r="M136">
        <v>52480</v>
      </c>
      <c r="N136">
        <v>1111</v>
      </c>
      <c r="O136">
        <v>1460</v>
      </c>
      <c r="P136">
        <f>INDEX(Raw_product_master[Standard_Cost_Per_Unit],MATCH(Cleaned_Sales_data[[#This Row],[Product]],Raw_product_master[Product],0))</f>
        <v>26240</v>
      </c>
      <c r="Q136">
        <v>2549</v>
      </c>
      <c r="R136" s="11">
        <v>4.4253472222222201E-2</v>
      </c>
      <c r="S136" s="11">
        <f>INDEX(Raw_product_master[Target_Margin], MATCH(Cleaned_Sales_data[[#This Row],[Product]],Raw_product_master[Product], 0 ))</f>
        <v>0.12</v>
      </c>
      <c r="T136" t="str">
        <f>IF(Cleaned_Sales_data[[#This Row],[Profit]]&gt;0, "Profitable", "Loss")</f>
        <v>Profitable</v>
      </c>
      <c r="U136" t="str">
        <f>_xlfn.IFS(Cleaned_Sales_data[[#This Row],[Profit]]&gt;=10000, "High", Cleaned_Sales_data[[#This Row],[Profit]]&gt;=5000, "Medium", Cleaned_Sales_data[[#This Row],[Profit]]&gt;=0, "Low", Cleaned_Sales_data[[#This Row],[Profit]] &lt;0, "Loss")</f>
        <v>Low</v>
      </c>
      <c r="V136" t="str">
        <f t="shared" si="2"/>
        <v>UnderPerforming</v>
      </c>
      <c r="W136" s="3">
        <v>45778</v>
      </c>
    </row>
    <row r="137" spans="1:23">
      <c r="A137" t="s">
        <v>630</v>
      </c>
      <c r="B137" s="3">
        <v>45944</v>
      </c>
      <c r="C137" t="s">
        <v>50</v>
      </c>
      <c r="D137" t="str">
        <f>INDEX(Raw_product_master[Category],MATCH(Cleaned_Sales_data[[#This Row],[Product]],Raw_product_master[Product],0))</f>
        <v>Accessories</v>
      </c>
      <c r="E137" t="s">
        <v>19</v>
      </c>
      <c r="F137" t="s">
        <v>20</v>
      </c>
      <c r="G137" t="s">
        <v>35</v>
      </c>
      <c r="H137">
        <v>6</v>
      </c>
      <c r="I137">
        <v>2500</v>
      </c>
      <c r="J137" s="10">
        <v>0</v>
      </c>
      <c r="K137">
        <v>15000</v>
      </c>
      <c r="L137">
        <v>15000</v>
      </c>
      <c r="M137">
        <v>9300</v>
      </c>
      <c r="N137">
        <v>1064</v>
      </c>
      <c r="O137">
        <v>1368</v>
      </c>
      <c r="P137">
        <f>INDEX(Raw_product_master[Standard_Cost_Per_Unit],MATCH(Cleaned_Sales_data[[#This Row],[Product]],Raw_product_master[Product],0))</f>
        <v>1550</v>
      </c>
      <c r="Q137">
        <v>3268</v>
      </c>
      <c r="R137" s="11">
        <v>0.21786666666666701</v>
      </c>
      <c r="S137" s="11">
        <f>INDEX(Raw_product_master[Target_Margin], MATCH(Cleaned_Sales_data[[#This Row],[Product]],Raw_product_master[Product], 0 ))</f>
        <v>0.25</v>
      </c>
      <c r="T137" t="str">
        <f>IF(Cleaned_Sales_data[[#This Row],[Profit]]&gt;0, "Profitable", "Loss")</f>
        <v>Profitable</v>
      </c>
      <c r="U137" t="str">
        <f>_xlfn.IFS(Cleaned_Sales_data[[#This Row],[Profit]]&gt;=10000, "High", Cleaned_Sales_data[[#This Row],[Profit]]&gt;=5000, "Medium", Cleaned_Sales_data[[#This Row],[Profit]]&gt;=0, "Low", Cleaned_Sales_data[[#This Row],[Profit]] &lt;0, "Loss")</f>
        <v>Low</v>
      </c>
      <c r="V137" t="str">
        <f t="shared" si="2"/>
        <v>UnderPerforming</v>
      </c>
      <c r="W137" s="3">
        <v>45931</v>
      </c>
    </row>
    <row r="138" spans="1:23">
      <c r="A138" t="s">
        <v>632</v>
      </c>
      <c r="B138" s="3">
        <v>45729</v>
      </c>
      <c r="C138" t="s">
        <v>75</v>
      </c>
      <c r="D138" t="str">
        <f>INDEX(Raw_product_master[Category],MATCH(Cleaned_Sales_data[[#This Row],[Product]],Raw_product_master[Product],0))</f>
        <v>Computers</v>
      </c>
      <c r="E138" t="s">
        <v>63</v>
      </c>
      <c r="F138" t="s">
        <v>20</v>
      </c>
      <c r="G138" t="s">
        <v>35</v>
      </c>
      <c r="H138">
        <v>3</v>
      </c>
      <c r="I138">
        <v>65000</v>
      </c>
      <c r="J138" s="10">
        <v>0.05</v>
      </c>
      <c r="K138">
        <v>195000</v>
      </c>
      <c r="L138">
        <v>185250</v>
      </c>
      <c r="M138">
        <v>163800</v>
      </c>
      <c r="N138">
        <v>1036</v>
      </c>
      <c r="O138">
        <v>607</v>
      </c>
      <c r="P138">
        <f>INDEX(Raw_product_master[Standard_Cost_Per_Unit],MATCH(Cleaned_Sales_data[[#This Row],[Product]],Raw_product_master[Product],0))</f>
        <v>54600</v>
      </c>
      <c r="Q138">
        <v>19807</v>
      </c>
      <c r="R138" s="11">
        <v>0.106920377867746</v>
      </c>
      <c r="S138" s="11">
        <f>INDEX(Raw_product_master[Target_Margin], MATCH(Cleaned_Sales_data[[#This Row],[Product]],Raw_product_master[Product], 0 ))</f>
        <v>0.12</v>
      </c>
      <c r="T138" t="str">
        <f>IF(Cleaned_Sales_data[[#This Row],[Profit]]&gt;0, "Profitable", "Loss")</f>
        <v>Profitable</v>
      </c>
      <c r="U138" t="str">
        <f>_xlfn.IFS(Cleaned_Sales_data[[#This Row],[Profit]]&gt;=10000, "High", Cleaned_Sales_data[[#This Row],[Profit]]&gt;=5000, "Medium", Cleaned_Sales_data[[#This Row],[Profit]]&gt;=0, "Low", Cleaned_Sales_data[[#This Row],[Profit]] &lt;0, "Loss")</f>
        <v>High</v>
      </c>
      <c r="V138" t="str">
        <f t="shared" si="2"/>
        <v>UnderPerforming</v>
      </c>
      <c r="W138" s="3">
        <v>45717</v>
      </c>
    </row>
    <row r="139" spans="1:23">
      <c r="A139" t="s">
        <v>636</v>
      </c>
      <c r="B139" s="3">
        <v>45845</v>
      </c>
      <c r="C139" t="s">
        <v>50</v>
      </c>
      <c r="D139" t="str">
        <f>INDEX(Raw_product_master[Category],MATCH(Cleaned_Sales_data[[#This Row],[Product]],Raw_product_master[Product],0))</f>
        <v>Accessories</v>
      </c>
      <c r="E139" t="s">
        <v>63</v>
      </c>
      <c r="F139" t="s">
        <v>20</v>
      </c>
      <c r="G139" t="s">
        <v>35</v>
      </c>
      <c r="H139">
        <v>6</v>
      </c>
      <c r="I139">
        <v>2500</v>
      </c>
      <c r="J139" s="10">
        <v>0</v>
      </c>
      <c r="K139">
        <v>15000</v>
      </c>
      <c r="L139">
        <v>15000</v>
      </c>
      <c r="M139">
        <v>9300</v>
      </c>
      <c r="N139">
        <v>370</v>
      </c>
      <c r="O139">
        <v>752</v>
      </c>
      <c r="P139">
        <f>INDEX(Raw_product_master[Standard_Cost_Per_Unit],MATCH(Cleaned_Sales_data[[#This Row],[Product]],Raw_product_master[Product],0))</f>
        <v>1550</v>
      </c>
      <c r="Q139">
        <v>4578</v>
      </c>
      <c r="R139" s="11">
        <v>0.30520000000000003</v>
      </c>
      <c r="S139" s="11">
        <f>INDEX(Raw_product_master[Target_Margin], MATCH(Cleaned_Sales_data[[#This Row],[Product]],Raw_product_master[Product], 0 ))</f>
        <v>0.25</v>
      </c>
      <c r="T139" t="str">
        <f>IF(Cleaned_Sales_data[[#This Row],[Profit]]&gt;0, "Profitable", "Loss")</f>
        <v>Profitable</v>
      </c>
      <c r="U139" t="str">
        <f>_xlfn.IFS(Cleaned_Sales_data[[#This Row],[Profit]]&gt;=10000, "High", Cleaned_Sales_data[[#This Row],[Profit]]&gt;=5000, "Medium", Cleaned_Sales_data[[#This Row],[Profit]]&gt;=0, "Low", Cleaned_Sales_data[[#This Row],[Profit]] &lt;0, "Loss")</f>
        <v>Low</v>
      </c>
      <c r="V139" t="str">
        <f t="shared" si="2"/>
        <v>On Target</v>
      </c>
      <c r="W139" s="3">
        <v>45839</v>
      </c>
    </row>
    <row r="140" spans="1:23">
      <c r="A140" t="s">
        <v>645</v>
      </c>
      <c r="B140" s="3">
        <v>46005</v>
      </c>
      <c r="C140" t="s">
        <v>75</v>
      </c>
      <c r="D140" t="str">
        <f>INDEX(Raw_product_master[Category],MATCH(Cleaned_Sales_data[[#This Row],[Product]],Raw_product_master[Product],0))</f>
        <v>Computers</v>
      </c>
      <c r="E140" t="s">
        <v>63</v>
      </c>
      <c r="F140" t="s">
        <v>20</v>
      </c>
      <c r="G140" t="s">
        <v>35</v>
      </c>
      <c r="H140">
        <v>2</v>
      </c>
      <c r="I140">
        <v>65000</v>
      </c>
      <c r="J140" s="10">
        <v>0.05</v>
      </c>
      <c r="K140">
        <v>130000</v>
      </c>
      <c r="L140">
        <v>123500</v>
      </c>
      <c r="M140">
        <v>109200</v>
      </c>
      <c r="N140">
        <v>1064</v>
      </c>
      <c r="O140">
        <v>2481</v>
      </c>
      <c r="P140">
        <f>INDEX(Raw_product_master[Standard_Cost_Per_Unit],MATCH(Cleaned_Sales_data[[#This Row],[Product]],Raw_product_master[Product],0))</f>
        <v>54600</v>
      </c>
      <c r="Q140">
        <v>10755</v>
      </c>
      <c r="R140" s="11">
        <v>8.7085020242915007E-2</v>
      </c>
      <c r="S140" s="11">
        <f>INDEX(Raw_product_master[Target_Margin], MATCH(Cleaned_Sales_data[[#This Row],[Product]],Raw_product_master[Product], 0 ))</f>
        <v>0.12</v>
      </c>
      <c r="T140" t="str">
        <f>IF(Cleaned_Sales_data[[#This Row],[Profit]]&gt;0, "Profitable", "Loss")</f>
        <v>Profitable</v>
      </c>
      <c r="U140" t="str">
        <f>_xlfn.IFS(Cleaned_Sales_data[[#This Row],[Profit]]&gt;=10000, "High", Cleaned_Sales_data[[#This Row],[Profit]]&gt;=5000, "Medium", Cleaned_Sales_data[[#This Row],[Profit]]&gt;=0, "Low", Cleaned_Sales_data[[#This Row],[Profit]] &lt;0, "Loss")</f>
        <v>High</v>
      </c>
      <c r="V140" t="str">
        <f t="shared" si="2"/>
        <v>UnderPerforming</v>
      </c>
      <c r="W140" s="3">
        <v>45992</v>
      </c>
    </row>
    <row r="141" spans="1:23">
      <c r="A141" t="s">
        <v>647</v>
      </c>
      <c r="B141" s="3">
        <v>46147</v>
      </c>
      <c r="C141" t="s">
        <v>24</v>
      </c>
      <c r="D141" t="str">
        <f>INDEX(Raw_product_master[Category],MATCH(Cleaned_Sales_data[[#This Row],[Product]],Raw_product_master[Product],0))</f>
        <v>Accessories</v>
      </c>
      <c r="E141" t="s">
        <v>34</v>
      </c>
      <c r="F141" t="s">
        <v>20</v>
      </c>
      <c r="G141" t="s">
        <v>35</v>
      </c>
      <c r="H141">
        <v>6</v>
      </c>
      <c r="I141">
        <v>3500</v>
      </c>
      <c r="J141" s="10">
        <v>0.08</v>
      </c>
      <c r="K141">
        <v>21000</v>
      </c>
      <c r="L141">
        <v>19320</v>
      </c>
      <c r="M141">
        <v>14280</v>
      </c>
      <c r="N141">
        <v>621</v>
      </c>
      <c r="O141">
        <v>2364</v>
      </c>
      <c r="P141">
        <f>INDEX(Raw_product_master[Standard_Cost_Per_Unit],MATCH(Cleaned_Sales_data[[#This Row],[Product]],Raw_product_master[Product],0))</f>
        <v>2380</v>
      </c>
      <c r="Q141">
        <v>2055</v>
      </c>
      <c r="R141" s="11">
        <v>0.106366459627329</v>
      </c>
      <c r="S141" s="11">
        <f>INDEX(Raw_product_master[Target_Margin], MATCH(Cleaned_Sales_data[[#This Row],[Product]],Raw_product_master[Product], 0 ))</f>
        <v>0.2</v>
      </c>
      <c r="T141" t="str">
        <f>IF(Cleaned_Sales_data[[#This Row],[Profit]]&gt;0, "Profitable", "Loss")</f>
        <v>Profitable</v>
      </c>
      <c r="U141" t="str">
        <f>_xlfn.IFS(Cleaned_Sales_data[[#This Row],[Profit]]&gt;=10000, "High", Cleaned_Sales_data[[#This Row],[Profit]]&gt;=5000, "Medium", Cleaned_Sales_data[[#This Row],[Profit]]&gt;=0, "Low", Cleaned_Sales_data[[#This Row],[Profit]] &lt;0, "Loss")</f>
        <v>Low</v>
      </c>
      <c r="V141" t="str">
        <f t="shared" si="2"/>
        <v>UnderPerforming</v>
      </c>
      <c r="W141" s="3">
        <v>46143</v>
      </c>
    </row>
    <row r="142" spans="1:23">
      <c r="A142" t="s">
        <v>651</v>
      </c>
      <c r="B142" s="3">
        <v>46070</v>
      </c>
      <c r="C142" t="s">
        <v>46</v>
      </c>
      <c r="D142" t="str">
        <f>INDEX(Raw_product_master[Category],MATCH(Cleaned_Sales_data[[#This Row],[Product]],Raw_product_master[Product],0))</f>
        <v>Office Equipment</v>
      </c>
      <c r="E142" t="s">
        <v>19</v>
      </c>
      <c r="F142" t="s">
        <v>20</v>
      </c>
      <c r="G142" t="s">
        <v>35</v>
      </c>
      <c r="H142">
        <v>2</v>
      </c>
      <c r="I142">
        <v>18000</v>
      </c>
      <c r="J142" s="10">
        <v>0</v>
      </c>
      <c r="K142">
        <v>36000</v>
      </c>
      <c r="L142">
        <v>36000</v>
      </c>
      <c r="M142">
        <v>28800</v>
      </c>
      <c r="N142">
        <v>1379</v>
      </c>
      <c r="O142">
        <v>607</v>
      </c>
      <c r="P142">
        <f>INDEX(Raw_product_master[Standard_Cost_Per_Unit],MATCH(Cleaned_Sales_data[[#This Row],[Product]],Raw_product_master[Product],0))</f>
        <v>14400</v>
      </c>
      <c r="Q142">
        <v>5214</v>
      </c>
      <c r="R142" s="11">
        <v>0.14483333333333301</v>
      </c>
      <c r="S142" s="11">
        <f>INDEX(Raw_product_master[Target_Margin], MATCH(Cleaned_Sales_data[[#This Row],[Product]],Raw_product_master[Product], 0 ))</f>
        <v>0.15</v>
      </c>
      <c r="T142" t="str">
        <f>IF(Cleaned_Sales_data[[#This Row],[Profit]]&gt;0, "Profitable", "Loss")</f>
        <v>Profitable</v>
      </c>
      <c r="U142" t="str">
        <f>_xlfn.IFS(Cleaned_Sales_data[[#This Row],[Profit]]&gt;=10000, "High", Cleaned_Sales_data[[#This Row],[Profit]]&gt;=5000, "Medium", Cleaned_Sales_data[[#This Row],[Profit]]&gt;=0, "Low", Cleaned_Sales_data[[#This Row],[Profit]] &lt;0, "Loss")</f>
        <v>Medium</v>
      </c>
      <c r="V142" t="str">
        <f t="shared" si="2"/>
        <v>UnderPerforming</v>
      </c>
      <c r="W142" s="3">
        <v>46054</v>
      </c>
    </row>
    <row r="143" spans="1:23">
      <c r="A143" t="s">
        <v>659</v>
      </c>
      <c r="B143" s="3">
        <v>45801</v>
      </c>
      <c r="C143" t="s">
        <v>30</v>
      </c>
      <c r="D143" t="str">
        <f>INDEX(Raw_product_master[Category],MATCH(Cleaned_Sales_data[[#This Row],[Product]],Raw_product_master[Product],0))</f>
        <v>Displays</v>
      </c>
      <c r="E143" t="s">
        <v>34</v>
      </c>
      <c r="F143" t="s">
        <v>20</v>
      </c>
      <c r="G143" t="s">
        <v>35</v>
      </c>
      <c r="H143">
        <v>3</v>
      </c>
      <c r="I143">
        <v>28000</v>
      </c>
      <c r="J143" s="10">
        <v>0.08</v>
      </c>
      <c r="K143">
        <v>84000</v>
      </c>
      <c r="L143">
        <v>77280</v>
      </c>
      <c r="M143">
        <v>65520</v>
      </c>
      <c r="N143">
        <v>1248</v>
      </c>
      <c r="O143">
        <v>1690</v>
      </c>
      <c r="P143">
        <f>INDEX(Raw_product_master[Standard_Cost_Per_Unit],MATCH(Cleaned_Sales_data[[#This Row],[Product]],Raw_product_master[Product],0))</f>
        <v>21840</v>
      </c>
      <c r="Q143">
        <v>8822</v>
      </c>
      <c r="R143" s="11">
        <v>0.114156314699793</v>
      </c>
      <c r="S143" s="11">
        <f>INDEX(Raw_product_master[Target_Margin], MATCH(Cleaned_Sales_data[[#This Row],[Product]],Raw_product_master[Product], 0 ))</f>
        <v>0.18</v>
      </c>
      <c r="T143" t="str">
        <f>IF(Cleaned_Sales_data[[#This Row],[Profit]]&gt;0, "Profitable", "Loss")</f>
        <v>Profitable</v>
      </c>
      <c r="U143" t="str">
        <f>_xlfn.IFS(Cleaned_Sales_data[[#This Row],[Profit]]&gt;=10000, "High", Cleaned_Sales_data[[#This Row],[Profit]]&gt;=5000, "Medium", Cleaned_Sales_data[[#This Row],[Profit]]&gt;=0, "Low", Cleaned_Sales_data[[#This Row],[Profit]] &lt;0, "Loss")</f>
        <v>Medium</v>
      </c>
      <c r="V143" t="str">
        <f t="shared" si="2"/>
        <v>UnderPerforming</v>
      </c>
      <c r="W143" s="3">
        <v>45778</v>
      </c>
    </row>
    <row r="144" spans="1:23">
      <c r="A144" t="s">
        <v>661</v>
      </c>
      <c r="B144" s="3">
        <v>45780</v>
      </c>
      <c r="C144" t="s">
        <v>46</v>
      </c>
      <c r="D144" t="str">
        <f>INDEX(Raw_product_master[Category],MATCH(Cleaned_Sales_data[[#This Row],[Product]],Raw_product_master[Product],0))</f>
        <v>Office Equipment</v>
      </c>
      <c r="E144" t="s">
        <v>19</v>
      </c>
      <c r="F144" t="s">
        <v>20</v>
      </c>
      <c r="G144" t="s">
        <v>35</v>
      </c>
      <c r="H144">
        <v>3</v>
      </c>
      <c r="I144">
        <v>18000</v>
      </c>
      <c r="J144" s="10">
        <v>0.03</v>
      </c>
      <c r="K144">
        <v>54000</v>
      </c>
      <c r="L144">
        <v>52380</v>
      </c>
      <c r="M144">
        <v>43200</v>
      </c>
      <c r="N144">
        <v>1089</v>
      </c>
      <c r="O144">
        <v>1024</v>
      </c>
      <c r="P144">
        <f>INDEX(Raw_product_master[Standard_Cost_Per_Unit],MATCH(Cleaned_Sales_data[[#This Row],[Product]],Raw_product_master[Product],0))</f>
        <v>14400</v>
      </c>
      <c r="Q144">
        <v>7067</v>
      </c>
      <c r="R144" s="11">
        <v>0.13491790759832001</v>
      </c>
      <c r="S144" s="11">
        <f>INDEX(Raw_product_master[Target_Margin], MATCH(Cleaned_Sales_data[[#This Row],[Product]],Raw_product_master[Product], 0 ))</f>
        <v>0.15</v>
      </c>
      <c r="T144" t="str">
        <f>IF(Cleaned_Sales_data[[#This Row],[Profit]]&gt;0, "Profitable", "Loss")</f>
        <v>Profitable</v>
      </c>
      <c r="U144" t="str">
        <f>_xlfn.IFS(Cleaned_Sales_data[[#This Row],[Profit]]&gt;=10000, "High", Cleaned_Sales_data[[#This Row],[Profit]]&gt;=5000, "Medium", Cleaned_Sales_data[[#This Row],[Profit]]&gt;=0, "Low", Cleaned_Sales_data[[#This Row],[Profit]] &lt;0, "Loss")</f>
        <v>Medium</v>
      </c>
      <c r="V144" t="str">
        <f t="shared" si="2"/>
        <v>UnderPerforming</v>
      </c>
      <c r="W144" s="3">
        <v>45778</v>
      </c>
    </row>
    <row r="145" spans="1:23">
      <c r="A145" t="s">
        <v>675</v>
      </c>
      <c r="B145" s="3">
        <v>45871</v>
      </c>
      <c r="C145" t="s">
        <v>53</v>
      </c>
      <c r="D145" t="str">
        <f>INDEX(Raw_product_master[Category],MATCH(Cleaned_Sales_data[[#This Row],[Product]],Raw_product_master[Product],0))</f>
        <v>Accessories</v>
      </c>
      <c r="E145" t="s">
        <v>51</v>
      </c>
      <c r="F145" t="s">
        <v>20</v>
      </c>
      <c r="G145" t="s">
        <v>35</v>
      </c>
      <c r="H145">
        <v>5</v>
      </c>
      <c r="I145">
        <v>1500</v>
      </c>
      <c r="J145" s="10">
        <v>0</v>
      </c>
      <c r="K145">
        <v>7500</v>
      </c>
      <c r="L145">
        <v>7500</v>
      </c>
      <c r="M145">
        <v>4125</v>
      </c>
      <c r="N145">
        <v>435</v>
      </c>
      <c r="O145">
        <v>1562</v>
      </c>
      <c r="P145">
        <f>INDEX(Raw_product_master[Standard_Cost_Per_Unit],MATCH(Cleaned_Sales_data[[#This Row],[Product]],Raw_product_master[Product],0))</f>
        <v>825</v>
      </c>
      <c r="Q145">
        <v>1378</v>
      </c>
      <c r="R145" s="11">
        <v>0.183733333333333</v>
      </c>
      <c r="S145" s="11">
        <f>INDEX(Raw_product_master[Target_Margin], MATCH(Cleaned_Sales_data[[#This Row],[Product]],Raw_product_master[Product], 0 ))</f>
        <v>0.3</v>
      </c>
      <c r="T145" t="str">
        <f>IF(Cleaned_Sales_data[[#This Row],[Profit]]&gt;0, "Profitable", "Loss")</f>
        <v>Profitable</v>
      </c>
      <c r="U145" t="str">
        <f>_xlfn.IFS(Cleaned_Sales_data[[#This Row],[Profit]]&gt;=10000, "High", Cleaned_Sales_data[[#This Row],[Profit]]&gt;=5000, "Medium", Cleaned_Sales_data[[#This Row],[Profit]]&gt;=0, "Low", Cleaned_Sales_data[[#This Row],[Profit]] &lt;0, "Loss")</f>
        <v>Low</v>
      </c>
      <c r="V145" t="str">
        <f t="shared" si="2"/>
        <v>UnderPerforming</v>
      </c>
      <c r="W145" s="3">
        <v>45870</v>
      </c>
    </row>
    <row r="146" spans="1:23">
      <c r="A146" t="s">
        <v>679</v>
      </c>
      <c r="B146" s="3">
        <v>45769</v>
      </c>
      <c r="C146" t="s">
        <v>24</v>
      </c>
      <c r="D146" t="str">
        <f>INDEX(Raw_product_master[Category],MATCH(Cleaned_Sales_data[[#This Row],[Product]],Raw_product_master[Product],0))</f>
        <v>Accessories</v>
      </c>
      <c r="E146" t="s">
        <v>51</v>
      </c>
      <c r="F146" t="s">
        <v>20</v>
      </c>
      <c r="G146" t="s">
        <v>35</v>
      </c>
      <c r="H146">
        <v>5</v>
      </c>
      <c r="I146">
        <v>3500</v>
      </c>
      <c r="J146" s="10">
        <v>0.05</v>
      </c>
      <c r="K146">
        <v>17500</v>
      </c>
      <c r="L146">
        <v>16625</v>
      </c>
      <c r="M146">
        <v>11900</v>
      </c>
      <c r="N146">
        <v>732</v>
      </c>
      <c r="O146">
        <v>395</v>
      </c>
      <c r="P146">
        <f>INDEX(Raw_product_master[Standard_Cost_Per_Unit],MATCH(Cleaned_Sales_data[[#This Row],[Product]],Raw_product_master[Product],0))</f>
        <v>2380</v>
      </c>
      <c r="Q146">
        <v>3598</v>
      </c>
      <c r="R146" s="11">
        <v>0.21642105263157899</v>
      </c>
      <c r="S146" s="11">
        <f>INDEX(Raw_product_master[Target_Margin], MATCH(Cleaned_Sales_data[[#This Row],[Product]],Raw_product_master[Product], 0 ))</f>
        <v>0.2</v>
      </c>
      <c r="T146" t="str">
        <f>IF(Cleaned_Sales_data[[#This Row],[Profit]]&gt;0, "Profitable", "Loss")</f>
        <v>Profitable</v>
      </c>
      <c r="U146" t="str">
        <f>_xlfn.IFS(Cleaned_Sales_data[[#This Row],[Profit]]&gt;=10000, "High", Cleaned_Sales_data[[#This Row],[Profit]]&gt;=5000, "Medium", Cleaned_Sales_data[[#This Row],[Profit]]&gt;=0, "Low", Cleaned_Sales_data[[#This Row],[Profit]] &lt;0, "Loss")</f>
        <v>Low</v>
      </c>
      <c r="V146" t="str">
        <f t="shared" si="2"/>
        <v>On Target</v>
      </c>
      <c r="W146" s="3">
        <v>45748</v>
      </c>
    </row>
    <row r="147" spans="1:23">
      <c r="A147" t="s">
        <v>684</v>
      </c>
      <c r="B147" s="3">
        <v>45699</v>
      </c>
      <c r="C147" t="s">
        <v>18</v>
      </c>
      <c r="D147" t="str">
        <f>INDEX(Raw_product_master[Category],MATCH(Cleaned_Sales_data[[#This Row],[Product]],Raw_product_master[Product],0))</f>
        <v>Computers</v>
      </c>
      <c r="E147" t="s">
        <v>19</v>
      </c>
      <c r="F147" t="s">
        <v>20</v>
      </c>
      <c r="G147" t="s">
        <v>35</v>
      </c>
      <c r="H147">
        <v>3</v>
      </c>
      <c r="I147">
        <v>32000</v>
      </c>
      <c r="J147" s="10">
        <v>0.08</v>
      </c>
      <c r="K147">
        <v>96000</v>
      </c>
      <c r="L147">
        <v>88320</v>
      </c>
      <c r="M147">
        <v>78720</v>
      </c>
      <c r="N147">
        <v>1405</v>
      </c>
      <c r="O147">
        <v>1622</v>
      </c>
      <c r="P147">
        <f>INDEX(Raw_product_master[Standard_Cost_Per_Unit],MATCH(Cleaned_Sales_data[[#This Row],[Product]],Raw_product_master[Product],0))</f>
        <v>26240</v>
      </c>
      <c r="Q147">
        <v>6573</v>
      </c>
      <c r="R147" s="11">
        <v>7.4422554347826103E-2</v>
      </c>
      <c r="S147" s="11">
        <f>INDEX(Raw_product_master[Target_Margin], MATCH(Cleaned_Sales_data[[#This Row],[Product]],Raw_product_master[Product], 0 ))</f>
        <v>0.12</v>
      </c>
      <c r="T147" t="str">
        <f>IF(Cleaned_Sales_data[[#This Row],[Profit]]&gt;0, "Profitable", "Loss")</f>
        <v>Profitable</v>
      </c>
      <c r="U147" t="str">
        <f>_xlfn.IFS(Cleaned_Sales_data[[#This Row],[Profit]]&gt;=10000, "High", Cleaned_Sales_data[[#This Row],[Profit]]&gt;=5000, "Medium", Cleaned_Sales_data[[#This Row],[Profit]]&gt;=0, "Low", Cleaned_Sales_data[[#This Row],[Profit]] &lt;0, "Loss")</f>
        <v>Medium</v>
      </c>
      <c r="V147" t="str">
        <f t="shared" si="2"/>
        <v>UnderPerforming</v>
      </c>
      <c r="W147" s="3">
        <v>45689</v>
      </c>
    </row>
    <row r="148" spans="1:23">
      <c r="A148" t="s">
        <v>686</v>
      </c>
      <c r="B148" s="3">
        <v>45931</v>
      </c>
      <c r="C148" t="s">
        <v>50</v>
      </c>
      <c r="D148" t="str">
        <f>INDEX(Raw_product_master[Category],MATCH(Cleaned_Sales_data[[#This Row],[Product]],Raw_product_master[Product],0))</f>
        <v>Accessories</v>
      </c>
      <c r="E148" t="s">
        <v>31</v>
      </c>
      <c r="F148" t="s">
        <v>20</v>
      </c>
      <c r="G148" t="s">
        <v>35</v>
      </c>
      <c r="H148">
        <v>7</v>
      </c>
      <c r="I148">
        <v>2500</v>
      </c>
      <c r="J148" s="10">
        <v>0.1</v>
      </c>
      <c r="K148">
        <v>17500</v>
      </c>
      <c r="L148">
        <v>15750</v>
      </c>
      <c r="M148">
        <v>10850</v>
      </c>
      <c r="N148">
        <v>1233</v>
      </c>
      <c r="O148">
        <v>2140</v>
      </c>
      <c r="P148">
        <f>INDEX(Raw_product_master[Standard_Cost_Per_Unit],MATCH(Cleaned_Sales_data[[#This Row],[Product]],Raw_product_master[Product],0))</f>
        <v>1550</v>
      </c>
      <c r="Q148">
        <v>1527</v>
      </c>
      <c r="R148" s="11">
        <v>9.6952380952380998E-2</v>
      </c>
      <c r="S148" s="11">
        <f>INDEX(Raw_product_master[Target_Margin], MATCH(Cleaned_Sales_data[[#This Row],[Product]],Raw_product_master[Product], 0 ))</f>
        <v>0.25</v>
      </c>
      <c r="T148" t="str">
        <f>IF(Cleaned_Sales_data[[#This Row],[Profit]]&gt;0, "Profitable", "Loss")</f>
        <v>Profitable</v>
      </c>
      <c r="U148" t="str">
        <f>_xlfn.IFS(Cleaned_Sales_data[[#This Row],[Profit]]&gt;=10000, "High", Cleaned_Sales_data[[#This Row],[Profit]]&gt;=5000, "Medium", Cleaned_Sales_data[[#This Row],[Profit]]&gt;=0, "Low", Cleaned_Sales_data[[#This Row],[Profit]] &lt;0, "Loss")</f>
        <v>Low</v>
      </c>
      <c r="V148" t="str">
        <f t="shared" si="2"/>
        <v>UnderPerforming</v>
      </c>
      <c r="W148" s="3">
        <v>45931</v>
      </c>
    </row>
    <row r="149" spans="1:23">
      <c r="A149" t="s">
        <v>687</v>
      </c>
      <c r="B149" s="3">
        <v>45811</v>
      </c>
      <c r="C149" t="s">
        <v>18</v>
      </c>
      <c r="D149" t="str">
        <f>INDEX(Raw_product_master[Category],MATCH(Cleaned_Sales_data[[#This Row],[Product]],Raw_product_master[Product],0))</f>
        <v>Computers</v>
      </c>
      <c r="E149" t="s">
        <v>31</v>
      </c>
      <c r="F149" t="s">
        <v>20</v>
      </c>
      <c r="G149" t="s">
        <v>35</v>
      </c>
      <c r="H149">
        <v>3</v>
      </c>
      <c r="I149">
        <v>32000</v>
      </c>
      <c r="J149" s="10">
        <v>0.05</v>
      </c>
      <c r="K149">
        <v>96000</v>
      </c>
      <c r="L149">
        <v>91200</v>
      </c>
      <c r="M149">
        <v>78720</v>
      </c>
      <c r="N149">
        <v>1391</v>
      </c>
      <c r="O149">
        <v>1260</v>
      </c>
      <c r="P149">
        <f>INDEX(Raw_product_master[Standard_Cost_Per_Unit],MATCH(Cleaned_Sales_data[[#This Row],[Product]],Raw_product_master[Product],0))</f>
        <v>26240</v>
      </c>
      <c r="Q149">
        <v>9829</v>
      </c>
      <c r="R149" s="11">
        <v>0.10777412280701799</v>
      </c>
      <c r="S149" s="11">
        <f>INDEX(Raw_product_master[Target_Margin], MATCH(Cleaned_Sales_data[[#This Row],[Product]],Raw_product_master[Product], 0 ))</f>
        <v>0.12</v>
      </c>
      <c r="T149" t="str">
        <f>IF(Cleaned_Sales_data[[#This Row],[Profit]]&gt;0, "Profitable", "Loss")</f>
        <v>Profitable</v>
      </c>
      <c r="U149" t="str">
        <f>_xlfn.IFS(Cleaned_Sales_data[[#This Row],[Profit]]&gt;=10000, "High", Cleaned_Sales_data[[#This Row],[Profit]]&gt;=5000, "Medium", Cleaned_Sales_data[[#This Row],[Profit]]&gt;=0, "Low", Cleaned_Sales_data[[#This Row],[Profit]] &lt;0, "Loss")</f>
        <v>Medium</v>
      </c>
      <c r="V149" t="str">
        <f t="shared" si="2"/>
        <v>UnderPerforming</v>
      </c>
      <c r="W149" s="3">
        <v>45809</v>
      </c>
    </row>
    <row r="150" spans="1:23">
      <c r="A150" t="s">
        <v>689</v>
      </c>
      <c r="B150" s="3">
        <v>46023</v>
      </c>
      <c r="C150" t="s">
        <v>18</v>
      </c>
      <c r="D150" t="str">
        <f>INDEX(Raw_product_master[Category],MATCH(Cleaned_Sales_data[[#This Row],[Product]],Raw_product_master[Product],0))</f>
        <v>Computers</v>
      </c>
      <c r="E150" t="s">
        <v>63</v>
      </c>
      <c r="F150" t="s">
        <v>20</v>
      </c>
      <c r="G150" t="s">
        <v>35</v>
      </c>
      <c r="H150">
        <v>1</v>
      </c>
      <c r="I150">
        <v>32000</v>
      </c>
      <c r="J150" s="10">
        <v>0.15</v>
      </c>
      <c r="K150">
        <v>32000</v>
      </c>
      <c r="L150">
        <v>27200</v>
      </c>
      <c r="M150">
        <v>26240</v>
      </c>
      <c r="N150">
        <v>1719</v>
      </c>
      <c r="O150">
        <v>290</v>
      </c>
      <c r="P150">
        <f>INDEX(Raw_product_master[Standard_Cost_Per_Unit],MATCH(Cleaned_Sales_data[[#This Row],[Product]],Raw_product_master[Product],0))</f>
        <v>26240</v>
      </c>
      <c r="Q150">
        <v>-1049</v>
      </c>
      <c r="R150" s="11">
        <v>-3.8566176470588201E-2</v>
      </c>
      <c r="S150" s="11">
        <f>INDEX(Raw_product_master[Target_Margin], MATCH(Cleaned_Sales_data[[#This Row],[Product]],Raw_product_master[Product], 0 ))</f>
        <v>0.12</v>
      </c>
      <c r="T150" t="str">
        <f>IF(Cleaned_Sales_data[[#This Row],[Profit]]&gt;0, "Profitable", "Loss")</f>
        <v>Loss</v>
      </c>
      <c r="U150" t="str">
        <f>_xlfn.IFS(Cleaned_Sales_data[[#This Row],[Profit]]&gt;=10000, "High", Cleaned_Sales_data[[#This Row],[Profit]]&gt;=5000, "Medium", Cleaned_Sales_data[[#This Row],[Profit]]&gt;=0, "Low", Cleaned_Sales_data[[#This Row],[Profit]] &lt;0, "Loss")</f>
        <v>Loss</v>
      </c>
      <c r="V150" t="str">
        <f t="shared" si="2"/>
        <v>UnderPerforming</v>
      </c>
      <c r="W150" s="3">
        <v>46023</v>
      </c>
    </row>
    <row r="151" spans="1:23">
      <c r="A151" t="s">
        <v>692</v>
      </c>
      <c r="B151" s="3">
        <v>46091</v>
      </c>
      <c r="C151" t="s">
        <v>50</v>
      </c>
      <c r="D151" t="str">
        <f>INDEX(Raw_product_master[Category],MATCH(Cleaned_Sales_data[[#This Row],[Product]],Raw_product_master[Product],0))</f>
        <v>Accessories</v>
      </c>
      <c r="E151" t="s">
        <v>31</v>
      </c>
      <c r="F151" t="s">
        <v>20</v>
      </c>
      <c r="G151" t="s">
        <v>35</v>
      </c>
      <c r="H151">
        <v>5</v>
      </c>
      <c r="I151">
        <v>2500</v>
      </c>
      <c r="J151" s="10">
        <v>0.1</v>
      </c>
      <c r="K151">
        <v>12500</v>
      </c>
      <c r="L151">
        <v>11250</v>
      </c>
      <c r="M151">
        <v>7750</v>
      </c>
      <c r="N151">
        <v>288</v>
      </c>
      <c r="O151">
        <v>898</v>
      </c>
      <c r="P151">
        <f>INDEX(Raw_product_master[Standard_Cost_Per_Unit],MATCH(Cleaned_Sales_data[[#This Row],[Product]],Raw_product_master[Product],0))</f>
        <v>1550</v>
      </c>
      <c r="Q151">
        <v>2314</v>
      </c>
      <c r="R151" s="11">
        <v>0.205688888888889</v>
      </c>
      <c r="S151" s="11">
        <f>INDEX(Raw_product_master[Target_Margin], MATCH(Cleaned_Sales_data[[#This Row],[Product]],Raw_product_master[Product], 0 ))</f>
        <v>0.25</v>
      </c>
      <c r="T151" t="str">
        <f>IF(Cleaned_Sales_data[[#This Row],[Profit]]&gt;0, "Profitable", "Loss")</f>
        <v>Profitable</v>
      </c>
      <c r="U151" t="str">
        <f>_xlfn.IFS(Cleaned_Sales_data[[#This Row],[Profit]]&gt;=10000, "High", Cleaned_Sales_data[[#This Row],[Profit]]&gt;=5000, "Medium", Cleaned_Sales_data[[#This Row],[Profit]]&gt;=0, "Low", Cleaned_Sales_data[[#This Row],[Profit]] &lt;0, "Loss")</f>
        <v>Low</v>
      </c>
      <c r="V151" t="str">
        <f t="shared" si="2"/>
        <v>UnderPerforming</v>
      </c>
      <c r="W151" s="3">
        <v>46082</v>
      </c>
    </row>
    <row r="152" spans="1:23">
      <c r="A152" t="s">
        <v>693</v>
      </c>
      <c r="B152" s="3">
        <v>45763</v>
      </c>
      <c r="C152" t="s">
        <v>30</v>
      </c>
      <c r="D152" t="str">
        <f>INDEX(Raw_product_master[Category],MATCH(Cleaned_Sales_data[[#This Row],[Product]],Raw_product_master[Product],0))</f>
        <v>Displays</v>
      </c>
      <c r="E152" t="s">
        <v>34</v>
      </c>
      <c r="F152" t="s">
        <v>20</v>
      </c>
      <c r="G152" t="s">
        <v>35</v>
      </c>
      <c r="H152">
        <v>1</v>
      </c>
      <c r="I152">
        <v>28000</v>
      </c>
      <c r="J152" s="10">
        <v>0.1</v>
      </c>
      <c r="K152">
        <v>28000</v>
      </c>
      <c r="L152">
        <v>25200</v>
      </c>
      <c r="M152">
        <v>21840</v>
      </c>
      <c r="N152">
        <v>1070</v>
      </c>
      <c r="O152">
        <v>831</v>
      </c>
      <c r="P152">
        <f>INDEX(Raw_product_master[Standard_Cost_Per_Unit],MATCH(Cleaned_Sales_data[[#This Row],[Product]],Raw_product_master[Product],0))</f>
        <v>21840</v>
      </c>
      <c r="Q152">
        <v>1459</v>
      </c>
      <c r="R152" s="11">
        <v>5.7896825396825398E-2</v>
      </c>
      <c r="S152" s="11">
        <f>INDEX(Raw_product_master[Target_Margin], MATCH(Cleaned_Sales_data[[#This Row],[Product]],Raw_product_master[Product], 0 ))</f>
        <v>0.18</v>
      </c>
      <c r="T152" t="str">
        <f>IF(Cleaned_Sales_data[[#This Row],[Profit]]&gt;0, "Profitable", "Loss")</f>
        <v>Profitable</v>
      </c>
      <c r="U152" t="str">
        <f>_xlfn.IFS(Cleaned_Sales_data[[#This Row],[Profit]]&gt;=10000, "High", Cleaned_Sales_data[[#This Row],[Profit]]&gt;=5000, "Medium", Cleaned_Sales_data[[#This Row],[Profit]]&gt;=0, "Low", Cleaned_Sales_data[[#This Row],[Profit]] &lt;0, "Loss")</f>
        <v>Low</v>
      </c>
      <c r="V152" t="str">
        <f t="shared" si="2"/>
        <v>UnderPerforming</v>
      </c>
      <c r="W152" s="3">
        <v>45748</v>
      </c>
    </row>
    <row r="153" spans="1:23">
      <c r="A153" t="s">
        <v>696</v>
      </c>
      <c r="B153" s="3">
        <v>45889</v>
      </c>
      <c r="C153" t="s">
        <v>18</v>
      </c>
      <c r="D153" t="str">
        <f>INDEX(Raw_product_master[Category],MATCH(Cleaned_Sales_data[[#This Row],[Product]],Raw_product_master[Product],0))</f>
        <v>Computers</v>
      </c>
      <c r="E153" t="s">
        <v>19</v>
      </c>
      <c r="F153" t="s">
        <v>20</v>
      </c>
      <c r="G153" t="s">
        <v>35</v>
      </c>
      <c r="H153">
        <v>2</v>
      </c>
      <c r="I153">
        <v>32000</v>
      </c>
      <c r="J153" s="10">
        <v>0.05</v>
      </c>
      <c r="K153">
        <v>64000</v>
      </c>
      <c r="L153">
        <v>60800</v>
      </c>
      <c r="M153">
        <v>52480</v>
      </c>
      <c r="N153">
        <v>1367</v>
      </c>
      <c r="O153">
        <v>210</v>
      </c>
      <c r="P153">
        <f>INDEX(Raw_product_master[Standard_Cost_Per_Unit],MATCH(Cleaned_Sales_data[[#This Row],[Product]],Raw_product_master[Product],0))</f>
        <v>26240</v>
      </c>
      <c r="Q153">
        <v>6743</v>
      </c>
      <c r="R153" s="11">
        <v>0.110904605263158</v>
      </c>
      <c r="S153" s="11">
        <f>INDEX(Raw_product_master[Target_Margin], MATCH(Cleaned_Sales_data[[#This Row],[Product]],Raw_product_master[Product], 0 ))</f>
        <v>0.12</v>
      </c>
      <c r="T153" t="str">
        <f>IF(Cleaned_Sales_data[[#This Row],[Profit]]&gt;0, "Profitable", "Loss")</f>
        <v>Profitable</v>
      </c>
      <c r="U153" t="str">
        <f>_xlfn.IFS(Cleaned_Sales_data[[#This Row],[Profit]]&gt;=10000, "High", Cleaned_Sales_data[[#This Row],[Profit]]&gt;=5000, "Medium", Cleaned_Sales_data[[#This Row],[Profit]]&gt;=0, "Low", Cleaned_Sales_data[[#This Row],[Profit]] &lt;0, "Loss")</f>
        <v>Medium</v>
      </c>
      <c r="V153" t="str">
        <f t="shared" si="2"/>
        <v>UnderPerforming</v>
      </c>
      <c r="W153" s="3">
        <v>45870</v>
      </c>
    </row>
    <row r="154" spans="1:23">
      <c r="A154" t="s">
        <v>699</v>
      </c>
      <c r="B154" s="3">
        <v>45732</v>
      </c>
      <c r="C154" t="s">
        <v>18</v>
      </c>
      <c r="D154" t="str">
        <f>INDEX(Raw_product_master[Category],MATCH(Cleaned_Sales_data[[#This Row],[Product]],Raw_product_master[Product],0))</f>
        <v>Computers</v>
      </c>
      <c r="E154" t="s">
        <v>34</v>
      </c>
      <c r="F154" t="s">
        <v>20</v>
      </c>
      <c r="G154" t="s">
        <v>35</v>
      </c>
      <c r="H154">
        <v>3</v>
      </c>
      <c r="I154">
        <v>32000</v>
      </c>
      <c r="J154" s="10">
        <v>0.05</v>
      </c>
      <c r="K154">
        <v>96000</v>
      </c>
      <c r="L154">
        <v>91200</v>
      </c>
      <c r="M154">
        <v>78720</v>
      </c>
      <c r="N154">
        <v>1507</v>
      </c>
      <c r="O154">
        <v>998</v>
      </c>
      <c r="P154">
        <f>INDEX(Raw_product_master[Standard_Cost_Per_Unit],MATCH(Cleaned_Sales_data[[#This Row],[Product]],Raw_product_master[Product],0))</f>
        <v>26240</v>
      </c>
      <c r="Q154">
        <v>9975</v>
      </c>
      <c r="R154" s="11">
        <v>0.109375</v>
      </c>
      <c r="S154" s="11">
        <f>INDEX(Raw_product_master[Target_Margin], MATCH(Cleaned_Sales_data[[#This Row],[Product]],Raw_product_master[Product], 0 ))</f>
        <v>0.12</v>
      </c>
      <c r="T154" t="str">
        <f>IF(Cleaned_Sales_data[[#This Row],[Profit]]&gt;0, "Profitable", "Loss")</f>
        <v>Profitable</v>
      </c>
      <c r="U154" t="str">
        <f>_xlfn.IFS(Cleaned_Sales_data[[#This Row],[Profit]]&gt;=10000, "High", Cleaned_Sales_data[[#This Row],[Profit]]&gt;=5000, "Medium", Cleaned_Sales_data[[#This Row],[Profit]]&gt;=0, "Low", Cleaned_Sales_data[[#This Row],[Profit]] &lt;0, "Loss")</f>
        <v>Medium</v>
      </c>
      <c r="V154" t="str">
        <f t="shared" si="2"/>
        <v>UnderPerforming</v>
      </c>
      <c r="W154" s="3">
        <v>45717</v>
      </c>
    </row>
    <row r="155" spans="1:23">
      <c r="A155" t="s">
        <v>702</v>
      </c>
      <c r="B155" s="3">
        <v>46121</v>
      </c>
      <c r="C155" t="s">
        <v>61</v>
      </c>
      <c r="D155" t="str">
        <f>INDEX(Raw_product_master[Category],MATCH(Cleaned_Sales_data[[#This Row],[Product]],Raw_product_master[Product],0))</f>
        <v>Accessories</v>
      </c>
      <c r="E155" t="s">
        <v>34</v>
      </c>
      <c r="F155" t="s">
        <v>20</v>
      </c>
      <c r="G155" t="s">
        <v>35</v>
      </c>
      <c r="H155">
        <v>5</v>
      </c>
      <c r="I155">
        <v>4500</v>
      </c>
      <c r="J155" s="10">
        <v>0</v>
      </c>
      <c r="K155">
        <v>22500</v>
      </c>
      <c r="L155">
        <v>22500</v>
      </c>
      <c r="M155">
        <v>14625</v>
      </c>
      <c r="N155">
        <v>482</v>
      </c>
      <c r="O155">
        <v>2148</v>
      </c>
      <c r="P155">
        <f>INDEX(Raw_product_master[Standard_Cost_Per_Unit],MATCH(Cleaned_Sales_data[[#This Row],[Product]],Raw_product_master[Product],0))</f>
        <v>2925</v>
      </c>
      <c r="Q155">
        <v>5245</v>
      </c>
      <c r="R155" s="11">
        <v>0.23311111111111099</v>
      </c>
      <c r="S155" s="11">
        <f>INDEX(Raw_product_master[Target_Margin], MATCH(Cleaned_Sales_data[[#This Row],[Product]],Raw_product_master[Product], 0 ))</f>
        <v>0.22</v>
      </c>
      <c r="T155" t="str">
        <f>IF(Cleaned_Sales_data[[#This Row],[Profit]]&gt;0, "Profitable", "Loss")</f>
        <v>Profitable</v>
      </c>
      <c r="U155" t="str">
        <f>_xlfn.IFS(Cleaned_Sales_data[[#This Row],[Profit]]&gt;=10000, "High", Cleaned_Sales_data[[#This Row],[Profit]]&gt;=5000, "Medium", Cleaned_Sales_data[[#This Row],[Profit]]&gt;=0, "Low", Cleaned_Sales_data[[#This Row],[Profit]] &lt;0, "Loss")</f>
        <v>Medium</v>
      </c>
      <c r="V155" t="str">
        <f t="shared" si="2"/>
        <v>On Target</v>
      </c>
      <c r="W155" s="3">
        <v>46113</v>
      </c>
    </row>
    <row r="156" spans="1:23">
      <c r="A156" t="s">
        <v>707</v>
      </c>
      <c r="B156" s="3">
        <v>45658</v>
      </c>
      <c r="C156" t="s">
        <v>46</v>
      </c>
      <c r="D156" t="str">
        <f>INDEX(Raw_product_master[Category],MATCH(Cleaned_Sales_data[[#This Row],[Product]],Raw_product_master[Product],0))</f>
        <v>Office Equipment</v>
      </c>
      <c r="E156" t="s">
        <v>25</v>
      </c>
      <c r="F156" t="s">
        <v>20</v>
      </c>
      <c r="G156" t="s">
        <v>35</v>
      </c>
      <c r="H156">
        <v>1</v>
      </c>
      <c r="I156">
        <v>18000</v>
      </c>
      <c r="J156" s="10">
        <v>0</v>
      </c>
      <c r="K156">
        <v>18000</v>
      </c>
      <c r="L156">
        <v>18000</v>
      </c>
      <c r="M156">
        <v>14400</v>
      </c>
      <c r="N156">
        <v>1445</v>
      </c>
      <c r="O156">
        <v>2007</v>
      </c>
      <c r="P156">
        <f>INDEX(Raw_product_master[Standard_Cost_Per_Unit],MATCH(Cleaned_Sales_data[[#This Row],[Product]],Raw_product_master[Product],0))</f>
        <v>14400</v>
      </c>
      <c r="Q156">
        <v>148</v>
      </c>
      <c r="R156" s="11">
        <v>8.2222222222222193E-3</v>
      </c>
      <c r="S156" s="11">
        <f>INDEX(Raw_product_master[Target_Margin], MATCH(Cleaned_Sales_data[[#This Row],[Product]],Raw_product_master[Product], 0 ))</f>
        <v>0.15</v>
      </c>
      <c r="T156" t="str">
        <f>IF(Cleaned_Sales_data[[#This Row],[Profit]]&gt;0, "Profitable", "Loss")</f>
        <v>Profitable</v>
      </c>
      <c r="U156" t="str">
        <f>_xlfn.IFS(Cleaned_Sales_data[[#This Row],[Profit]]&gt;=10000, "High", Cleaned_Sales_data[[#This Row],[Profit]]&gt;=5000, "Medium", Cleaned_Sales_data[[#This Row],[Profit]]&gt;=0, "Low", Cleaned_Sales_data[[#This Row],[Profit]] &lt;0, "Loss")</f>
        <v>Low</v>
      </c>
      <c r="V156" t="str">
        <f t="shared" si="2"/>
        <v>UnderPerforming</v>
      </c>
      <c r="W156" s="3">
        <v>45658</v>
      </c>
    </row>
    <row r="157" spans="1:23">
      <c r="A157" t="s">
        <v>708</v>
      </c>
      <c r="B157" s="3">
        <v>46134</v>
      </c>
      <c r="C157" t="s">
        <v>75</v>
      </c>
      <c r="D157" t="str">
        <f>INDEX(Raw_product_master[Category],MATCH(Cleaned_Sales_data[[#This Row],[Product]],Raw_product_master[Product],0))</f>
        <v>Computers</v>
      </c>
      <c r="E157" t="s">
        <v>51</v>
      </c>
      <c r="F157" t="s">
        <v>20</v>
      </c>
      <c r="G157" t="s">
        <v>35</v>
      </c>
      <c r="H157">
        <v>1</v>
      </c>
      <c r="I157">
        <v>65000</v>
      </c>
      <c r="J157" s="10">
        <v>0.08</v>
      </c>
      <c r="K157">
        <v>65000</v>
      </c>
      <c r="L157">
        <v>59800</v>
      </c>
      <c r="M157">
        <v>54600</v>
      </c>
      <c r="N157">
        <v>701</v>
      </c>
      <c r="O157">
        <v>2090</v>
      </c>
      <c r="P157">
        <f>INDEX(Raw_product_master[Standard_Cost_Per_Unit],MATCH(Cleaned_Sales_data[[#This Row],[Product]],Raw_product_master[Product],0))</f>
        <v>54600</v>
      </c>
      <c r="Q157">
        <v>2409</v>
      </c>
      <c r="R157" s="11">
        <v>4.0284280936454801E-2</v>
      </c>
      <c r="S157" s="11">
        <f>INDEX(Raw_product_master[Target_Margin], MATCH(Cleaned_Sales_data[[#This Row],[Product]],Raw_product_master[Product], 0 ))</f>
        <v>0.12</v>
      </c>
      <c r="T157" t="str">
        <f>IF(Cleaned_Sales_data[[#This Row],[Profit]]&gt;0, "Profitable", "Loss")</f>
        <v>Profitable</v>
      </c>
      <c r="U157" t="str">
        <f>_xlfn.IFS(Cleaned_Sales_data[[#This Row],[Profit]]&gt;=10000, "High", Cleaned_Sales_data[[#This Row],[Profit]]&gt;=5000, "Medium", Cleaned_Sales_data[[#This Row],[Profit]]&gt;=0, "Low", Cleaned_Sales_data[[#This Row],[Profit]] &lt;0, "Loss")</f>
        <v>Low</v>
      </c>
      <c r="V157" t="str">
        <f t="shared" si="2"/>
        <v>UnderPerforming</v>
      </c>
      <c r="W157" s="3">
        <v>46113</v>
      </c>
    </row>
    <row r="158" spans="1:23">
      <c r="A158" t="s">
        <v>709</v>
      </c>
      <c r="B158" s="3">
        <v>45751</v>
      </c>
      <c r="C158" t="s">
        <v>50</v>
      </c>
      <c r="D158" t="str">
        <f>INDEX(Raw_product_master[Category],MATCH(Cleaned_Sales_data[[#This Row],[Product]],Raw_product_master[Product],0))</f>
        <v>Accessories</v>
      </c>
      <c r="E158" t="s">
        <v>51</v>
      </c>
      <c r="F158" t="s">
        <v>20</v>
      </c>
      <c r="G158" t="s">
        <v>35</v>
      </c>
      <c r="H158">
        <v>6</v>
      </c>
      <c r="I158">
        <v>2500</v>
      </c>
      <c r="J158" s="10">
        <v>0.05</v>
      </c>
      <c r="K158">
        <v>15000</v>
      </c>
      <c r="L158">
        <v>14250</v>
      </c>
      <c r="M158">
        <v>9300</v>
      </c>
      <c r="N158">
        <v>1580</v>
      </c>
      <c r="O158">
        <v>1073</v>
      </c>
      <c r="P158">
        <f>INDEX(Raw_product_master[Standard_Cost_Per_Unit],MATCH(Cleaned_Sales_data[[#This Row],[Product]],Raw_product_master[Product],0))</f>
        <v>1550</v>
      </c>
      <c r="Q158">
        <v>2297</v>
      </c>
      <c r="R158" s="11">
        <v>0.16119298245614</v>
      </c>
      <c r="S158" s="11">
        <f>INDEX(Raw_product_master[Target_Margin], MATCH(Cleaned_Sales_data[[#This Row],[Product]],Raw_product_master[Product], 0 ))</f>
        <v>0.25</v>
      </c>
      <c r="T158" t="str">
        <f>IF(Cleaned_Sales_data[[#This Row],[Profit]]&gt;0, "Profitable", "Loss")</f>
        <v>Profitable</v>
      </c>
      <c r="U158" t="str">
        <f>_xlfn.IFS(Cleaned_Sales_data[[#This Row],[Profit]]&gt;=10000, "High", Cleaned_Sales_data[[#This Row],[Profit]]&gt;=5000, "Medium", Cleaned_Sales_data[[#This Row],[Profit]]&gt;=0, "Low", Cleaned_Sales_data[[#This Row],[Profit]] &lt;0, "Loss")</f>
        <v>Low</v>
      </c>
      <c r="V158" t="str">
        <f t="shared" si="2"/>
        <v>UnderPerforming</v>
      </c>
      <c r="W158" s="3">
        <v>45748</v>
      </c>
    </row>
    <row r="159" spans="1:23">
      <c r="A159" t="s">
        <v>721</v>
      </c>
      <c r="B159" s="3">
        <v>46200</v>
      </c>
      <c r="C159" t="s">
        <v>24</v>
      </c>
      <c r="D159" t="str">
        <f>INDEX(Raw_product_master[Category],MATCH(Cleaned_Sales_data[[#This Row],[Product]],Raw_product_master[Product],0))</f>
        <v>Accessories</v>
      </c>
      <c r="E159" t="s">
        <v>34</v>
      </c>
      <c r="F159" t="s">
        <v>20</v>
      </c>
      <c r="G159" t="s">
        <v>35</v>
      </c>
      <c r="H159">
        <v>3</v>
      </c>
      <c r="I159">
        <v>3500</v>
      </c>
      <c r="J159" s="10">
        <v>0.05</v>
      </c>
      <c r="K159">
        <v>10500</v>
      </c>
      <c r="L159">
        <v>9975</v>
      </c>
      <c r="M159">
        <v>7140</v>
      </c>
      <c r="N159">
        <v>809</v>
      </c>
      <c r="O159">
        <v>2084</v>
      </c>
      <c r="P159">
        <f>INDEX(Raw_product_master[Standard_Cost_Per_Unit],MATCH(Cleaned_Sales_data[[#This Row],[Product]],Raw_product_master[Product],0))</f>
        <v>2380</v>
      </c>
      <c r="Q159">
        <v>-58</v>
      </c>
      <c r="R159" s="11">
        <v>-5.8145363408522201E-3</v>
      </c>
      <c r="S159" s="11">
        <f>INDEX(Raw_product_master[Target_Margin], MATCH(Cleaned_Sales_data[[#This Row],[Product]],Raw_product_master[Product], 0 ))</f>
        <v>0.2</v>
      </c>
      <c r="T159" t="str">
        <f>IF(Cleaned_Sales_data[[#This Row],[Profit]]&gt;0, "Profitable", "Loss")</f>
        <v>Loss</v>
      </c>
      <c r="U159" t="str">
        <f>_xlfn.IFS(Cleaned_Sales_data[[#This Row],[Profit]]&gt;=10000, "High", Cleaned_Sales_data[[#This Row],[Profit]]&gt;=5000, "Medium", Cleaned_Sales_data[[#This Row],[Profit]]&gt;=0, "Low", Cleaned_Sales_data[[#This Row],[Profit]] &lt;0, "Loss")</f>
        <v>Loss</v>
      </c>
      <c r="V159" t="str">
        <f t="shared" si="2"/>
        <v>UnderPerforming</v>
      </c>
      <c r="W159" s="3">
        <v>46174</v>
      </c>
    </row>
    <row r="160" spans="1:23">
      <c r="A160" t="s">
        <v>727</v>
      </c>
      <c r="B160" s="3">
        <v>46158</v>
      </c>
      <c r="C160" t="s">
        <v>61</v>
      </c>
      <c r="D160" t="str">
        <f>INDEX(Raw_product_master[Category],MATCH(Cleaned_Sales_data[[#This Row],[Product]],Raw_product_master[Product],0))</f>
        <v>Accessories</v>
      </c>
      <c r="E160" t="s">
        <v>25</v>
      </c>
      <c r="F160" t="s">
        <v>20</v>
      </c>
      <c r="G160" t="s">
        <v>35</v>
      </c>
      <c r="H160">
        <v>1</v>
      </c>
      <c r="I160">
        <v>4500</v>
      </c>
      <c r="J160" s="10">
        <v>0.08</v>
      </c>
      <c r="K160">
        <v>4500</v>
      </c>
      <c r="L160">
        <v>4140</v>
      </c>
      <c r="M160">
        <v>2925</v>
      </c>
      <c r="N160">
        <v>637</v>
      </c>
      <c r="O160">
        <v>850</v>
      </c>
      <c r="P160">
        <f>INDEX(Raw_product_master[Standard_Cost_Per_Unit],MATCH(Cleaned_Sales_data[[#This Row],[Product]],Raw_product_master[Product],0))</f>
        <v>2925</v>
      </c>
      <c r="Q160">
        <v>-272</v>
      </c>
      <c r="R160" s="11">
        <v>-6.5700483091787401E-2</v>
      </c>
      <c r="S160" s="11">
        <f>INDEX(Raw_product_master[Target_Margin], MATCH(Cleaned_Sales_data[[#This Row],[Product]],Raw_product_master[Product], 0 ))</f>
        <v>0.22</v>
      </c>
      <c r="T160" t="str">
        <f>IF(Cleaned_Sales_data[[#This Row],[Profit]]&gt;0, "Profitable", "Loss")</f>
        <v>Loss</v>
      </c>
      <c r="U160" t="str">
        <f>_xlfn.IFS(Cleaned_Sales_data[[#This Row],[Profit]]&gt;=10000, "High", Cleaned_Sales_data[[#This Row],[Profit]]&gt;=5000, "Medium", Cleaned_Sales_data[[#This Row],[Profit]]&gt;=0, "Low", Cleaned_Sales_data[[#This Row],[Profit]] &lt;0, "Loss")</f>
        <v>Loss</v>
      </c>
      <c r="V160" t="str">
        <f t="shared" si="2"/>
        <v>UnderPerforming</v>
      </c>
      <c r="W160" s="3">
        <v>46143</v>
      </c>
    </row>
    <row r="161" spans="1:23">
      <c r="A161" t="s">
        <v>728</v>
      </c>
      <c r="B161" s="3">
        <v>45701</v>
      </c>
      <c r="C161" t="s">
        <v>24</v>
      </c>
      <c r="D161" t="str">
        <f>INDEX(Raw_product_master[Category],MATCH(Cleaned_Sales_data[[#This Row],[Product]],Raw_product_master[Product],0))</f>
        <v>Accessories</v>
      </c>
      <c r="E161" t="s">
        <v>19</v>
      </c>
      <c r="F161" t="s">
        <v>20</v>
      </c>
      <c r="G161" t="s">
        <v>35</v>
      </c>
      <c r="H161">
        <v>1</v>
      </c>
      <c r="I161">
        <v>3500</v>
      </c>
      <c r="J161" s="10">
        <v>0</v>
      </c>
      <c r="K161">
        <v>3500</v>
      </c>
      <c r="L161">
        <v>3500</v>
      </c>
      <c r="M161">
        <v>2380</v>
      </c>
      <c r="N161">
        <v>1633</v>
      </c>
      <c r="O161">
        <v>490</v>
      </c>
      <c r="P161">
        <f>INDEX(Raw_product_master[Standard_Cost_Per_Unit],MATCH(Cleaned_Sales_data[[#This Row],[Product]],Raw_product_master[Product],0))</f>
        <v>2380</v>
      </c>
      <c r="Q161">
        <v>-1003</v>
      </c>
      <c r="R161" s="11">
        <v>-0.28657142857142898</v>
      </c>
      <c r="S161" s="11">
        <f>INDEX(Raw_product_master[Target_Margin], MATCH(Cleaned_Sales_data[[#This Row],[Product]],Raw_product_master[Product], 0 ))</f>
        <v>0.2</v>
      </c>
      <c r="T161" t="str">
        <f>IF(Cleaned_Sales_data[[#This Row],[Profit]]&gt;0, "Profitable", "Loss")</f>
        <v>Loss</v>
      </c>
      <c r="U161" t="str">
        <f>_xlfn.IFS(Cleaned_Sales_data[[#This Row],[Profit]]&gt;=10000, "High", Cleaned_Sales_data[[#This Row],[Profit]]&gt;=5000, "Medium", Cleaned_Sales_data[[#This Row],[Profit]]&gt;=0, "Low", Cleaned_Sales_data[[#This Row],[Profit]] &lt;0, "Loss")</f>
        <v>Loss</v>
      </c>
      <c r="V161" t="str">
        <f t="shared" si="2"/>
        <v>UnderPerforming</v>
      </c>
      <c r="W161" s="3">
        <v>45689</v>
      </c>
    </row>
    <row r="162" spans="1:23">
      <c r="A162" t="s">
        <v>731</v>
      </c>
      <c r="B162" s="3">
        <v>45783</v>
      </c>
      <c r="C162" t="s">
        <v>24</v>
      </c>
      <c r="D162" t="str">
        <f>INDEX(Raw_product_master[Category],MATCH(Cleaned_Sales_data[[#This Row],[Product]],Raw_product_master[Product],0))</f>
        <v>Accessories</v>
      </c>
      <c r="E162" t="s">
        <v>31</v>
      </c>
      <c r="F162" t="s">
        <v>20</v>
      </c>
      <c r="G162" t="s">
        <v>35</v>
      </c>
      <c r="H162">
        <v>6</v>
      </c>
      <c r="I162">
        <v>3500</v>
      </c>
      <c r="J162" s="10">
        <v>0.08</v>
      </c>
      <c r="K162">
        <v>21000</v>
      </c>
      <c r="L162">
        <v>19320</v>
      </c>
      <c r="M162">
        <v>14280</v>
      </c>
      <c r="N162">
        <v>717</v>
      </c>
      <c r="O162">
        <v>325</v>
      </c>
      <c r="P162">
        <f>INDEX(Raw_product_master[Standard_Cost_Per_Unit],MATCH(Cleaned_Sales_data[[#This Row],[Product]],Raw_product_master[Product],0))</f>
        <v>2380</v>
      </c>
      <c r="Q162">
        <v>3998</v>
      </c>
      <c r="R162" s="11">
        <v>0.206935817805383</v>
      </c>
      <c r="S162" s="11">
        <f>INDEX(Raw_product_master[Target_Margin], MATCH(Cleaned_Sales_data[[#This Row],[Product]],Raw_product_master[Product], 0 ))</f>
        <v>0.2</v>
      </c>
      <c r="T162" t="str">
        <f>IF(Cleaned_Sales_data[[#This Row],[Profit]]&gt;0, "Profitable", "Loss")</f>
        <v>Profitable</v>
      </c>
      <c r="U162" t="str">
        <f>_xlfn.IFS(Cleaned_Sales_data[[#This Row],[Profit]]&gt;=10000, "High", Cleaned_Sales_data[[#This Row],[Profit]]&gt;=5000, "Medium", Cleaned_Sales_data[[#This Row],[Profit]]&gt;=0, "Low", Cleaned_Sales_data[[#This Row],[Profit]] &lt;0, "Loss")</f>
        <v>Low</v>
      </c>
      <c r="V162" t="str">
        <f t="shared" si="2"/>
        <v>On Target</v>
      </c>
      <c r="W162" s="3">
        <v>45778</v>
      </c>
    </row>
    <row r="163" spans="1:23">
      <c r="A163" t="s">
        <v>738</v>
      </c>
      <c r="B163" s="3">
        <v>45671</v>
      </c>
      <c r="C163" t="s">
        <v>46</v>
      </c>
      <c r="D163" t="str">
        <f>INDEX(Raw_product_master[Category],MATCH(Cleaned_Sales_data[[#This Row],[Product]],Raw_product_master[Product],0))</f>
        <v>Office Equipment</v>
      </c>
      <c r="E163" t="s">
        <v>63</v>
      </c>
      <c r="F163" t="s">
        <v>20</v>
      </c>
      <c r="G163" t="s">
        <v>35</v>
      </c>
      <c r="H163">
        <v>1</v>
      </c>
      <c r="I163">
        <v>18000</v>
      </c>
      <c r="J163" s="10">
        <v>0.08</v>
      </c>
      <c r="K163">
        <v>18000</v>
      </c>
      <c r="L163">
        <v>16560</v>
      </c>
      <c r="M163">
        <v>14400</v>
      </c>
      <c r="N163">
        <v>1752</v>
      </c>
      <c r="O163">
        <v>2220</v>
      </c>
      <c r="P163">
        <f>INDEX(Raw_product_master[Standard_Cost_Per_Unit],MATCH(Cleaned_Sales_data[[#This Row],[Product]],Raw_product_master[Product],0))</f>
        <v>14400</v>
      </c>
      <c r="Q163">
        <v>-1812</v>
      </c>
      <c r="R163" s="11">
        <v>-0.109420289855072</v>
      </c>
      <c r="S163" s="11">
        <f>INDEX(Raw_product_master[Target_Margin], MATCH(Cleaned_Sales_data[[#This Row],[Product]],Raw_product_master[Product], 0 ))</f>
        <v>0.15</v>
      </c>
      <c r="T163" t="str">
        <f>IF(Cleaned_Sales_data[[#This Row],[Profit]]&gt;0, "Profitable", "Loss")</f>
        <v>Loss</v>
      </c>
      <c r="U163" t="str">
        <f>_xlfn.IFS(Cleaned_Sales_data[[#This Row],[Profit]]&gt;=10000, "High", Cleaned_Sales_data[[#This Row],[Profit]]&gt;=5000, "Medium", Cleaned_Sales_data[[#This Row],[Profit]]&gt;=0, "Low", Cleaned_Sales_data[[#This Row],[Profit]] &lt;0, "Loss")</f>
        <v>Loss</v>
      </c>
      <c r="V163" t="str">
        <f t="shared" si="2"/>
        <v>UnderPerforming</v>
      </c>
      <c r="W163" s="3">
        <v>45658</v>
      </c>
    </row>
    <row r="164" spans="1:23">
      <c r="A164" t="s">
        <v>743</v>
      </c>
      <c r="B164" s="3">
        <v>45786</v>
      </c>
      <c r="C164" t="s">
        <v>61</v>
      </c>
      <c r="D164" t="str">
        <f>INDEX(Raw_product_master[Category],MATCH(Cleaned_Sales_data[[#This Row],[Product]],Raw_product_master[Product],0))</f>
        <v>Accessories</v>
      </c>
      <c r="E164" t="s">
        <v>63</v>
      </c>
      <c r="F164" t="s">
        <v>20</v>
      </c>
      <c r="G164" t="s">
        <v>35</v>
      </c>
      <c r="H164">
        <v>6</v>
      </c>
      <c r="I164">
        <v>4500</v>
      </c>
      <c r="J164" s="10">
        <v>0.08</v>
      </c>
      <c r="K164">
        <v>27000</v>
      </c>
      <c r="L164">
        <v>24840</v>
      </c>
      <c r="M164">
        <v>17550</v>
      </c>
      <c r="N164">
        <v>607</v>
      </c>
      <c r="O164">
        <v>1312</v>
      </c>
      <c r="P164">
        <f>INDEX(Raw_product_master[Standard_Cost_Per_Unit],MATCH(Cleaned_Sales_data[[#This Row],[Product]],Raw_product_master[Product],0))</f>
        <v>2925</v>
      </c>
      <c r="Q164">
        <v>5371</v>
      </c>
      <c r="R164" s="11">
        <v>0.21622383252818</v>
      </c>
      <c r="S164" s="11">
        <f>INDEX(Raw_product_master[Target_Margin], MATCH(Cleaned_Sales_data[[#This Row],[Product]],Raw_product_master[Product], 0 ))</f>
        <v>0.22</v>
      </c>
      <c r="T164" t="str">
        <f>IF(Cleaned_Sales_data[[#This Row],[Profit]]&gt;0, "Profitable", "Loss")</f>
        <v>Profitable</v>
      </c>
      <c r="U164" t="str">
        <f>_xlfn.IFS(Cleaned_Sales_data[[#This Row],[Profit]]&gt;=10000, "High", Cleaned_Sales_data[[#This Row],[Profit]]&gt;=5000, "Medium", Cleaned_Sales_data[[#This Row],[Profit]]&gt;=0, "Low", Cleaned_Sales_data[[#This Row],[Profit]] &lt;0, "Loss")</f>
        <v>Medium</v>
      </c>
      <c r="V164" t="str">
        <f t="shared" si="2"/>
        <v>UnderPerforming</v>
      </c>
      <c r="W164" s="3">
        <v>45778</v>
      </c>
    </row>
    <row r="165" spans="1:23">
      <c r="A165" t="s">
        <v>745</v>
      </c>
      <c r="B165" s="3">
        <v>45778</v>
      </c>
      <c r="C165" t="s">
        <v>50</v>
      </c>
      <c r="D165" t="str">
        <f>INDEX(Raw_product_master[Category],MATCH(Cleaned_Sales_data[[#This Row],[Product]],Raw_product_master[Product],0))</f>
        <v>Accessories</v>
      </c>
      <c r="E165" t="s">
        <v>51</v>
      </c>
      <c r="F165" t="s">
        <v>20</v>
      </c>
      <c r="G165" t="s">
        <v>35</v>
      </c>
      <c r="H165">
        <v>2</v>
      </c>
      <c r="I165">
        <v>2500</v>
      </c>
      <c r="J165" s="10">
        <v>0.03</v>
      </c>
      <c r="K165">
        <v>5000</v>
      </c>
      <c r="L165">
        <v>4850</v>
      </c>
      <c r="M165">
        <v>3100</v>
      </c>
      <c r="N165">
        <v>398</v>
      </c>
      <c r="O165">
        <v>637</v>
      </c>
      <c r="P165">
        <f>INDEX(Raw_product_master[Standard_Cost_Per_Unit],MATCH(Cleaned_Sales_data[[#This Row],[Product]],Raw_product_master[Product],0))</f>
        <v>1550</v>
      </c>
      <c r="Q165">
        <v>715</v>
      </c>
      <c r="R165" s="11">
        <v>0.147422680412371</v>
      </c>
      <c r="S165" s="11">
        <f>INDEX(Raw_product_master[Target_Margin], MATCH(Cleaned_Sales_data[[#This Row],[Product]],Raw_product_master[Product], 0 ))</f>
        <v>0.25</v>
      </c>
      <c r="T165" t="str">
        <f>IF(Cleaned_Sales_data[[#This Row],[Profit]]&gt;0, "Profitable", "Loss")</f>
        <v>Profitable</v>
      </c>
      <c r="U165" t="str">
        <f>_xlfn.IFS(Cleaned_Sales_data[[#This Row],[Profit]]&gt;=10000, "High", Cleaned_Sales_data[[#This Row],[Profit]]&gt;=5000, "Medium", Cleaned_Sales_data[[#This Row],[Profit]]&gt;=0, "Low", Cleaned_Sales_data[[#This Row],[Profit]] &lt;0, "Loss")</f>
        <v>Low</v>
      </c>
      <c r="V165" t="str">
        <f t="shared" si="2"/>
        <v>UnderPerforming</v>
      </c>
      <c r="W165" s="3">
        <v>45778</v>
      </c>
    </row>
    <row r="166" spans="1:23">
      <c r="A166" t="s">
        <v>752</v>
      </c>
      <c r="B166" s="3">
        <v>46186</v>
      </c>
      <c r="C166" t="s">
        <v>24</v>
      </c>
      <c r="D166" t="str">
        <f>INDEX(Raw_product_master[Category],MATCH(Cleaned_Sales_data[[#This Row],[Product]],Raw_product_master[Product],0))</f>
        <v>Accessories</v>
      </c>
      <c r="E166" t="s">
        <v>25</v>
      </c>
      <c r="F166" t="s">
        <v>20</v>
      </c>
      <c r="G166" t="s">
        <v>35</v>
      </c>
      <c r="H166">
        <v>1</v>
      </c>
      <c r="I166">
        <v>3500</v>
      </c>
      <c r="J166" s="10">
        <v>0.08</v>
      </c>
      <c r="K166">
        <v>3500</v>
      </c>
      <c r="L166">
        <v>3220</v>
      </c>
      <c r="M166">
        <v>2380</v>
      </c>
      <c r="N166">
        <v>292</v>
      </c>
      <c r="O166">
        <v>2089</v>
      </c>
      <c r="P166">
        <f>INDEX(Raw_product_master[Standard_Cost_Per_Unit],MATCH(Cleaned_Sales_data[[#This Row],[Product]],Raw_product_master[Product],0))</f>
        <v>2380</v>
      </c>
      <c r="Q166">
        <v>-1541</v>
      </c>
      <c r="R166" s="11">
        <v>-0.47857142857142898</v>
      </c>
      <c r="S166" s="11">
        <f>INDEX(Raw_product_master[Target_Margin], MATCH(Cleaned_Sales_data[[#This Row],[Product]],Raw_product_master[Product], 0 ))</f>
        <v>0.2</v>
      </c>
      <c r="T166" t="str">
        <f>IF(Cleaned_Sales_data[[#This Row],[Profit]]&gt;0, "Profitable", "Loss")</f>
        <v>Loss</v>
      </c>
      <c r="U166" t="str">
        <f>_xlfn.IFS(Cleaned_Sales_data[[#This Row],[Profit]]&gt;=10000, "High", Cleaned_Sales_data[[#This Row],[Profit]]&gt;=5000, "Medium", Cleaned_Sales_data[[#This Row],[Profit]]&gt;=0, "Low", Cleaned_Sales_data[[#This Row],[Profit]] &lt;0, "Loss")</f>
        <v>Loss</v>
      </c>
      <c r="V166" t="str">
        <f t="shared" si="2"/>
        <v>UnderPerforming</v>
      </c>
      <c r="W166" s="3">
        <v>46174</v>
      </c>
    </row>
    <row r="167" spans="1:23">
      <c r="A167" t="s">
        <v>754</v>
      </c>
      <c r="B167" s="3">
        <v>46173</v>
      </c>
      <c r="C167" t="s">
        <v>18</v>
      </c>
      <c r="D167" t="str">
        <f>INDEX(Raw_product_master[Category],MATCH(Cleaned_Sales_data[[#This Row],[Product]],Raw_product_master[Product],0))</f>
        <v>Computers</v>
      </c>
      <c r="E167" t="s">
        <v>25</v>
      </c>
      <c r="F167" t="s">
        <v>20</v>
      </c>
      <c r="G167" t="s">
        <v>35</v>
      </c>
      <c r="H167">
        <v>2</v>
      </c>
      <c r="I167">
        <v>32000</v>
      </c>
      <c r="J167" s="10">
        <v>0.08</v>
      </c>
      <c r="K167">
        <v>64000</v>
      </c>
      <c r="L167">
        <v>58880</v>
      </c>
      <c r="M167">
        <v>52480</v>
      </c>
      <c r="N167">
        <v>721</v>
      </c>
      <c r="O167">
        <v>733</v>
      </c>
      <c r="P167">
        <f>INDEX(Raw_product_master[Standard_Cost_Per_Unit],MATCH(Cleaned_Sales_data[[#This Row],[Product]],Raw_product_master[Product],0))</f>
        <v>26240</v>
      </c>
      <c r="Q167">
        <v>4946</v>
      </c>
      <c r="R167" s="11">
        <v>8.4001358695652201E-2</v>
      </c>
      <c r="S167" s="11">
        <f>INDEX(Raw_product_master[Target_Margin], MATCH(Cleaned_Sales_data[[#This Row],[Product]],Raw_product_master[Product], 0 ))</f>
        <v>0.12</v>
      </c>
      <c r="T167" t="str">
        <f>IF(Cleaned_Sales_data[[#This Row],[Profit]]&gt;0, "Profitable", "Loss")</f>
        <v>Profitable</v>
      </c>
      <c r="U167" t="str">
        <f>_xlfn.IFS(Cleaned_Sales_data[[#This Row],[Profit]]&gt;=10000, "High", Cleaned_Sales_data[[#This Row],[Profit]]&gt;=5000, "Medium", Cleaned_Sales_data[[#This Row],[Profit]]&gt;=0, "Low", Cleaned_Sales_data[[#This Row],[Profit]] &lt;0, "Loss")</f>
        <v>Low</v>
      </c>
      <c r="V167" t="str">
        <f t="shared" si="2"/>
        <v>UnderPerforming</v>
      </c>
      <c r="W167" s="3">
        <v>46143</v>
      </c>
    </row>
    <row r="168" spans="1:23">
      <c r="A168" t="s">
        <v>761</v>
      </c>
      <c r="B168" s="3">
        <v>46009</v>
      </c>
      <c r="C168" t="s">
        <v>75</v>
      </c>
      <c r="D168" t="str">
        <f>INDEX(Raw_product_master[Category],MATCH(Cleaned_Sales_data[[#This Row],[Product]],Raw_product_master[Product],0))</f>
        <v>Computers</v>
      </c>
      <c r="E168" t="s">
        <v>31</v>
      </c>
      <c r="F168" t="s">
        <v>20</v>
      </c>
      <c r="G168" t="s">
        <v>35</v>
      </c>
      <c r="H168">
        <v>3</v>
      </c>
      <c r="I168">
        <v>65000</v>
      </c>
      <c r="J168" s="10">
        <v>0.1</v>
      </c>
      <c r="K168">
        <v>195000</v>
      </c>
      <c r="L168">
        <v>175500</v>
      </c>
      <c r="M168">
        <v>163800</v>
      </c>
      <c r="N168">
        <v>931</v>
      </c>
      <c r="O168">
        <v>924</v>
      </c>
      <c r="P168">
        <f>INDEX(Raw_product_master[Standard_Cost_Per_Unit],MATCH(Cleaned_Sales_data[[#This Row],[Product]],Raw_product_master[Product],0))</f>
        <v>54600</v>
      </c>
      <c r="Q168">
        <v>9845</v>
      </c>
      <c r="R168" s="11">
        <v>5.6096866096866101E-2</v>
      </c>
      <c r="S168" s="11">
        <f>INDEX(Raw_product_master[Target_Margin], MATCH(Cleaned_Sales_data[[#This Row],[Product]],Raw_product_master[Product], 0 ))</f>
        <v>0.12</v>
      </c>
      <c r="T168" t="str">
        <f>IF(Cleaned_Sales_data[[#This Row],[Profit]]&gt;0, "Profitable", "Loss")</f>
        <v>Profitable</v>
      </c>
      <c r="U168" t="str">
        <f>_xlfn.IFS(Cleaned_Sales_data[[#This Row],[Profit]]&gt;=10000, "High", Cleaned_Sales_data[[#This Row],[Profit]]&gt;=5000, "Medium", Cleaned_Sales_data[[#This Row],[Profit]]&gt;=0, "Low", Cleaned_Sales_data[[#This Row],[Profit]] &lt;0, "Loss")</f>
        <v>Medium</v>
      </c>
      <c r="V168" t="str">
        <f t="shared" si="2"/>
        <v>UnderPerforming</v>
      </c>
      <c r="W168" s="3">
        <v>45992</v>
      </c>
    </row>
    <row r="169" spans="1:23">
      <c r="A169" t="s">
        <v>767</v>
      </c>
      <c r="B169" s="3">
        <v>45769</v>
      </c>
      <c r="C169" t="s">
        <v>75</v>
      </c>
      <c r="D169" t="str">
        <f>INDEX(Raw_product_master[Category],MATCH(Cleaned_Sales_data[[#This Row],[Product]],Raw_product_master[Product],0))</f>
        <v>Computers</v>
      </c>
      <c r="E169" t="s">
        <v>51</v>
      </c>
      <c r="F169" t="s">
        <v>20</v>
      </c>
      <c r="G169" t="s">
        <v>35</v>
      </c>
      <c r="H169">
        <v>2</v>
      </c>
      <c r="I169">
        <v>65000</v>
      </c>
      <c r="J169" s="10">
        <v>0</v>
      </c>
      <c r="K169">
        <v>130000</v>
      </c>
      <c r="L169">
        <v>130000</v>
      </c>
      <c r="M169">
        <v>109200</v>
      </c>
      <c r="N169">
        <v>1753</v>
      </c>
      <c r="O169">
        <v>156</v>
      </c>
      <c r="P169">
        <f>INDEX(Raw_product_master[Standard_Cost_Per_Unit],MATCH(Cleaned_Sales_data[[#This Row],[Product]],Raw_product_master[Product],0))</f>
        <v>54600</v>
      </c>
      <c r="Q169">
        <v>18891</v>
      </c>
      <c r="R169" s="11">
        <v>0.14531538461538501</v>
      </c>
      <c r="S169" s="11">
        <f>INDEX(Raw_product_master[Target_Margin], MATCH(Cleaned_Sales_data[[#This Row],[Product]],Raw_product_master[Product], 0 ))</f>
        <v>0.12</v>
      </c>
      <c r="T169" t="str">
        <f>IF(Cleaned_Sales_data[[#This Row],[Profit]]&gt;0, "Profitable", "Loss")</f>
        <v>Profitable</v>
      </c>
      <c r="U169" t="str">
        <f>_xlfn.IFS(Cleaned_Sales_data[[#This Row],[Profit]]&gt;=10000, "High", Cleaned_Sales_data[[#This Row],[Profit]]&gt;=5000, "Medium", Cleaned_Sales_data[[#This Row],[Profit]]&gt;=0, "Low", Cleaned_Sales_data[[#This Row],[Profit]] &lt;0, "Loss")</f>
        <v>High</v>
      </c>
      <c r="V169" t="str">
        <f t="shared" si="2"/>
        <v>On Target</v>
      </c>
      <c r="W169" s="3">
        <v>45748</v>
      </c>
    </row>
    <row r="170" spans="1:23">
      <c r="A170" t="s">
        <v>772</v>
      </c>
      <c r="B170" s="3">
        <v>45683</v>
      </c>
      <c r="C170" t="s">
        <v>46</v>
      </c>
      <c r="D170" t="str">
        <f>INDEX(Raw_product_master[Category],MATCH(Cleaned_Sales_data[[#This Row],[Product]],Raw_product_master[Product],0))</f>
        <v>Office Equipment</v>
      </c>
      <c r="E170" t="s">
        <v>51</v>
      </c>
      <c r="F170" t="s">
        <v>20</v>
      </c>
      <c r="G170" t="s">
        <v>35</v>
      </c>
      <c r="H170">
        <v>1</v>
      </c>
      <c r="I170">
        <v>18000</v>
      </c>
      <c r="J170" s="10">
        <v>0.05</v>
      </c>
      <c r="K170">
        <v>18000</v>
      </c>
      <c r="L170">
        <v>17100</v>
      </c>
      <c r="M170">
        <v>14400</v>
      </c>
      <c r="N170">
        <v>1099</v>
      </c>
      <c r="O170">
        <v>2158</v>
      </c>
      <c r="P170">
        <f>INDEX(Raw_product_master[Standard_Cost_Per_Unit],MATCH(Cleaned_Sales_data[[#This Row],[Product]],Raw_product_master[Product],0))</f>
        <v>14400</v>
      </c>
      <c r="Q170">
        <v>-557</v>
      </c>
      <c r="R170" s="11">
        <v>-3.2573099415204698E-2</v>
      </c>
      <c r="S170" s="11">
        <f>INDEX(Raw_product_master[Target_Margin], MATCH(Cleaned_Sales_data[[#This Row],[Product]],Raw_product_master[Product], 0 ))</f>
        <v>0.15</v>
      </c>
      <c r="T170" t="str">
        <f>IF(Cleaned_Sales_data[[#This Row],[Profit]]&gt;0, "Profitable", "Loss")</f>
        <v>Loss</v>
      </c>
      <c r="U170" t="str">
        <f>_xlfn.IFS(Cleaned_Sales_data[[#This Row],[Profit]]&gt;=10000, "High", Cleaned_Sales_data[[#This Row],[Profit]]&gt;=5000, "Medium", Cleaned_Sales_data[[#This Row],[Profit]]&gt;=0, "Low", Cleaned_Sales_data[[#This Row],[Profit]] &lt;0, "Loss")</f>
        <v>Loss</v>
      </c>
      <c r="V170" t="str">
        <f t="shared" si="2"/>
        <v>UnderPerforming</v>
      </c>
      <c r="W170" s="3">
        <v>45658</v>
      </c>
    </row>
    <row r="171" spans="1:23">
      <c r="A171" t="s">
        <v>777</v>
      </c>
      <c r="B171" s="3">
        <v>46056</v>
      </c>
      <c r="C171" t="s">
        <v>75</v>
      </c>
      <c r="D171" t="str">
        <f>INDEX(Raw_product_master[Category],MATCH(Cleaned_Sales_data[[#This Row],[Product]],Raw_product_master[Product],0))</f>
        <v>Computers</v>
      </c>
      <c r="E171" t="s">
        <v>51</v>
      </c>
      <c r="F171" t="s">
        <v>20</v>
      </c>
      <c r="G171" t="s">
        <v>35</v>
      </c>
      <c r="H171">
        <v>1</v>
      </c>
      <c r="I171">
        <v>65000</v>
      </c>
      <c r="J171" s="10">
        <v>0.15</v>
      </c>
      <c r="K171">
        <v>65000</v>
      </c>
      <c r="L171">
        <v>55250</v>
      </c>
      <c r="M171">
        <v>54600</v>
      </c>
      <c r="N171">
        <v>576</v>
      </c>
      <c r="O171">
        <v>754</v>
      </c>
      <c r="P171">
        <f>INDEX(Raw_product_master[Standard_Cost_Per_Unit],MATCH(Cleaned_Sales_data[[#This Row],[Product]],Raw_product_master[Product],0))</f>
        <v>54600</v>
      </c>
      <c r="Q171">
        <v>-680</v>
      </c>
      <c r="R171" s="11">
        <v>-1.2307692307692301E-2</v>
      </c>
      <c r="S171" s="11">
        <f>INDEX(Raw_product_master[Target_Margin], MATCH(Cleaned_Sales_data[[#This Row],[Product]],Raw_product_master[Product], 0 ))</f>
        <v>0.12</v>
      </c>
      <c r="T171" t="str">
        <f>IF(Cleaned_Sales_data[[#This Row],[Profit]]&gt;0, "Profitable", "Loss")</f>
        <v>Loss</v>
      </c>
      <c r="U171" t="str">
        <f>_xlfn.IFS(Cleaned_Sales_data[[#This Row],[Profit]]&gt;=10000, "High", Cleaned_Sales_data[[#This Row],[Profit]]&gt;=5000, "Medium", Cleaned_Sales_data[[#This Row],[Profit]]&gt;=0, "Low", Cleaned_Sales_data[[#This Row],[Profit]] &lt;0, "Loss")</f>
        <v>Loss</v>
      </c>
      <c r="V171" t="str">
        <f t="shared" si="2"/>
        <v>UnderPerforming</v>
      </c>
      <c r="W171" s="3">
        <v>46054</v>
      </c>
    </row>
    <row r="172" spans="1:23">
      <c r="A172" t="s">
        <v>780</v>
      </c>
      <c r="B172" s="3">
        <v>45864</v>
      </c>
      <c r="C172" t="s">
        <v>53</v>
      </c>
      <c r="D172" t="str">
        <f>INDEX(Raw_product_master[Category],MATCH(Cleaned_Sales_data[[#This Row],[Product]],Raw_product_master[Product],0))</f>
        <v>Accessories</v>
      </c>
      <c r="E172" t="s">
        <v>31</v>
      </c>
      <c r="F172" t="s">
        <v>20</v>
      </c>
      <c r="G172" t="s">
        <v>35</v>
      </c>
      <c r="H172">
        <v>5</v>
      </c>
      <c r="I172">
        <v>1500</v>
      </c>
      <c r="J172" s="10">
        <v>0.08</v>
      </c>
      <c r="K172">
        <v>7500</v>
      </c>
      <c r="L172">
        <v>6900</v>
      </c>
      <c r="M172">
        <v>4125</v>
      </c>
      <c r="N172">
        <v>628</v>
      </c>
      <c r="O172">
        <v>533</v>
      </c>
      <c r="P172">
        <f>INDEX(Raw_product_master[Standard_Cost_Per_Unit],MATCH(Cleaned_Sales_data[[#This Row],[Product]],Raw_product_master[Product],0))</f>
        <v>825</v>
      </c>
      <c r="Q172">
        <v>1614</v>
      </c>
      <c r="R172" s="11">
        <v>0.233913043478261</v>
      </c>
      <c r="S172" s="11">
        <f>INDEX(Raw_product_master[Target_Margin], MATCH(Cleaned_Sales_data[[#This Row],[Product]],Raw_product_master[Product], 0 ))</f>
        <v>0.3</v>
      </c>
      <c r="T172" t="str">
        <f>IF(Cleaned_Sales_data[[#This Row],[Profit]]&gt;0, "Profitable", "Loss")</f>
        <v>Profitable</v>
      </c>
      <c r="U172" t="str">
        <f>_xlfn.IFS(Cleaned_Sales_data[[#This Row],[Profit]]&gt;=10000, "High", Cleaned_Sales_data[[#This Row],[Profit]]&gt;=5000, "Medium", Cleaned_Sales_data[[#This Row],[Profit]]&gt;=0, "Low", Cleaned_Sales_data[[#This Row],[Profit]] &lt;0, "Loss")</f>
        <v>Low</v>
      </c>
      <c r="V172" t="str">
        <f t="shared" si="2"/>
        <v>UnderPerforming</v>
      </c>
      <c r="W172" s="3">
        <v>45839</v>
      </c>
    </row>
    <row r="173" spans="1:23">
      <c r="A173" t="s">
        <v>786</v>
      </c>
      <c r="B173" s="3">
        <v>45808</v>
      </c>
      <c r="C173" t="s">
        <v>46</v>
      </c>
      <c r="D173" t="str">
        <f>INDEX(Raw_product_master[Category],MATCH(Cleaned_Sales_data[[#This Row],[Product]],Raw_product_master[Product],0))</f>
        <v>Office Equipment</v>
      </c>
      <c r="E173" t="s">
        <v>31</v>
      </c>
      <c r="F173" t="s">
        <v>20</v>
      </c>
      <c r="G173" t="s">
        <v>35</v>
      </c>
      <c r="H173">
        <v>3</v>
      </c>
      <c r="I173">
        <v>18000</v>
      </c>
      <c r="J173" s="10">
        <v>0.15</v>
      </c>
      <c r="K173">
        <v>54000</v>
      </c>
      <c r="L173">
        <v>45900</v>
      </c>
      <c r="M173">
        <v>43200</v>
      </c>
      <c r="N173">
        <v>1469</v>
      </c>
      <c r="O173">
        <v>306</v>
      </c>
      <c r="P173">
        <f>INDEX(Raw_product_master[Standard_Cost_Per_Unit],MATCH(Cleaned_Sales_data[[#This Row],[Product]],Raw_product_master[Product],0))</f>
        <v>14400</v>
      </c>
      <c r="Q173">
        <v>925</v>
      </c>
      <c r="R173" s="11">
        <v>2.0152505446623101E-2</v>
      </c>
      <c r="S173" s="11">
        <f>INDEX(Raw_product_master[Target_Margin], MATCH(Cleaned_Sales_data[[#This Row],[Product]],Raw_product_master[Product], 0 ))</f>
        <v>0.15</v>
      </c>
      <c r="T173" t="str">
        <f>IF(Cleaned_Sales_data[[#This Row],[Profit]]&gt;0, "Profitable", "Loss")</f>
        <v>Profitable</v>
      </c>
      <c r="U173" t="str">
        <f>_xlfn.IFS(Cleaned_Sales_data[[#This Row],[Profit]]&gt;=10000, "High", Cleaned_Sales_data[[#This Row],[Profit]]&gt;=5000, "Medium", Cleaned_Sales_data[[#This Row],[Profit]]&gt;=0, "Low", Cleaned_Sales_data[[#This Row],[Profit]] &lt;0, "Loss")</f>
        <v>Low</v>
      </c>
      <c r="V173" t="str">
        <f t="shared" si="2"/>
        <v>UnderPerforming</v>
      </c>
      <c r="W173" s="3">
        <v>45778</v>
      </c>
    </row>
    <row r="174" spans="1:23">
      <c r="A174" t="s">
        <v>793</v>
      </c>
      <c r="B174" s="3">
        <v>45895</v>
      </c>
      <c r="C174" t="s">
        <v>50</v>
      </c>
      <c r="D174" t="str">
        <f>INDEX(Raw_product_master[Category],MATCH(Cleaned_Sales_data[[#This Row],[Product]],Raw_product_master[Product],0))</f>
        <v>Accessories</v>
      </c>
      <c r="E174" t="s">
        <v>31</v>
      </c>
      <c r="F174" t="s">
        <v>20</v>
      </c>
      <c r="G174" t="s">
        <v>35</v>
      </c>
      <c r="H174">
        <v>5</v>
      </c>
      <c r="I174">
        <v>2500</v>
      </c>
      <c r="J174" s="10">
        <v>0.15</v>
      </c>
      <c r="K174">
        <v>12500</v>
      </c>
      <c r="L174">
        <v>10625</v>
      </c>
      <c r="M174">
        <v>7750</v>
      </c>
      <c r="N174">
        <v>279</v>
      </c>
      <c r="O174">
        <v>1947</v>
      </c>
      <c r="P174">
        <f>INDEX(Raw_product_master[Standard_Cost_Per_Unit],MATCH(Cleaned_Sales_data[[#This Row],[Product]],Raw_product_master[Product],0))</f>
        <v>1550</v>
      </c>
      <c r="Q174">
        <v>649</v>
      </c>
      <c r="R174" s="11">
        <v>6.1082352941176497E-2</v>
      </c>
      <c r="S174" s="11">
        <f>INDEX(Raw_product_master[Target_Margin], MATCH(Cleaned_Sales_data[[#This Row],[Product]],Raw_product_master[Product], 0 ))</f>
        <v>0.25</v>
      </c>
      <c r="T174" t="str">
        <f>IF(Cleaned_Sales_data[[#This Row],[Profit]]&gt;0, "Profitable", "Loss")</f>
        <v>Profitable</v>
      </c>
      <c r="U174" t="str">
        <f>_xlfn.IFS(Cleaned_Sales_data[[#This Row],[Profit]]&gt;=10000, "High", Cleaned_Sales_data[[#This Row],[Profit]]&gt;=5000, "Medium", Cleaned_Sales_data[[#This Row],[Profit]]&gt;=0, "Low", Cleaned_Sales_data[[#This Row],[Profit]] &lt;0, "Loss")</f>
        <v>Low</v>
      </c>
      <c r="V174" t="str">
        <f t="shared" si="2"/>
        <v>UnderPerforming</v>
      </c>
      <c r="W174" s="3">
        <v>45870</v>
      </c>
    </row>
    <row r="175" spans="1:23">
      <c r="A175" t="s">
        <v>796</v>
      </c>
      <c r="B175" s="3">
        <v>45855</v>
      </c>
      <c r="C175" t="s">
        <v>18</v>
      </c>
      <c r="D175" t="str">
        <f>INDEX(Raw_product_master[Category],MATCH(Cleaned_Sales_data[[#This Row],[Product]],Raw_product_master[Product],0))</f>
        <v>Computers</v>
      </c>
      <c r="E175" t="s">
        <v>19</v>
      </c>
      <c r="F175" t="s">
        <v>20</v>
      </c>
      <c r="G175" t="s">
        <v>35</v>
      </c>
      <c r="H175">
        <v>1</v>
      </c>
      <c r="I175">
        <v>32000</v>
      </c>
      <c r="J175" s="10">
        <v>0.15</v>
      </c>
      <c r="K175">
        <v>32000</v>
      </c>
      <c r="L175">
        <v>27200</v>
      </c>
      <c r="M175">
        <v>26240</v>
      </c>
      <c r="N175">
        <v>1407</v>
      </c>
      <c r="O175">
        <v>1491</v>
      </c>
      <c r="P175">
        <f>INDEX(Raw_product_master[Standard_Cost_Per_Unit],MATCH(Cleaned_Sales_data[[#This Row],[Product]],Raw_product_master[Product],0))</f>
        <v>26240</v>
      </c>
      <c r="Q175">
        <v>-1938</v>
      </c>
      <c r="R175" s="11">
        <v>-7.1249999999999994E-2</v>
      </c>
      <c r="S175" s="11">
        <f>INDEX(Raw_product_master[Target_Margin], MATCH(Cleaned_Sales_data[[#This Row],[Product]],Raw_product_master[Product], 0 ))</f>
        <v>0.12</v>
      </c>
      <c r="T175" t="str">
        <f>IF(Cleaned_Sales_data[[#This Row],[Profit]]&gt;0, "Profitable", "Loss")</f>
        <v>Loss</v>
      </c>
      <c r="U175" t="str">
        <f>_xlfn.IFS(Cleaned_Sales_data[[#This Row],[Profit]]&gt;=10000, "High", Cleaned_Sales_data[[#This Row],[Profit]]&gt;=5000, "Medium", Cleaned_Sales_data[[#This Row],[Profit]]&gt;=0, "Low", Cleaned_Sales_data[[#This Row],[Profit]] &lt;0, "Loss")</f>
        <v>Loss</v>
      </c>
      <c r="V175" t="str">
        <f t="shared" si="2"/>
        <v>UnderPerforming</v>
      </c>
      <c r="W175" s="3">
        <v>45839</v>
      </c>
    </row>
    <row r="176" spans="1:23">
      <c r="A176" t="s">
        <v>799</v>
      </c>
      <c r="B176" s="3">
        <v>46045</v>
      </c>
      <c r="C176" t="s">
        <v>61</v>
      </c>
      <c r="D176" t="str">
        <f>INDEX(Raw_product_master[Category],MATCH(Cleaned_Sales_data[[#This Row],[Product]],Raw_product_master[Product],0))</f>
        <v>Accessories</v>
      </c>
      <c r="E176" t="s">
        <v>34</v>
      </c>
      <c r="F176" t="s">
        <v>20</v>
      </c>
      <c r="G176" t="s">
        <v>35</v>
      </c>
      <c r="H176">
        <v>3</v>
      </c>
      <c r="I176">
        <v>4500</v>
      </c>
      <c r="J176" s="10">
        <v>0.03</v>
      </c>
      <c r="K176">
        <v>13500</v>
      </c>
      <c r="L176">
        <v>13095</v>
      </c>
      <c r="M176">
        <v>8775</v>
      </c>
      <c r="N176">
        <v>1774</v>
      </c>
      <c r="O176">
        <v>528</v>
      </c>
      <c r="P176">
        <f>INDEX(Raw_product_master[Standard_Cost_Per_Unit],MATCH(Cleaned_Sales_data[[#This Row],[Product]],Raw_product_master[Product],0))</f>
        <v>2925</v>
      </c>
      <c r="Q176">
        <v>2018</v>
      </c>
      <c r="R176" s="11">
        <v>0.154104620084002</v>
      </c>
      <c r="S176" s="11">
        <f>INDEX(Raw_product_master[Target_Margin], MATCH(Cleaned_Sales_data[[#This Row],[Product]],Raw_product_master[Product], 0 ))</f>
        <v>0.22</v>
      </c>
      <c r="T176" t="str">
        <f>IF(Cleaned_Sales_data[[#This Row],[Profit]]&gt;0, "Profitable", "Loss")</f>
        <v>Profitable</v>
      </c>
      <c r="U176" t="str">
        <f>_xlfn.IFS(Cleaned_Sales_data[[#This Row],[Profit]]&gt;=10000, "High", Cleaned_Sales_data[[#This Row],[Profit]]&gt;=5000, "Medium", Cleaned_Sales_data[[#This Row],[Profit]]&gt;=0, "Low", Cleaned_Sales_data[[#This Row],[Profit]] &lt;0, "Loss")</f>
        <v>Low</v>
      </c>
      <c r="V176" t="str">
        <f t="shared" si="2"/>
        <v>UnderPerforming</v>
      </c>
      <c r="W176" s="3">
        <v>46023</v>
      </c>
    </row>
    <row r="177" spans="1:23">
      <c r="A177" t="s">
        <v>801</v>
      </c>
      <c r="B177" s="3">
        <v>45866</v>
      </c>
      <c r="C177" t="s">
        <v>53</v>
      </c>
      <c r="D177" t="str">
        <f>INDEX(Raw_product_master[Category],MATCH(Cleaned_Sales_data[[#This Row],[Product]],Raw_product_master[Product],0))</f>
        <v>Accessories</v>
      </c>
      <c r="E177" t="s">
        <v>63</v>
      </c>
      <c r="F177" t="s">
        <v>20</v>
      </c>
      <c r="G177" t="s">
        <v>35</v>
      </c>
      <c r="H177">
        <v>2</v>
      </c>
      <c r="I177">
        <v>1500</v>
      </c>
      <c r="J177" s="10">
        <v>0.05</v>
      </c>
      <c r="K177">
        <v>3000</v>
      </c>
      <c r="L177">
        <v>2850</v>
      </c>
      <c r="M177">
        <v>1650</v>
      </c>
      <c r="N177">
        <v>543</v>
      </c>
      <c r="O177">
        <v>1402</v>
      </c>
      <c r="P177">
        <f>INDEX(Raw_product_master[Standard_Cost_Per_Unit],MATCH(Cleaned_Sales_data[[#This Row],[Product]],Raw_product_master[Product],0))</f>
        <v>825</v>
      </c>
      <c r="Q177">
        <v>-745</v>
      </c>
      <c r="R177" s="11">
        <v>-0.26140350877193003</v>
      </c>
      <c r="S177" s="11">
        <f>INDEX(Raw_product_master[Target_Margin], MATCH(Cleaned_Sales_data[[#This Row],[Product]],Raw_product_master[Product], 0 ))</f>
        <v>0.3</v>
      </c>
      <c r="T177" t="str">
        <f>IF(Cleaned_Sales_data[[#This Row],[Profit]]&gt;0, "Profitable", "Loss")</f>
        <v>Loss</v>
      </c>
      <c r="U177" t="str">
        <f>_xlfn.IFS(Cleaned_Sales_data[[#This Row],[Profit]]&gt;=10000, "High", Cleaned_Sales_data[[#This Row],[Profit]]&gt;=5000, "Medium", Cleaned_Sales_data[[#This Row],[Profit]]&gt;=0, "Low", Cleaned_Sales_data[[#This Row],[Profit]] &lt;0, "Loss")</f>
        <v>Loss</v>
      </c>
      <c r="V177" t="str">
        <f t="shared" si="2"/>
        <v>UnderPerforming</v>
      </c>
      <c r="W177" s="3">
        <v>45839</v>
      </c>
    </row>
    <row r="178" spans="1:23">
      <c r="A178" t="s">
        <v>802</v>
      </c>
      <c r="B178" s="3">
        <v>45733</v>
      </c>
      <c r="C178" t="s">
        <v>18</v>
      </c>
      <c r="D178" t="str">
        <f>INDEX(Raw_product_master[Category],MATCH(Cleaned_Sales_data[[#This Row],[Product]],Raw_product_master[Product],0))</f>
        <v>Computers</v>
      </c>
      <c r="E178" t="s">
        <v>31</v>
      </c>
      <c r="F178" t="s">
        <v>20</v>
      </c>
      <c r="G178" t="s">
        <v>35</v>
      </c>
      <c r="H178">
        <v>1</v>
      </c>
      <c r="I178">
        <v>32000</v>
      </c>
      <c r="J178" s="10">
        <v>0.08</v>
      </c>
      <c r="K178">
        <v>32000</v>
      </c>
      <c r="L178">
        <v>29440</v>
      </c>
      <c r="M178">
        <v>26240</v>
      </c>
      <c r="N178">
        <v>994</v>
      </c>
      <c r="O178">
        <v>1488</v>
      </c>
      <c r="P178">
        <f>INDEX(Raw_product_master[Standard_Cost_Per_Unit],MATCH(Cleaned_Sales_data[[#This Row],[Product]],Raw_product_master[Product],0))</f>
        <v>26240</v>
      </c>
      <c r="Q178">
        <v>718</v>
      </c>
      <c r="R178" s="11">
        <v>2.4388586956521699E-2</v>
      </c>
      <c r="S178" s="11">
        <f>INDEX(Raw_product_master[Target_Margin], MATCH(Cleaned_Sales_data[[#This Row],[Product]],Raw_product_master[Product], 0 ))</f>
        <v>0.12</v>
      </c>
      <c r="T178" t="str">
        <f>IF(Cleaned_Sales_data[[#This Row],[Profit]]&gt;0, "Profitable", "Loss")</f>
        <v>Profitable</v>
      </c>
      <c r="U178" t="str">
        <f>_xlfn.IFS(Cleaned_Sales_data[[#This Row],[Profit]]&gt;=10000, "High", Cleaned_Sales_data[[#This Row],[Profit]]&gt;=5000, "Medium", Cleaned_Sales_data[[#This Row],[Profit]]&gt;=0, "Low", Cleaned_Sales_data[[#This Row],[Profit]] &lt;0, "Loss")</f>
        <v>Low</v>
      </c>
      <c r="V178" t="str">
        <f t="shared" si="2"/>
        <v>UnderPerforming</v>
      </c>
      <c r="W178" s="3">
        <v>45717</v>
      </c>
    </row>
    <row r="179" spans="1:23">
      <c r="A179" t="s">
        <v>17</v>
      </c>
      <c r="B179" s="3">
        <v>45779</v>
      </c>
      <c r="C179" t="s">
        <v>18</v>
      </c>
      <c r="D179" t="str">
        <f>INDEX(Raw_product_master[Category],MATCH(Cleaned_Sales_data[[#This Row],[Product]],Raw_product_master[Product],0))</f>
        <v>Computers</v>
      </c>
      <c r="E179" t="s">
        <v>19</v>
      </c>
      <c r="F179" t="s">
        <v>20</v>
      </c>
      <c r="G179" t="s">
        <v>21</v>
      </c>
      <c r="H179">
        <v>1</v>
      </c>
      <c r="I179">
        <v>32000</v>
      </c>
      <c r="J179" s="10">
        <v>0.03</v>
      </c>
      <c r="K179">
        <v>32000</v>
      </c>
      <c r="L179">
        <v>31040</v>
      </c>
      <c r="M179">
        <v>26240</v>
      </c>
      <c r="N179">
        <v>1295</v>
      </c>
      <c r="O179">
        <v>1738</v>
      </c>
      <c r="P179">
        <f>INDEX(Raw_product_master[Standard_Cost_Per_Unit],MATCH(Cleaned_Sales_data[[#This Row],[Product]],Raw_product_master[Product],0))</f>
        <v>26240</v>
      </c>
      <c r="Q179">
        <v>1767</v>
      </c>
      <c r="R179" s="11">
        <v>5.6926546391752597E-2</v>
      </c>
      <c r="S179" s="11">
        <f>INDEX(Raw_product_master[Target_Margin], MATCH(Cleaned_Sales_data[[#This Row],[Product]],Raw_product_master[Product], 0 ))</f>
        <v>0.12</v>
      </c>
      <c r="T179" t="str">
        <f>IF(Cleaned_Sales_data[[#This Row],[Profit]]&gt;0, "Profitable", "Loss")</f>
        <v>Profitable</v>
      </c>
      <c r="U179" t="str">
        <f>_xlfn.IFS(Cleaned_Sales_data[[#This Row],[Profit]]&gt;=10000, "High", Cleaned_Sales_data[[#This Row],[Profit]]&gt;=5000, "Medium", Cleaned_Sales_data[[#This Row],[Profit]]&gt;=0, "Low", Cleaned_Sales_data[[#This Row],[Profit]] &lt;0, "Loss")</f>
        <v>Low</v>
      </c>
      <c r="V179" t="str">
        <f t="shared" si="2"/>
        <v>UnderPerforming</v>
      </c>
      <c r="W179" s="3">
        <v>45778</v>
      </c>
    </row>
    <row r="180" spans="1:23">
      <c r="A180" t="s">
        <v>29</v>
      </c>
      <c r="B180" s="3">
        <v>45910</v>
      </c>
      <c r="C180" t="s">
        <v>30</v>
      </c>
      <c r="D180" t="str">
        <f>INDEX(Raw_product_master[Category],MATCH(Cleaned_Sales_data[[#This Row],[Product]],Raw_product_master[Product],0))</f>
        <v>Displays</v>
      </c>
      <c r="E180" t="s">
        <v>31</v>
      </c>
      <c r="F180" t="s">
        <v>20</v>
      </c>
      <c r="G180" t="s">
        <v>21</v>
      </c>
      <c r="H180">
        <v>1</v>
      </c>
      <c r="I180">
        <v>28000</v>
      </c>
      <c r="J180" s="10">
        <v>0.08</v>
      </c>
      <c r="K180">
        <v>28000</v>
      </c>
      <c r="L180">
        <v>25760</v>
      </c>
      <c r="M180">
        <v>21840</v>
      </c>
      <c r="N180">
        <v>1537</v>
      </c>
      <c r="O180">
        <v>121</v>
      </c>
      <c r="P180">
        <f>INDEX(Raw_product_master[Standard_Cost_Per_Unit],MATCH(Cleaned_Sales_data[[#This Row],[Product]],Raw_product_master[Product],0))</f>
        <v>21840</v>
      </c>
      <c r="Q180">
        <v>2262</v>
      </c>
      <c r="R180" s="11">
        <v>8.7810559006211195E-2</v>
      </c>
      <c r="S180" s="11">
        <f>INDEX(Raw_product_master[Target_Margin], MATCH(Cleaned_Sales_data[[#This Row],[Product]],Raw_product_master[Product], 0 ))</f>
        <v>0.18</v>
      </c>
      <c r="T180" t="str">
        <f>IF(Cleaned_Sales_data[[#This Row],[Profit]]&gt;0, "Profitable", "Loss")</f>
        <v>Profitable</v>
      </c>
      <c r="U180" t="str">
        <f>_xlfn.IFS(Cleaned_Sales_data[[#This Row],[Profit]]&gt;=10000, "High", Cleaned_Sales_data[[#This Row],[Profit]]&gt;=5000, "Medium", Cleaned_Sales_data[[#This Row],[Profit]]&gt;=0, "Low", Cleaned_Sales_data[[#This Row],[Profit]] &lt;0, "Loss")</f>
        <v>Low</v>
      </c>
      <c r="V180" t="str">
        <f t="shared" si="2"/>
        <v>UnderPerforming</v>
      </c>
      <c r="W180" s="3">
        <v>45901</v>
      </c>
    </row>
    <row r="181" spans="1:23">
      <c r="A181" t="s">
        <v>40</v>
      </c>
      <c r="B181" s="3">
        <v>45749</v>
      </c>
      <c r="C181" t="s">
        <v>30</v>
      </c>
      <c r="D181" t="str">
        <f>INDEX(Raw_product_master[Category],MATCH(Cleaned_Sales_data[[#This Row],[Product]],Raw_product_master[Product],0))</f>
        <v>Displays</v>
      </c>
      <c r="E181" t="s">
        <v>31</v>
      </c>
      <c r="F181" t="s">
        <v>20</v>
      </c>
      <c r="G181" t="s">
        <v>21</v>
      </c>
      <c r="H181">
        <v>2</v>
      </c>
      <c r="I181">
        <v>28000</v>
      </c>
      <c r="J181" s="10">
        <v>0.05</v>
      </c>
      <c r="K181">
        <v>56000</v>
      </c>
      <c r="L181">
        <v>53200</v>
      </c>
      <c r="M181">
        <v>43680</v>
      </c>
      <c r="N181">
        <v>764</v>
      </c>
      <c r="O181">
        <v>1463</v>
      </c>
      <c r="P181">
        <f>INDEX(Raw_product_master[Standard_Cost_Per_Unit],MATCH(Cleaned_Sales_data[[#This Row],[Product]],Raw_product_master[Product],0))</f>
        <v>21840</v>
      </c>
      <c r="Q181">
        <v>7293</v>
      </c>
      <c r="R181" s="11">
        <v>0.13708646616541401</v>
      </c>
      <c r="S181" s="11">
        <f>INDEX(Raw_product_master[Target_Margin], MATCH(Cleaned_Sales_data[[#This Row],[Product]],Raw_product_master[Product], 0 ))</f>
        <v>0.18</v>
      </c>
      <c r="T181" t="str">
        <f>IF(Cleaned_Sales_data[[#This Row],[Profit]]&gt;0, "Profitable", "Loss")</f>
        <v>Profitable</v>
      </c>
      <c r="U181" t="str">
        <f>_xlfn.IFS(Cleaned_Sales_data[[#This Row],[Profit]]&gt;=10000, "High", Cleaned_Sales_data[[#This Row],[Profit]]&gt;=5000, "Medium", Cleaned_Sales_data[[#This Row],[Profit]]&gt;=0, "Low", Cleaned_Sales_data[[#This Row],[Profit]] &lt;0, "Loss")</f>
        <v>Medium</v>
      </c>
      <c r="V181" t="str">
        <f t="shared" si="2"/>
        <v>UnderPerforming</v>
      </c>
      <c r="W181" s="3">
        <v>45748</v>
      </c>
    </row>
    <row r="182" spans="1:23">
      <c r="A182" t="s">
        <v>52</v>
      </c>
      <c r="B182" s="3">
        <v>46064</v>
      </c>
      <c r="C182" t="s">
        <v>53</v>
      </c>
      <c r="D182" t="str">
        <f>INDEX(Raw_product_master[Category],MATCH(Cleaned_Sales_data[[#This Row],[Product]],Raw_product_master[Product],0))</f>
        <v>Accessories</v>
      </c>
      <c r="E182" t="s">
        <v>34</v>
      </c>
      <c r="F182" t="s">
        <v>20</v>
      </c>
      <c r="G182" t="s">
        <v>21</v>
      </c>
      <c r="H182">
        <v>7</v>
      </c>
      <c r="I182">
        <v>1500</v>
      </c>
      <c r="J182" s="10">
        <v>0.15</v>
      </c>
      <c r="K182">
        <v>10500</v>
      </c>
      <c r="L182">
        <v>8925</v>
      </c>
      <c r="M182">
        <v>5775</v>
      </c>
      <c r="N182">
        <v>979</v>
      </c>
      <c r="O182">
        <v>602</v>
      </c>
      <c r="P182">
        <f>INDEX(Raw_product_master[Standard_Cost_Per_Unit],MATCH(Cleaned_Sales_data[[#This Row],[Product]],Raw_product_master[Product],0))</f>
        <v>825</v>
      </c>
      <c r="Q182">
        <v>1569</v>
      </c>
      <c r="R182" s="11">
        <v>0.17579831932773099</v>
      </c>
      <c r="S182" s="11">
        <f>INDEX(Raw_product_master[Target_Margin], MATCH(Cleaned_Sales_data[[#This Row],[Product]],Raw_product_master[Product], 0 ))</f>
        <v>0.3</v>
      </c>
      <c r="T182" t="str">
        <f>IF(Cleaned_Sales_data[[#This Row],[Profit]]&gt;0, "Profitable", "Loss")</f>
        <v>Profitable</v>
      </c>
      <c r="U182" t="str">
        <f>_xlfn.IFS(Cleaned_Sales_data[[#This Row],[Profit]]&gt;=10000, "High", Cleaned_Sales_data[[#This Row],[Profit]]&gt;=5000, "Medium", Cleaned_Sales_data[[#This Row],[Profit]]&gt;=0, "Low", Cleaned_Sales_data[[#This Row],[Profit]] &lt;0, "Loss")</f>
        <v>Low</v>
      </c>
      <c r="V182" t="str">
        <f t="shared" si="2"/>
        <v>UnderPerforming</v>
      </c>
      <c r="W182" s="3">
        <v>46054</v>
      </c>
    </row>
    <row r="183" spans="1:23">
      <c r="A183" t="s">
        <v>70</v>
      </c>
      <c r="B183" s="3">
        <v>46058</v>
      </c>
      <c r="C183" t="s">
        <v>46</v>
      </c>
      <c r="D183" t="str">
        <f>INDEX(Raw_product_master[Category],MATCH(Cleaned_Sales_data[[#This Row],[Product]],Raw_product_master[Product],0))</f>
        <v>Office Equipment</v>
      </c>
      <c r="E183" t="s">
        <v>34</v>
      </c>
      <c r="F183" t="s">
        <v>20</v>
      </c>
      <c r="G183" t="s">
        <v>21</v>
      </c>
      <c r="H183">
        <v>3</v>
      </c>
      <c r="I183">
        <v>18000</v>
      </c>
      <c r="J183" s="10">
        <v>0.08</v>
      </c>
      <c r="K183">
        <v>54000</v>
      </c>
      <c r="L183">
        <v>49680</v>
      </c>
      <c r="M183">
        <v>43200</v>
      </c>
      <c r="N183">
        <v>402</v>
      </c>
      <c r="O183">
        <v>222</v>
      </c>
      <c r="P183">
        <f>INDEX(Raw_product_master[Standard_Cost_Per_Unit],MATCH(Cleaned_Sales_data[[#This Row],[Product]],Raw_product_master[Product],0))</f>
        <v>14400</v>
      </c>
      <c r="Q183">
        <v>5856</v>
      </c>
      <c r="R183" s="11">
        <v>0.117874396135266</v>
      </c>
      <c r="S183" s="11">
        <f>INDEX(Raw_product_master[Target_Margin], MATCH(Cleaned_Sales_data[[#This Row],[Product]],Raw_product_master[Product], 0 ))</f>
        <v>0.15</v>
      </c>
      <c r="T183" t="str">
        <f>IF(Cleaned_Sales_data[[#This Row],[Profit]]&gt;0, "Profitable", "Loss")</f>
        <v>Profitable</v>
      </c>
      <c r="U183" t="str">
        <f>_xlfn.IFS(Cleaned_Sales_data[[#This Row],[Profit]]&gt;=10000, "High", Cleaned_Sales_data[[#This Row],[Profit]]&gt;=5000, "Medium", Cleaned_Sales_data[[#This Row],[Profit]]&gt;=0, "Low", Cleaned_Sales_data[[#This Row],[Profit]] &lt;0, "Loss")</f>
        <v>Medium</v>
      </c>
      <c r="V183" t="str">
        <f t="shared" si="2"/>
        <v>UnderPerforming</v>
      </c>
      <c r="W183" s="3">
        <v>46054</v>
      </c>
    </row>
    <row r="184" spans="1:23">
      <c r="A184" t="s">
        <v>83</v>
      </c>
      <c r="B184" s="3">
        <v>46138</v>
      </c>
      <c r="C184" t="s">
        <v>50</v>
      </c>
      <c r="D184" t="str">
        <f>INDEX(Raw_product_master[Category],MATCH(Cleaned_Sales_data[[#This Row],[Product]],Raw_product_master[Product],0))</f>
        <v>Accessories</v>
      </c>
      <c r="E184" t="s">
        <v>51</v>
      </c>
      <c r="F184" t="s">
        <v>20</v>
      </c>
      <c r="G184" t="s">
        <v>21</v>
      </c>
      <c r="H184">
        <v>3</v>
      </c>
      <c r="I184">
        <v>2500</v>
      </c>
      <c r="J184" s="10">
        <v>0.1</v>
      </c>
      <c r="K184">
        <v>7500</v>
      </c>
      <c r="L184">
        <v>6750</v>
      </c>
      <c r="M184">
        <v>4650</v>
      </c>
      <c r="N184">
        <v>997</v>
      </c>
      <c r="O184">
        <v>2431</v>
      </c>
      <c r="P184">
        <f>INDEX(Raw_product_master[Standard_Cost_Per_Unit],MATCH(Cleaned_Sales_data[[#This Row],[Product]],Raw_product_master[Product],0))</f>
        <v>1550</v>
      </c>
      <c r="Q184">
        <v>-1328</v>
      </c>
      <c r="R184" s="11">
        <v>-0.19674074074074099</v>
      </c>
      <c r="S184" s="11">
        <f>INDEX(Raw_product_master[Target_Margin], MATCH(Cleaned_Sales_data[[#This Row],[Product]],Raw_product_master[Product], 0 ))</f>
        <v>0.25</v>
      </c>
      <c r="T184" t="str">
        <f>IF(Cleaned_Sales_data[[#This Row],[Profit]]&gt;0, "Profitable", "Loss")</f>
        <v>Loss</v>
      </c>
      <c r="U184" t="str">
        <f>_xlfn.IFS(Cleaned_Sales_data[[#This Row],[Profit]]&gt;=10000, "High", Cleaned_Sales_data[[#This Row],[Profit]]&gt;=5000, "Medium", Cleaned_Sales_data[[#This Row],[Profit]]&gt;=0, "Low", Cleaned_Sales_data[[#This Row],[Profit]] &lt;0, "Loss")</f>
        <v>Loss</v>
      </c>
      <c r="V184" t="str">
        <f t="shared" si="2"/>
        <v>UnderPerforming</v>
      </c>
      <c r="W184" s="3">
        <v>46113</v>
      </c>
    </row>
    <row r="185" spans="1:23">
      <c r="A185" t="s">
        <v>86</v>
      </c>
      <c r="B185" s="3">
        <v>45818</v>
      </c>
      <c r="C185" t="s">
        <v>53</v>
      </c>
      <c r="D185" t="str">
        <f>INDEX(Raw_product_master[Category],MATCH(Cleaned_Sales_data[[#This Row],[Product]],Raw_product_master[Product],0))</f>
        <v>Accessories</v>
      </c>
      <c r="E185" t="s">
        <v>19</v>
      </c>
      <c r="F185" t="s">
        <v>20</v>
      </c>
      <c r="G185" t="s">
        <v>21</v>
      </c>
      <c r="H185">
        <v>1</v>
      </c>
      <c r="I185">
        <v>1500</v>
      </c>
      <c r="J185" s="10">
        <v>0</v>
      </c>
      <c r="K185">
        <v>1500</v>
      </c>
      <c r="L185">
        <v>1500</v>
      </c>
      <c r="M185">
        <v>825</v>
      </c>
      <c r="N185">
        <v>452</v>
      </c>
      <c r="O185">
        <v>1080</v>
      </c>
      <c r="P185">
        <f>INDEX(Raw_product_master[Standard_Cost_Per_Unit],MATCH(Cleaned_Sales_data[[#This Row],[Product]],Raw_product_master[Product],0))</f>
        <v>825</v>
      </c>
      <c r="Q185">
        <v>-857</v>
      </c>
      <c r="R185" s="11">
        <v>-0.57133333333333303</v>
      </c>
      <c r="S185" s="11">
        <f>INDEX(Raw_product_master[Target_Margin], MATCH(Cleaned_Sales_data[[#This Row],[Product]],Raw_product_master[Product], 0 ))</f>
        <v>0.3</v>
      </c>
      <c r="T185" t="str">
        <f>IF(Cleaned_Sales_data[[#This Row],[Profit]]&gt;0, "Profitable", "Loss")</f>
        <v>Loss</v>
      </c>
      <c r="U185" t="str">
        <f>_xlfn.IFS(Cleaned_Sales_data[[#This Row],[Profit]]&gt;=10000, "High", Cleaned_Sales_data[[#This Row],[Profit]]&gt;=5000, "Medium", Cleaned_Sales_data[[#This Row],[Profit]]&gt;=0, "Low", Cleaned_Sales_data[[#This Row],[Profit]] &lt;0, "Loss")</f>
        <v>Loss</v>
      </c>
      <c r="V185" t="str">
        <f t="shared" si="2"/>
        <v>UnderPerforming</v>
      </c>
      <c r="W185" s="3">
        <v>45809</v>
      </c>
    </row>
    <row r="186" spans="1:23">
      <c r="A186" t="s">
        <v>91</v>
      </c>
      <c r="B186" s="3">
        <v>45749</v>
      </c>
      <c r="C186" t="s">
        <v>61</v>
      </c>
      <c r="D186" t="str">
        <f>INDEX(Raw_product_master[Category],MATCH(Cleaned_Sales_data[[#This Row],[Product]],Raw_product_master[Product],0))</f>
        <v>Accessories</v>
      </c>
      <c r="E186" t="s">
        <v>25</v>
      </c>
      <c r="F186" t="s">
        <v>20</v>
      </c>
      <c r="G186" t="s">
        <v>21</v>
      </c>
      <c r="H186">
        <v>6</v>
      </c>
      <c r="I186">
        <v>4500</v>
      </c>
      <c r="J186" s="10">
        <v>0.15</v>
      </c>
      <c r="K186">
        <v>27000</v>
      </c>
      <c r="L186">
        <v>22950</v>
      </c>
      <c r="M186">
        <v>17550</v>
      </c>
      <c r="N186">
        <v>670</v>
      </c>
      <c r="O186">
        <v>1266</v>
      </c>
      <c r="P186">
        <f>INDEX(Raw_product_master[Standard_Cost_Per_Unit],MATCH(Cleaned_Sales_data[[#This Row],[Product]],Raw_product_master[Product],0))</f>
        <v>2925</v>
      </c>
      <c r="Q186">
        <v>3464</v>
      </c>
      <c r="R186" s="11">
        <v>0.15093681917211299</v>
      </c>
      <c r="S186" s="11">
        <f>INDEX(Raw_product_master[Target_Margin], MATCH(Cleaned_Sales_data[[#This Row],[Product]],Raw_product_master[Product], 0 ))</f>
        <v>0.22</v>
      </c>
      <c r="T186" t="str">
        <f>IF(Cleaned_Sales_data[[#This Row],[Profit]]&gt;0, "Profitable", "Loss")</f>
        <v>Profitable</v>
      </c>
      <c r="U186" t="str">
        <f>_xlfn.IFS(Cleaned_Sales_data[[#This Row],[Profit]]&gt;=10000, "High", Cleaned_Sales_data[[#This Row],[Profit]]&gt;=5000, "Medium", Cleaned_Sales_data[[#This Row],[Profit]]&gt;=0, "Low", Cleaned_Sales_data[[#This Row],[Profit]] &lt;0, "Loss")</f>
        <v>Low</v>
      </c>
      <c r="V186" t="str">
        <f t="shared" si="2"/>
        <v>UnderPerforming</v>
      </c>
      <c r="W186" s="3">
        <v>45748</v>
      </c>
    </row>
    <row r="187" spans="1:23">
      <c r="A187" t="s">
        <v>93</v>
      </c>
      <c r="B187" s="3">
        <v>45710</v>
      </c>
      <c r="C187" t="s">
        <v>30</v>
      </c>
      <c r="D187" t="str">
        <f>INDEX(Raw_product_master[Category],MATCH(Cleaned_Sales_data[[#This Row],[Product]],Raw_product_master[Product],0))</f>
        <v>Displays</v>
      </c>
      <c r="E187" t="s">
        <v>31</v>
      </c>
      <c r="F187" t="s">
        <v>20</v>
      </c>
      <c r="G187" t="s">
        <v>21</v>
      </c>
      <c r="H187">
        <v>2</v>
      </c>
      <c r="I187">
        <v>28000</v>
      </c>
      <c r="J187" s="10">
        <v>0.05</v>
      </c>
      <c r="K187">
        <v>56000</v>
      </c>
      <c r="L187">
        <v>53200</v>
      </c>
      <c r="M187">
        <v>43680</v>
      </c>
      <c r="N187">
        <v>1202</v>
      </c>
      <c r="O187">
        <v>2411</v>
      </c>
      <c r="P187">
        <f>INDEX(Raw_product_master[Standard_Cost_Per_Unit],MATCH(Cleaned_Sales_data[[#This Row],[Product]],Raw_product_master[Product],0))</f>
        <v>21840</v>
      </c>
      <c r="Q187">
        <v>5907</v>
      </c>
      <c r="R187" s="11">
        <v>0.111033834586466</v>
      </c>
      <c r="S187" s="11">
        <f>INDEX(Raw_product_master[Target_Margin], MATCH(Cleaned_Sales_data[[#This Row],[Product]],Raw_product_master[Product], 0 ))</f>
        <v>0.18</v>
      </c>
      <c r="T187" t="str">
        <f>IF(Cleaned_Sales_data[[#This Row],[Profit]]&gt;0, "Profitable", "Loss")</f>
        <v>Profitable</v>
      </c>
      <c r="U187" t="str">
        <f>_xlfn.IFS(Cleaned_Sales_data[[#This Row],[Profit]]&gt;=10000, "High", Cleaned_Sales_data[[#This Row],[Profit]]&gt;=5000, "Medium", Cleaned_Sales_data[[#This Row],[Profit]]&gt;=0, "Low", Cleaned_Sales_data[[#This Row],[Profit]] &lt;0, "Loss")</f>
        <v>Medium</v>
      </c>
      <c r="V187" t="str">
        <f t="shared" si="2"/>
        <v>UnderPerforming</v>
      </c>
      <c r="W187" s="3">
        <v>45689</v>
      </c>
    </row>
    <row r="188" spans="1:23">
      <c r="A188" t="s">
        <v>104</v>
      </c>
      <c r="B188" s="3">
        <v>45959</v>
      </c>
      <c r="C188" t="s">
        <v>50</v>
      </c>
      <c r="D188" t="str">
        <f>INDEX(Raw_product_master[Category],MATCH(Cleaned_Sales_data[[#This Row],[Product]],Raw_product_master[Product],0))</f>
        <v>Accessories</v>
      </c>
      <c r="E188" t="s">
        <v>25</v>
      </c>
      <c r="F188" t="s">
        <v>20</v>
      </c>
      <c r="G188" t="s">
        <v>21</v>
      </c>
      <c r="H188">
        <v>4</v>
      </c>
      <c r="I188">
        <v>2500</v>
      </c>
      <c r="J188" s="10">
        <v>0.05</v>
      </c>
      <c r="K188">
        <v>10000</v>
      </c>
      <c r="L188">
        <v>9500</v>
      </c>
      <c r="M188">
        <v>6200</v>
      </c>
      <c r="N188">
        <v>211</v>
      </c>
      <c r="O188">
        <v>1730</v>
      </c>
      <c r="P188">
        <f>INDEX(Raw_product_master[Standard_Cost_Per_Unit],MATCH(Cleaned_Sales_data[[#This Row],[Product]],Raw_product_master[Product],0))</f>
        <v>1550</v>
      </c>
      <c r="Q188">
        <v>1359</v>
      </c>
      <c r="R188" s="11">
        <v>0.14305263157894699</v>
      </c>
      <c r="S188" s="11">
        <f>INDEX(Raw_product_master[Target_Margin], MATCH(Cleaned_Sales_data[[#This Row],[Product]],Raw_product_master[Product], 0 ))</f>
        <v>0.25</v>
      </c>
      <c r="T188" t="str">
        <f>IF(Cleaned_Sales_data[[#This Row],[Profit]]&gt;0, "Profitable", "Loss")</f>
        <v>Profitable</v>
      </c>
      <c r="U188" t="str">
        <f>_xlfn.IFS(Cleaned_Sales_data[[#This Row],[Profit]]&gt;=10000, "High", Cleaned_Sales_data[[#This Row],[Profit]]&gt;=5000, "Medium", Cleaned_Sales_data[[#This Row],[Profit]]&gt;=0, "Low", Cleaned_Sales_data[[#This Row],[Profit]] &lt;0, "Loss")</f>
        <v>Low</v>
      </c>
      <c r="V188" t="str">
        <f t="shared" si="2"/>
        <v>UnderPerforming</v>
      </c>
      <c r="W188" s="3">
        <v>45931</v>
      </c>
    </row>
    <row r="189" spans="1:23">
      <c r="A189" t="s">
        <v>110</v>
      </c>
      <c r="B189" s="3">
        <v>46163</v>
      </c>
      <c r="C189" t="s">
        <v>18</v>
      </c>
      <c r="D189" t="str">
        <f>INDEX(Raw_product_master[Category],MATCH(Cleaned_Sales_data[[#This Row],[Product]],Raw_product_master[Product],0))</f>
        <v>Computers</v>
      </c>
      <c r="E189" t="s">
        <v>51</v>
      </c>
      <c r="F189" t="s">
        <v>20</v>
      </c>
      <c r="G189" t="s">
        <v>21</v>
      </c>
      <c r="H189">
        <v>2</v>
      </c>
      <c r="I189">
        <v>32000</v>
      </c>
      <c r="J189" s="10">
        <v>0.08</v>
      </c>
      <c r="K189">
        <v>64000</v>
      </c>
      <c r="L189">
        <v>58880</v>
      </c>
      <c r="M189">
        <v>52480</v>
      </c>
      <c r="N189">
        <v>1787</v>
      </c>
      <c r="O189">
        <v>950</v>
      </c>
      <c r="P189">
        <f>INDEX(Raw_product_master[Standard_Cost_Per_Unit],MATCH(Cleaned_Sales_data[[#This Row],[Product]],Raw_product_master[Product],0))</f>
        <v>26240</v>
      </c>
      <c r="Q189">
        <v>3663</v>
      </c>
      <c r="R189" s="11">
        <v>6.2211277173912997E-2</v>
      </c>
      <c r="S189" s="11">
        <f>INDEX(Raw_product_master[Target_Margin], MATCH(Cleaned_Sales_data[[#This Row],[Product]],Raw_product_master[Product], 0 ))</f>
        <v>0.12</v>
      </c>
      <c r="T189" t="str">
        <f>IF(Cleaned_Sales_data[[#This Row],[Profit]]&gt;0, "Profitable", "Loss")</f>
        <v>Profitable</v>
      </c>
      <c r="U189" t="str">
        <f>_xlfn.IFS(Cleaned_Sales_data[[#This Row],[Profit]]&gt;=10000, "High", Cleaned_Sales_data[[#This Row],[Profit]]&gt;=5000, "Medium", Cleaned_Sales_data[[#This Row],[Profit]]&gt;=0, "Low", Cleaned_Sales_data[[#This Row],[Profit]] &lt;0, "Loss")</f>
        <v>Low</v>
      </c>
      <c r="V189" t="str">
        <f t="shared" si="2"/>
        <v>UnderPerforming</v>
      </c>
      <c r="W189" s="3">
        <v>46143</v>
      </c>
    </row>
    <row r="190" spans="1:23">
      <c r="A190" t="s">
        <v>114</v>
      </c>
      <c r="B190" s="3">
        <v>45996</v>
      </c>
      <c r="C190" t="s">
        <v>50</v>
      </c>
      <c r="D190" t="str">
        <f>INDEX(Raw_product_master[Category],MATCH(Cleaned_Sales_data[[#This Row],[Product]],Raw_product_master[Product],0))</f>
        <v>Accessories</v>
      </c>
      <c r="E190" t="s">
        <v>51</v>
      </c>
      <c r="F190" t="s">
        <v>20</v>
      </c>
      <c r="G190" t="s">
        <v>21</v>
      </c>
      <c r="H190">
        <v>2</v>
      </c>
      <c r="I190">
        <v>2500</v>
      </c>
      <c r="J190" s="10">
        <v>0</v>
      </c>
      <c r="K190">
        <v>5000</v>
      </c>
      <c r="L190">
        <v>5000</v>
      </c>
      <c r="M190">
        <v>3100</v>
      </c>
      <c r="N190">
        <v>228</v>
      </c>
      <c r="O190">
        <v>1545</v>
      </c>
      <c r="P190">
        <f>INDEX(Raw_product_master[Standard_Cost_Per_Unit],MATCH(Cleaned_Sales_data[[#This Row],[Product]],Raw_product_master[Product],0))</f>
        <v>1550</v>
      </c>
      <c r="Q190">
        <v>127</v>
      </c>
      <c r="R190" s="11">
        <v>2.5399999999999999E-2</v>
      </c>
      <c r="S190" s="11">
        <f>INDEX(Raw_product_master[Target_Margin], MATCH(Cleaned_Sales_data[[#This Row],[Product]],Raw_product_master[Product], 0 ))</f>
        <v>0.25</v>
      </c>
      <c r="T190" t="str">
        <f>IF(Cleaned_Sales_data[[#This Row],[Profit]]&gt;0, "Profitable", "Loss")</f>
        <v>Profitable</v>
      </c>
      <c r="U190" t="str">
        <f>_xlfn.IFS(Cleaned_Sales_data[[#This Row],[Profit]]&gt;=10000, "High", Cleaned_Sales_data[[#This Row],[Profit]]&gt;=5000, "Medium", Cleaned_Sales_data[[#This Row],[Profit]]&gt;=0, "Low", Cleaned_Sales_data[[#This Row],[Profit]] &lt;0, "Loss")</f>
        <v>Low</v>
      </c>
      <c r="V190" t="str">
        <f t="shared" si="2"/>
        <v>UnderPerforming</v>
      </c>
      <c r="W190" s="3">
        <v>45992</v>
      </c>
    </row>
    <row r="191" spans="1:23">
      <c r="A191" t="s">
        <v>115</v>
      </c>
      <c r="B191" s="3">
        <v>45727</v>
      </c>
      <c r="C191" t="s">
        <v>18</v>
      </c>
      <c r="D191" t="str">
        <f>INDEX(Raw_product_master[Category],MATCH(Cleaned_Sales_data[[#This Row],[Product]],Raw_product_master[Product],0))</f>
        <v>Computers</v>
      </c>
      <c r="E191" t="s">
        <v>31</v>
      </c>
      <c r="F191" t="s">
        <v>20</v>
      </c>
      <c r="G191" t="s">
        <v>21</v>
      </c>
      <c r="H191">
        <v>3</v>
      </c>
      <c r="I191">
        <v>32000</v>
      </c>
      <c r="J191" s="10">
        <v>0.2</v>
      </c>
      <c r="K191">
        <v>96000</v>
      </c>
      <c r="L191">
        <v>76800</v>
      </c>
      <c r="M191">
        <v>78720</v>
      </c>
      <c r="N191">
        <v>1355</v>
      </c>
      <c r="O191">
        <v>1927</v>
      </c>
      <c r="P191">
        <f>INDEX(Raw_product_master[Standard_Cost_Per_Unit],MATCH(Cleaned_Sales_data[[#This Row],[Product]],Raw_product_master[Product],0))</f>
        <v>26240</v>
      </c>
      <c r="Q191">
        <v>-5202</v>
      </c>
      <c r="R191" s="11">
        <v>-6.7734374999999999E-2</v>
      </c>
      <c r="S191" s="11">
        <f>INDEX(Raw_product_master[Target_Margin], MATCH(Cleaned_Sales_data[[#This Row],[Product]],Raw_product_master[Product], 0 ))</f>
        <v>0.12</v>
      </c>
      <c r="T191" t="str">
        <f>IF(Cleaned_Sales_data[[#This Row],[Profit]]&gt;0, "Profitable", "Loss")</f>
        <v>Loss</v>
      </c>
      <c r="U191" t="str">
        <f>_xlfn.IFS(Cleaned_Sales_data[[#This Row],[Profit]]&gt;=10000, "High", Cleaned_Sales_data[[#This Row],[Profit]]&gt;=5000, "Medium", Cleaned_Sales_data[[#This Row],[Profit]]&gt;=0, "Low", Cleaned_Sales_data[[#This Row],[Profit]] &lt;0, "Loss")</f>
        <v>Loss</v>
      </c>
      <c r="V191" t="str">
        <f t="shared" si="2"/>
        <v>UnderPerforming</v>
      </c>
      <c r="W191" s="3">
        <v>45717</v>
      </c>
    </row>
    <row r="192" spans="1:23">
      <c r="A192" t="s">
        <v>129</v>
      </c>
      <c r="B192" s="3">
        <v>45729</v>
      </c>
      <c r="C192" t="s">
        <v>75</v>
      </c>
      <c r="D192" t="str">
        <f>INDEX(Raw_product_master[Category],MATCH(Cleaned_Sales_data[[#This Row],[Product]],Raw_product_master[Product],0))</f>
        <v>Computers</v>
      </c>
      <c r="E192" t="s">
        <v>25</v>
      </c>
      <c r="F192" t="s">
        <v>20</v>
      </c>
      <c r="G192" t="s">
        <v>21</v>
      </c>
      <c r="H192">
        <v>1</v>
      </c>
      <c r="I192">
        <v>65000</v>
      </c>
      <c r="J192" s="10">
        <v>0.1</v>
      </c>
      <c r="K192">
        <v>65000</v>
      </c>
      <c r="L192">
        <v>58500</v>
      </c>
      <c r="M192">
        <v>54600</v>
      </c>
      <c r="N192">
        <v>233</v>
      </c>
      <c r="O192">
        <v>2242</v>
      </c>
      <c r="P192">
        <f>INDEX(Raw_product_master[Standard_Cost_Per_Unit],MATCH(Cleaned_Sales_data[[#This Row],[Product]],Raw_product_master[Product],0))</f>
        <v>54600</v>
      </c>
      <c r="Q192">
        <v>1425</v>
      </c>
      <c r="R192" s="11">
        <v>2.4358974358974401E-2</v>
      </c>
      <c r="S192" s="11">
        <f>INDEX(Raw_product_master[Target_Margin], MATCH(Cleaned_Sales_data[[#This Row],[Product]],Raw_product_master[Product], 0 ))</f>
        <v>0.12</v>
      </c>
      <c r="T192" t="str">
        <f>IF(Cleaned_Sales_data[[#This Row],[Profit]]&gt;0, "Profitable", "Loss")</f>
        <v>Profitable</v>
      </c>
      <c r="U192" t="str">
        <f>_xlfn.IFS(Cleaned_Sales_data[[#This Row],[Profit]]&gt;=10000, "High", Cleaned_Sales_data[[#This Row],[Profit]]&gt;=5000, "Medium", Cleaned_Sales_data[[#This Row],[Profit]]&gt;=0, "Low", Cleaned_Sales_data[[#This Row],[Profit]] &lt;0, "Loss")</f>
        <v>Low</v>
      </c>
      <c r="V192" t="str">
        <f t="shared" si="2"/>
        <v>UnderPerforming</v>
      </c>
      <c r="W192" s="3">
        <v>45717</v>
      </c>
    </row>
    <row r="193" spans="1:23">
      <c r="A193" t="s">
        <v>132</v>
      </c>
      <c r="B193" s="3">
        <v>46092</v>
      </c>
      <c r="C193" t="s">
        <v>30</v>
      </c>
      <c r="D193" t="str">
        <f>INDEX(Raw_product_master[Category],MATCH(Cleaned_Sales_data[[#This Row],[Product]],Raw_product_master[Product],0))</f>
        <v>Displays</v>
      </c>
      <c r="E193" t="s">
        <v>25</v>
      </c>
      <c r="F193" t="s">
        <v>20</v>
      </c>
      <c r="G193" t="s">
        <v>21</v>
      </c>
      <c r="H193">
        <v>2</v>
      </c>
      <c r="I193">
        <v>28000</v>
      </c>
      <c r="J193" s="10">
        <v>0.08</v>
      </c>
      <c r="K193">
        <v>56000</v>
      </c>
      <c r="L193">
        <v>51520</v>
      </c>
      <c r="M193">
        <v>43680</v>
      </c>
      <c r="N193">
        <v>997</v>
      </c>
      <c r="O193">
        <v>1458</v>
      </c>
      <c r="P193">
        <f>INDEX(Raw_product_master[Standard_Cost_Per_Unit],MATCH(Cleaned_Sales_data[[#This Row],[Product]],Raw_product_master[Product],0))</f>
        <v>21840</v>
      </c>
      <c r="Q193">
        <v>5385</v>
      </c>
      <c r="R193" s="11">
        <v>0.10452251552795</v>
      </c>
      <c r="S193" s="11">
        <f>INDEX(Raw_product_master[Target_Margin], MATCH(Cleaned_Sales_data[[#This Row],[Product]],Raw_product_master[Product], 0 ))</f>
        <v>0.18</v>
      </c>
      <c r="T193" t="str">
        <f>IF(Cleaned_Sales_data[[#This Row],[Profit]]&gt;0, "Profitable", "Loss")</f>
        <v>Profitable</v>
      </c>
      <c r="U193" t="str">
        <f>_xlfn.IFS(Cleaned_Sales_data[[#This Row],[Profit]]&gt;=10000, "High", Cleaned_Sales_data[[#This Row],[Profit]]&gt;=5000, "Medium", Cleaned_Sales_data[[#This Row],[Profit]]&gt;=0, "Low", Cleaned_Sales_data[[#This Row],[Profit]] &lt;0, "Loss")</f>
        <v>Medium</v>
      </c>
      <c r="V193" t="str">
        <f t="shared" si="2"/>
        <v>UnderPerforming</v>
      </c>
      <c r="W193" s="3">
        <v>46082</v>
      </c>
    </row>
    <row r="194" spans="1:23">
      <c r="A194" t="s">
        <v>136</v>
      </c>
      <c r="B194" s="3">
        <v>45840</v>
      </c>
      <c r="C194" t="s">
        <v>50</v>
      </c>
      <c r="D194" t="str">
        <f>INDEX(Raw_product_master[Category],MATCH(Cleaned_Sales_data[[#This Row],[Product]],Raw_product_master[Product],0))</f>
        <v>Accessories</v>
      </c>
      <c r="E194" t="s">
        <v>19</v>
      </c>
      <c r="F194" t="s">
        <v>20</v>
      </c>
      <c r="G194" t="s">
        <v>21</v>
      </c>
      <c r="H194">
        <v>3</v>
      </c>
      <c r="I194">
        <v>2500</v>
      </c>
      <c r="J194" s="10">
        <v>0.03</v>
      </c>
      <c r="K194">
        <v>7500</v>
      </c>
      <c r="L194">
        <v>7275</v>
      </c>
      <c r="M194">
        <v>4650</v>
      </c>
      <c r="N194">
        <v>310</v>
      </c>
      <c r="O194">
        <v>860</v>
      </c>
      <c r="P194">
        <f>INDEX(Raw_product_master[Standard_Cost_Per_Unit],MATCH(Cleaned_Sales_data[[#This Row],[Product]],Raw_product_master[Product],0))</f>
        <v>1550</v>
      </c>
      <c r="Q194">
        <v>1455</v>
      </c>
      <c r="R194" s="11">
        <v>0.2</v>
      </c>
      <c r="S194" s="11">
        <f>INDEX(Raw_product_master[Target_Margin], MATCH(Cleaned_Sales_data[[#This Row],[Product]],Raw_product_master[Product], 0 ))</f>
        <v>0.25</v>
      </c>
      <c r="T194" t="str">
        <f>IF(Cleaned_Sales_data[[#This Row],[Profit]]&gt;0, "Profitable", "Loss")</f>
        <v>Profitable</v>
      </c>
      <c r="U194" t="str">
        <f>_xlfn.IFS(Cleaned_Sales_data[[#This Row],[Profit]]&gt;=10000, "High", Cleaned_Sales_data[[#This Row],[Profit]]&gt;=5000, "Medium", Cleaned_Sales_data[[#This Row],[Profit]]&gt;=0, "Low", Cleaned_Sales_data[[#This Row],[Profit]] &lt;0, "Loss")</f>
        <v>Low</v>
      </c>
      <c r="V194" t="str">
        <f t="shared" ref="V194:V257" si="3">IF(R194&lt;S194, "UnderPerforming", "On Target")</f>
        <v>UnderPerforming</v>
      </c>
      <c r="W194" s="3">
        <v>45839</v>
      </c>
    </row>
    <row r="195" spans="1:23">
      <c r="A195" t="s">
        <v>141</v>
      </c>
      <c r="B195" s="3">
        <v>45685</v>
      </c>
      <c r="C195" t="s">
        <v>18</v>
      </c>
      <c r="D195" t="str">
        <f>INDEX(Raw_product_master[Category],MATCH(Cleaned_Sales_data[[#This Row],[Product]],Raw_product_master[Product],0))</f>
        <v>Computers</v>
      </c>
      <c r="E195" t="s">
        <v>34</v>
      </c>
      <c r="F195" t="s">
        <v>20</v>
      </c>
      <c r="G195" t="s">
        <v>21</v>
      </c>
      <c r="H195">
        <v>3</v>
      </c>
      <c r="I195">
        <v>32000</v>
      </c>
      <c r="J195" s="10">
        <v>0.15</v>
      </c>
      <c r="K195">
        <v>96000</v>
      </c>
      <c r="L195">
        <v>81600</v>
      </c>
      <c r="M195">
        <v>78720</v>
      </c>
      <c r="N195">
        <v>725</v>
      </c>
      <c r="O195">
        <v>573</v>
      </c>
      <c r="P195">
        <f>INDEX(Raw_product_master[Standard_Cost_Per_Unit],MATCH(Cleaned_Sales_data[[#This Row],[Product]],Raw_product_master[Product],0))</f>
        <v>26240</v>
      </c>
      <c r="Q195">
        <v>1582</v>
      </c>
      <c r="R195" s="11">
        <v>1.9387254901960801E-2</v>
      </c>
      <c r="S195" s="11">
        <f>INDEX(Raw_product_master[Target_Margin], MATCH(Cleaned_Sales_data[[#This Row],[Product]],Raw_product_master[Product], 0 ))</f>
        <v>0.12</v>
      </c>
      <c r="T195" t="str">
        <f>IF(Cleaned_Sales_data[[#This Row],[Profit]]&gt;0, "Profitable", "Loss")</f>
        <v>Profitable</v>
      </c>
      <c r="U195" t="str">
        <f>_xlfn.IFS(Cleaned_Sales_data[[#This Row],[Profit]]&gt;=10000, "High", Cleaned_Sales_data[[#This Row],[Profit]]&gt;=5000, "Medium", Cleaned_Sales_data[[#This Row],[Profit]]&gt;=0, "Low", Cleaned_Sales_data[[#This Row],[Profit]] &lt;0, "Loss")</f>
        <v>Low</v>
      </c>
      <c r="V195" t="str">
        <f t="shared" si="3"/>
        <v>UnderPerforming</v>
      </c>
      <c r="W195" s="3">
        <v>45658</v>
      </c>
    </row>
    <row r="196" spans="1:23">
      <c r="A196" t="s">
        <v>145</v>
      </c>
      <c r="B196" s="3">
        <v>45939</v>
      </c>
      <c r="C196" t="s">
        <v>53</v>
      </c>
      <c r="D196" t="str">
        <f>INDEX(Raw_product_master[Category],MATCH(Cleaned_Sales_data[[#This Row],[Product]],Raw_product_master[Product],0))</f>
        <v>Accessories</v>
      </c>
      <c r="E196" t="s">
        <v>25</v>
      </c>
      <c r="F196" t="s">
        <v>20</v>
      </c>
      <c r="G196" t="s">
        <v>21</v>
      </c>
      <c r="H196">
        <v>7</v>
      </c>
      <c r="I196">
        <v>1500</v>
      </c>
      <c r="J196" s="10">
        <v>0.1</v>
      </c>
      <c r="K196">
        <v>10500</v>
      </c>
      <c r="L196">
        <v>9450</v>
      </c>
      <c r="M196">
        <v>5775</v>
      </c>
      <c r="N196">
        <v>822</v>
      </c>
      <c r="O196">
        <v>1641</v>
      </c>
      <c r="P196">
        <f>INDEX(Raw_product_master[Standard_Cost_Per_Unit],MATCH(Cleaned_Sales_data[[#This Row],[Product]],Raw_product_master[Product],0))</f>
        <v>825</v>
      </c>
      <c r="Q196">
        <v>1212</v>
      </c>
      <c r="R196" s="11">
        <v>0.12825396825396801</v>
      </c>
      <c r="S196" s="11">
        <f>INDEX(Raw_product_master[Target_Margin], MATCH(Cleaned_Sales_data[[#This Row],[Product]],Raw_product_master[Product], 0 ))</f>
        <v>0.3</v>
      </c>
      <c r="T196" t="str">
        <f>IF(Cleaned_Sales_data[[#This Row],[Profit]]&gt;0, "Profitable", "Loss")</f>
        <v>Profitable</v>
      </c>
      <c r="U196" t="str">
        <f>_xlfn.IFS(Cleaned_Sales_data[[#This Row],[Profit]]&gt;=10000, "High", Cleaned_Sales_data[[#This Row],[Profit]]&gt;=5000, "Medium", Cleaned_Sales_data[[#This Row],[Profit]]&gt;=0, "Low", Cleaned_Sales_data[[#This Row],[Profit]] &lt;0, "Loss")</f>
        <v>Low</v>
      </c>
      <c r="V196" t="str">
        <f t="shared" si="3"/>
        <v>UnderPerforming</v>
      </c>
      <c r="W196" s="3">
        <v>45931</v>
      </c>
    </row>
    <row r="197" spans="1:23">
      <c r="A197" t="s">
        <v>151</v>
      </c>
      <c r="B197" s="3">
        <v>45916</v>
      </c>
      <c r="C197" t="s">
        <v>61</v>
      </c>
      <c r="D197" t="str">
        <f>INDEX(Raw_product_master[Category],MATCH(Cleaned_Sales_data[[#This Row],[Product]],Raw_product_master[Product],0))</f>
        <v>Accessories</v>
      </c>
      <c r="E197" t="s">
        <v>63</v>
      </c>
      <c r="F197" t="s">
        <v>20</v>
      </c>
      <c r="G197" t="s">
        <v>21</v>
      </c>
      <c r="H197">
        <v>3</v>
      </c>
      <c r="I197">
        <v>4500</v>
      </c>
      <c r="J197" s="10">
        <v>0.15</v>
      </c>
      <c r="K197">
        <v>13500</v>
      </c>
      <c r="L197">
        <v>11475</v>
      </c>
      <c r="M197">
        <v>8775</v>
      </c>
      <c r="N197">
        <v>1044</v>
      </c>
      <c r="O197">
        <v>2126</v>
      </c>
      <c r="P197">
        <f>INDEX(Raw_product_master[Standard_Cost_Per_Unit],MATCH(Cleaned_Sales_data[[#This Row],[Product]],Raw_product_master[Product],0))</f>
        <v>2925</v>
      </c>
      <c r="Q197">
        <v>-470</v>
      </c>
      <c r="R197" s="11">
        <v>-4.0958605664488001E-2</v>
      </c>
      <c r="S197" s="11">
        <f>INDEX(Raw_product_master[Target_Margin], MATCH(Cleaned_Sales_data[[#This Row],[Product]],Raw_product_master[Product], 0 ))</f>
        <v>0.22</v>
      </c>
      <c r="T197" t="str">
        <f>IF(Cleaned_Sales_data[[#This Row],[Profit]]&gt;0, "Profitable", "Loss")</f>
        <v>Loss</v>
      </c>
      <c r="U197" t="str">
        <f>_xlfn.IFS(Cleaned_Sales_data[[#This Row],[Profit]]&gt;=10000, "High", Cleaned_Sales_data[[#This Row],[Profit]]&gt;=5000, "Medium", Cleaned_Sales_data[[#This Row],[Profit]]&gt;=0, "Low", Cleaned_Sales_data[[#This Row],[Profit]] &lt;0, "Loss")</f>
        <v>Loss</v>
      </c>
      <c r="V197" t="str">
        <f t="shared" si="3"/>
        <v>UnderPerforming</v>
      </c>
      <c r="W197" s="3">
        <v>45901</v>
      </c>
    </row>
    <row r="198" spans="1:23">
      <c r="A198" t="s">
        <v>154</v>
      </c>
      <c r="B198" s="3">
        <v>46170</v>
      </c>
      <c r="C198" t="s">
        <v>53</v>
      </c>
      <c r="D198" t="str">
        <f>INDEX(Raw_product_master[Category],MATCH(Cleaned_Sales_data[[#This Row],[Product]],Raw_product_master[Product],0))</f>
        <v>Accessories</v>
      </c>
      <c r="E198" t="s">
        <v>34</v>
      </c>
      <c r="F198" t="s">
        <v>20</v>
      </c>
      <c r="G198" t="s">
        <v>21</v>
      </c>
      <c r="H198">
        <v>4</v>
      </c>
      <c r="I198">
        <v>1500</v>
      </c>
      <c r="J198" s="10">
        <v>0.05</v>
      </c>
      <c r="K198">
        <v>6000</v>
      </c>
      <c r="L198">
        <v>5700</v>
      </c>
      <c r="M198">
        <v>3300</v>
      </c>
      <c r="N198">
        <v>575</v>
      </c>
      <c r="O198">
        <v>1260</v>
      </c>
      <c r="P198">
        <f>INDEX(Raw_product_master[Standard_Cost_Per_Unit],MATCH(Cleaned_Sales_data[[#This Row],[Product]],Raw_product_master[Product],0))</f>
        <v>825</v>
      </c>
      <c r="Q198">
        <v>565</v>
      </c>
      <c r="R198" s="11">
        <v>9.9122807017543793E-2</v>
      </c>
      <c r="S198" s="11">
        <f>INDEX(Raw_product_master[Target_Margin], MATCH(Cleaned_Sales_data[[#This Row],[Product]],Raw_product_master[Product], 0 ))</f>
        <v>0.3</v>
      </c>
      <c r="T198" t="str">
        <f>IF(Cleaned_Sales_data[[#This Row],[Profit]]&gt;0, "Profitable", "Loss")</f>
        <v>Profitable</v>
      </c>
      <c r="U198" t="str">
        <f>_xlfn.IFS(Cleaned_Sales_data[[#This Row],[Profit]]&gt;=10000, "High", Cleaned_Sales_data[[#This Row],[Profit]]&gt;=5000, "Medium", Cleaned_Sales_data[[#This Row],[Profit]]&gt;=0, "Low", Cleaned_Sales_data[[#This Row],[Profit]] &lt;0, "Loss")</f>
        <v>Low</v>
      </c>
      <c r="V198" t="str">
        <f t="shared" si="3"/>
        <v>UnderPerforming</v>
      </c>
      <c r="W198" s="3">
        <v>46143</v>
      </c>
    </row>
    <row r="199" spans="1:23">
      <c r="A199" t="s">
        <v>155</v>
      </c>
      <c r="B199" s="3">
        <v>45822</v>
      </c>
      <c r="C199" t="s">
        <v>50</v>
      </c>
      <c r="D199" t="str">
        <f>INDEX(Raw_product_master[Category],MATCH(Cleaned_Sales_data[[#This Row],[Product]],Raw_product_master[Product],0))</f>
        <v>Accessories</v>
      </c>
      <c r="E199" t="s">
        <v>51</v>
      </c>
      <c r="F199" t="s">
        <v>20</v>
      </c>
      <c r="G199" t="s">
        <v>21</v>
      </c>
      <c r="H199">
        <v>1</v>
      </c>
      <c r="I199">
        <v>2500</v>
      </c>
      <c r="J199" s="10">
        <v>0.1</v>
      </c>
      <c r="K199">
        <v>2500</v>
      </c>
      <c r="L199">
        <v>2250</v>
      </c>
      <c r="M199">
        <v>1550</v>
      </c>
      <c r="N199">
        <v>997</v>
      </c>
      <c r="O199">
        <v>1414</v>
      </c>
      <c r="P199">
        <f>INDEX(Raw_product_master[Standard_Cost_Per_Unit],MATCH(Cleaned_Sales_data[[#This Row],[Product]],Raw_product_master[Product],0))</f>
        <v>1550</v>
      </c>
      <c r="Q199">
        <v>-1711</v>
      </c>
      <c r="R199" s="11">
        <v>-0.76044444444444403</v>
      </c>
      <c r="S199" s="11">
        <f>INDEX(Raw_product_master[Target_Margin], MATCH(Cleaned_Sales_data[[#This Row],[Product]],Raw_product_master[Product], 0 ))</f>
        <v>0.25</v>
      </c>
      <c r="T199" t="str">
        <f>IF(Cleaned_Sales_data[[#This Row],[Profit]]&gt;0, "Profitable", "Loss")</f>
        <v>Loss</v>
      </c>
      <c r="U199" t="str">
        <f>_xlfn.IFS(Cleaned_Sales_data[[#This Row],[Profit]]&gt;=10000, "High", Cleaned_Sales_data[[#This Row],[Profit]]&gt;=5000, "Medium", Cleaned_Sales_data[[#This Row],[Profit]]&gt;=0, "Low", Cleaned_Sales_data[[#This Row],[Profit]] &lt;0, "Loss")</f>
        <v>Loss</v>
      </c>
      <c r="V199" t="str">
        <f t="shared" si="3"/>
        <v>UnderPerforming</v>
      </c>
      <c r="W199" s="3">
        <v>45809</v>
      </c>
    </row>
    <row r="200" spans="1:23">
      <c r="A200" t="s">
        <v>165</v>
      </c>
      <c r="B200" s="3">
        <v>46035</v>
      </c>
      <c r="C200" t="s">
        <v>46</v>
      </c>
      <c r="D200" t="str">
        <f>INDEX(Raw_product_master[Category],MATCH(Cleaned_Sales_data[[#This Row],[Product]],Raw_product_master[Product],0))</f>
        <v>Office Equipment</v>
      </c>
      <c r="E200" t="s">
        <v>63</v>
      </c>
      <c r="F200" t="s">
        <v>20</v>
      </c>
      <c r="G200" t="s">
        <v>21</v>
      </c>
      <c r="H200">
        <v>1</v>
      </c>
      <c r="I200">
        <v>18000</v>
      </c>
      <c r="J200" s="10">
        <v>0.1</v>
      </c>
      <c r="K200">
        <v>18000</v>
      </c>
      <c r="L200">
        <v>16200</v>
      </c>
      <c r="M200">
        <v>14400</v>
      </c>
      <c r="N200">
        <v>1329</v>
      </c>
      <c r="O200">
        <v>703</v>
      </c>
      <c r="P200">
        <f>INDEX(Raw_product_master[Standard_Cost_Per_Unit],MATCH(Cleaned_Sales_data[[#This Row],[Product]],Raw_product_master[Product],0))</f>
        <v>14400</v>
      </c>
      <c r="Q200">
        <v>-232</v>
      </c>
      <c r="R200" s="11">
        <v>-1.4320987654321E-2</v>
      </c>
      <c r="S200" s="11">
        <f>INDEX(Raw_product_master[Target_Margin], MATCH(Cleaned_Sales_data[[#This Row],[Product]],Raw_product_master[Product], 0 ))</f>
        <v>0.15</v>
      </c>
      <c r="T200" t="str">
        <f>IF(Cleaned_Sales_data[[#This Row],[Profit]]&gt;0, "Profitable", "Loss")</f>
        <v>Loss</v>
      </c>
      <c r="U200" t="str">
        <f>_xlfn.IFS(Cleaned_Sales_data[[#This Row],[Profit]]&gt;=10000, "High", Cleaned_Sales_data[[#This Row],[Profit]]&gt;=5000, "Medium", Cleaned_Sales_data[[#This Row],[Profit]]&gt;=0, "Low", Cleaned_Sales_data[[#This Row],[Profit]] &lt;0, "Loss")</f>
        <v>Loss</v>
      </c>
      <c r="V200" t="str">
        <f t="shared" si="3"/>
        <v>UnderPerforming</v>
      </c>
      <c r="W200" s="3">
        <v>46023</v>
      </c>
    </row>
    <row r="201" spans="1:23">
      <c r="A201" t="s">
        <v>169</v>
      </c>
      <c r="B201" s="3">
        <v>45836</v>
      </c>
      <c r="C201" t="s">
        <v>30</v>
      </c>
      <c r="D201" t="str">
        <f>INDEX(Raw_product_master[Category],MATCH(Cleaned_Sales_data[[#This Row],[Product]],Raw_product_master[Product],0))</f>
        <v>Displays</v>
      </c>
      <c r="E201" t="s">
        <v>34</v>
      </c>
      <c r="F201" t="s">
        <v>20</v>
      </c>
      <c r="G201" t="s">
        <v>21</v>
      </c>
      <c r="H201">
        <v>3</v>
      </c>
      <c r="I201">
        <v>28000</v>
      </c>
      <c r="J201" s="10">
        <v>0.1</v>
      </c>
      <c r="K201">
        <v>84000</v>
      </c>
      <c r="L201">
        <v>75600</v>
      </c>
      <c r="M201">
        <v>65520</v>
      </c>
      <c r="N201">
        <v>1752</v>
      </c>
      <c r="O201">
        <v>1038</v>
      </c>
      <c r="P201">
        <f>INDEX(Raw_product_master[Standard_Cost_Per_Unit],MATCH(Cleaned_Sales_data[[#This Row],[Product]],Raw_product_master[Product],0))</f>
        <v>21840</v>
      </c>
      <c r="Q201">
        <v>7290</v>
      </c>
      <c r="R201" s="11">
        <v>9.6428571428571405E-2</v>
      </c>
      <c r="S201" s="11">
        <f>INDEX(Raw_product_master[Target_Margin], MATCH(Cleaned_Sales_data[[#This Row],[Product]],Raw_product_master[Product], 0 ))</f>
        <v>0.18</v>
      </c>
      <c r="T201" t="str">
        <f>IF(Cleaned_Sales_data[[#This Row],[Profit]]&gt;0, "Profitable", "Loss")</f>
        <v>Profitable</v>
      </c>
      <c r="U201" t="str">
        <f>_xlfn.IFS(Cleaned_Sales_data[[#This Row],[Profit]]&gt;=10000, "High", Cleaned_Sales_data[[#This Row],[Profit]]&gt;=5000, "Medium", Cleaned_Sales_data[[#This Row],[Profit]]&gt;=0, "Low", Cleaned_Sales_data[[#This Row],[Profit]] &lt;0, "Loss")</f>
        <v>Medium</v>
      </c>
      <c r="V201" t="str">
        <f t="shared" si="3"/>
        <v>UnderPerforming</v>
      </c>
      <c r="W201" s="3">
        <v>45809</v>
      </c>
    </row>
    <row r="202" spans="1:23">
      <c r="A202" t="s">
        <v>173</v>
      </c>
      <c r="B202" s="3">
        <v>45943</v>
      </c>
      <c r="C202" t="s">
        <v>46</v>
      </c>
      <c r="D202" t="str">
        <f>INDEX(Raw_product_master[Category],MATCH(Cleaned_Sales_data[[#This Row],[Product]],Raw_product_master[Product],0))</f>
        <v>Office Equipment</v>
      </c>
      <c r="E202" t="s">
        <v>19</v>
      </c>
      <c r="F202" t="s">
        <v>20</v>
      </c>
      <c r="G202" t="s">
        <v>21</v>
      </c>
      <c r="H202">
        <v>2</v>
      </c>
      <c r="I202">
        <v>18000</v>
      </c>
      <c r="J202" s="10">
        <v>0.03</v>
      </c>
      <c r="K202">
        <v>36000</v>
      </c>
      <c r="L202">
        <v>34920</v>
      </c>
      <c r="M202">
        <v>28800</v>
      </c>
      <c r="N202">
        <v>628</v>
      </c>
      <c r="O202">
        <v>1600</v>
      </c>
      <c r="P202">
        <f>INDEX(Raw_product_master[Standard_Cost_Per_Unit],MATCH(Cleaned_Sales_data[[#This Row],[Product]],Raw_product_master[Product],0))</f>
        <v>14400</v>
      </c>
      <c r="Q202">
        <v>3892</v>
      </c>
      <c r="R202" s="11">
        <v>0.11145475372279499</v>
      </c>
      <c r="S202" s="11">
        <f>INDEX(Raw_product_master[Target_Margin], MATCH(Cleaned_Sales_data[[#This Row],[Product]],Raw_product_master[Product], 0 ))</f>
        <v>0.15</v>
      </c>
      <c r="T202" t="str">
        <f>IF(Cleaned_Sales_data[[#This Row],[Profit]]&gt;0, "Profitable", "Loss")</f>
        <v>Profitable</v>
      </c>
      <c r="U202" t="str">
        <f>_xlfn.IFS(Cleaned_Sales_data[[#This Row],[Profit]]&gt;=10000, "High", Cleaned_Sales_data[[#This Row],[Profit]]&gt;=5000, "Medium", Cleaned_Sales_data[[#This Row],[Profit]]&gt;=0, "Low", Cleaned_Sales_data[[#This Row],[Profit]] &lt;0, "Loss")</f>
        <v>Low</v>
      </c>
      <c r="V202" t="str">
        <f t="shared" si="3"/>
        <v>UnderPerforming</v>
      </c>
      <c r="W202" s="3">
        <v>45931</v>
      </c>
    </row>
    <row r="203" spans="1:23">
      <c r="A203" t="s">
        <v>176</v>
      </c>
      <c r="B203" s="3">
        <v>45970</v>
      </c>
      <c r="C203" t="s">
        <v>18</v>
      </c>
      <c r="D203" t="str">
        <f>INDEX(Raw_product_master[Category],MATCH(Cleaned_Sales_data[[#This Row],[Product]],Raw_product_master[Product],0))</f>
        <v>Computers</v>
      </c>
      <c r="E203" t="s">
        <v>19</v>
      </c>
      <c r="F203" t="s">
        <v>20</v>
      </c>
      <c r="G203" t="s">
        <v>21</v>
      </c>
      <c r="H203">
        <v>3</v>
      </c>
      <c r="I203">
        <v>32000</v>
      </c>
      <c r="J203" s="10">
        <v>0.03</v>
      </c>
      <c r="K203">
        <v>96000</v>
      </c>
      <c r="L203">
        <v>93120</v>
      </c>
      <c r="M203">
        <v>78720</v>
      </c>
      <c r="N203">
        <v>1401</v>
      </c>
      <c r="O203">
        <v>932</v>
      </c>
      <c r="P203">
        <f>INDEX(Raw_product_master[Standard_Cost_Per_Unit],MATCH(Cleaned_Sales_data[[#This Row],[Product]],Raw_product_master[Product],0))</f>
        <v>26240</v>
      </c>
      <c r="Q203">
        <v>12067</v>
      </c>
      <c r="R203" s="11">
        <v>0.12958548109965601</v>
      </c>
      <c r="S203" s="11">
        <f>INDEX(Raw_product_master[Target_Margin], MATCH(Cleaned_Sales_data[[#This Row],[Product]],Raw_product_master[Product], 0 ))</f>
        <v>0.12</v>
      </c>
      <c r="T203" t="str">
        <f>IF(Cleaned_Sales_data[[#This Row],[Profit]]&gt;0, "Profitable", "Loss")</f>
        <v>Profitable</v>
      </c>
      <c r="U203" t="str">
        <f>_xlfn.IFS(Cleaned_Sales_data[[#This Row],[Profit]]&gt;=10000, "High", Cleaned_Sales_data[[#This Row],[Profit]]&gt;=5000, "Medium", Cleaned_Sales_data[[#This Row],[Profit]]&gt;=0, "Low", Cleaned_Sales_data[[#This Row],[Profit]] &lt;0, "Loss")</f>
        <v>High</v>
      </c>
      <c r="V203" t="str">
        <f t="shared" si="3"/>
        <v>On Target</v>
      </c>
      <c r="W203" s="3">
        <v>45962</v>
      </c>
    </row>
    <row r="204" spans="1:23">
      <c r="A204" t="s">
        <v>177</v>
      </c>
      <c r="B204" s="3">
        <v>46075</v>
      </c>
      <c r="C204" t="s">
        <v>24</v>
      </c>
      <c r="D204" t="str">
        <f>INDEX(Raw_product_master[Category],MATCH(Cleaned_Sales_data[[#This Row],[Product]],Raw_product_master[Product],0))</f>
        <v>Accessories</v>
      </c>
      <c r="E204" t="s">
        <v>19</v>
      </c>
      <c r="F204" t="s">
        <v>20</v>
      </c>
      <c r="G204" t="s">
        <v>21</v>
      </c>
      <c r="H204">
        <v>6</v>
      </c>
      <c r="I204">
        <v>3500</v>
      </c>
      <c r="J204" s="10">
        <v>0.05</v>
      </c>
      <c r="K204">
        <v>21000</v>
      </c>
      <c r="L204">
        <v>19950</v>
      </c>
      <c r="M204">
        <v>14280</v>
      </c>
      <c r="N204">
        <v>1452</v>
      </c>
      <c r="O204">
        <v>1387</v>
      </c>
      <c r="P204">
        <f>INDEX(Raw_product_master[Standard_Cost_Per_Unit],MATCH(Cleaned_Sales_data[[#This Row],[Product]],Raw_product_master[Product],0))</f>
        <v>2380</v>
      </c>
      <c r="Q204">
        <v>2831</v>
      </c>
      <c r="R204" s="11">
        <v>0.14190476190476201</v>
      </c>
      <c r="S204" s="11">
        <f>INDEX(Raw_product_master[Target_Margin], MATCH(Cleaned_Sales_data[[#This Row],[Product]],Raw_product_master[Product], 0 ))</f>
        <v>0.2</v>
      </c>
      <c r="T204" t="str">
        <f>IF(Cleaned_Sales_data[[#This Row],[Profit]]&gt;0, "Profitable", "Loss")</f>
        <v>Profitable</v>
      </c>
      <c r="U204" t="str">
        <f>_xlfn.IFS(Cleaned_Sales_data[[#This Row],[Profit]]&gt;=10000, "High", Cleaned_Sales_data[[#This Row],[Profit]]&gt;=5000, "Medium", Cleaned_Sales_data[[#This Row],[Profit]]&gt;=0, "Low", Cleaned_Sales_data[[#This Row],[Profit]] &lt;0, "Loss")</f>
        <v>Low</v>
      </c>
      <c r="V204" t="str">
        <f t="shared" si="3"/>
        <v>UnderPerforming</v>
      </c>
      <c r="W204" s="3">
        <v>46054</v>
      </c>
    </row>
    <row r="205" spans="1:23">
      <c r="A205" t="s">
        <v>182</v>
      </c>
      <c r="B205" s="3">
        <v>45785</v>
      </c>
      <c r="C205" t="s">
        <v>61</v>
      </c>
      <c r="D205" t="str">
        <f>INDEX(Raw_product_master[Category],MATCH(Cleaned_Sales_data[[#This Row],[Product]],Raw_product_master[Product],0))</f>
        <v>Accessories</v>
      </c>
      <c r="E205" t="s">
        <v>63</v>
      </c>
      <c r="F205" t="s">
        <v>20</v>
      </c>
      <c r="G205" t="s">
        <v>21</v>
      </c>
      <c r="H205">
        <v>4</v>
      </c>
      <c r="I205">
        <v>4500</v>
      </c>
      <c r="J205" s="10">
        <v>0</v>
      </c>
      <c r="K205">
        <v>18000</v>
      </c>
      <c r="L205">
        <v>18000</v>
      </c>
      <c r="M205">
        <v>11700</v>
      </c>
      <c r="N205">
        <v>913</v>
      </c>
      <c r="O205">
        <v>2206</v>
      </c>
      <c r="P205">
        <f>INDEX(Raw_product_master[Standard_Cost_Per_Unit],MATCH(Cleaned_Sales_data[[#This Row],[Product]],Raw_product_master[Product],0))</f>
        <v>2925</v>
      </c>
      <c r="Q205">
        <v>3181</v>
      </c>
      <c r="R205" s="11">
        <v>0.176722222222222</v>
      </c>
      <c r="S205" s="11">
        <f>INDEX(Raw_product_master[Target_Margin], MATCH(Cleaned_Sales_data[[#This Row],[Product]],Raw_product_master[Product], 0 ))</f>
        <v>0.22</v>
      </c>
      <c r="T205" t="str">
        <f>IF(Cleaned_Sales_data[[#This Row],[Profit]]&gt;0, "Profitable", "Loss")</f>
        <v>Profitable</v>
      </c>
      <c r="U205" t="str">
        <f>_xlfn.IFS(Cleaned_Sales_data[[#This Row],[Profit]]&gt;=10000, "High", Cleaned_Sales_data[[#This Row],[Profit]]&gt;=5000, "Medium", Cleaned_Sales_data[[#This Row],[Profit]]&gt;=0, "Low", Cleaned_Sales_data[[#This Row],[Profit]] &lt;0, "Loss")</f>
        <v>Low</v>
      </c>
      <c r="V205" t="str">
        <f t="shared" si="3"/>
        <v>UnderPerforming</v>
      </c>
      <c r="W205" s="3">
        <v>45778</v>
      </c>
    </row>
    <row r="206" spans="1:23">
      <c r="A206" t="s">
        <v>186</v>
      </c>
      <c r="B206" s="3">
        <v>46058</v>
      </c>
      <c r="C206" t="s">
        <v>50</v>
      </c>
      <c r="D206" t="str">
        <f>INDEX(Raw_product_master[Category],MATCH(Cleaned_Sales_data[[#This Row],[Product]],Raw_product_master[Product],0))</f>
        <v>Accessories</v>
      </c>
      <c r="E206" t="s">
        <v>25</v>
      </c>
      <c r="F206" t="s">
        <v>20</v>
      </c>
      <c r="G206" t="s">
        <v>21</v>
      </c>
      <c r="H206">
        <v>2</v>
      </c>
      <c r="I206">
        <v>2500</v>
      </c>
      <c r="J206" s="10">
        <v>0.08</v>
      </c>
      <c r="K206">
        <v>5000</v>
      </c>
      <c r="L206">
        <v>4600</v>
      </c>
      <c r="M206">
        <v>3100</v>
      </c>
      <c r="N206">
        <v>1020</v>
      </c>
      <c r="O206">
        <v>554</v>
      </c>
      <c r="P206">
        <f>INDEX(Raw_product_master[Standard_Cost_Per_Unit],MATCH(Cleaned_Sales_data[[#This Row],[Product]],Raw_product_master[Product],0))</f>
        <v>1550</v>
      </c>
      <c r="Q206">
        <v>-74</v>
      </c>
      <c r="R206" s="11">
        <v>-1.6086956521739099E-2</v>
      </c>
      <c r="S206" s="11">
        <f>INDEX(Raw_product_master[Target_Margin], MATCH(Cleaned_Sales_data[[#This Row],[Product]],Raw_product_master[Product], 0 ))</f>
        <v>0.25</v>
      </c>
      <c r="T206" t="str">
        <f>IF(Cleaned_Sales_data[[#This Row],[Profit]]&gt;0, "Profitable", "Loss")</f>
        <v>Loss</v>
      </c>
      <c r="U206" t="str">
        <f>_xlfn.IFS(Cleaned_Sales_data[[#This Row],[Profit]]&gt;=10000, "High", Cleaned_Sales_data[[#This Row],[Profit]]&gt;=5000, "Medium", Cleaned_Sales_data[[#This Row],[Profit]]&gt;=0, "Low", Cleaned_Sales_data[[#This Row],[Profit]] &lt;0, "Loss")</f>
        <v>Loss</v>
      </c>
      <c r="V206" t="str">
        <f t="shared" si="3"/>
        <v>UnderPerforming</v>
      </c>
      <c r="W206" s="3">
        <v>46054</v>
      </c>
    </row>
    <row r="207" spans="1:23">
      <c r="A207" t="s">
        <v>188</v>
      </c>
      <c r="B207" s="3">
        <v>45884</v>
      </c>
      <c r="C207" t="s">
        <v>46</v>
      </c>
      <c r="D207" t="str">
        <f>INDEX(Raw_product_master[Category],MATCH(Cleaned_Sales_data[[#This Row],[Product]],Raw_product_master[Product],0))</f>
        <v>Office Equipment</v>
      </c>
      <c r="E207" t="s">
        <v>34</v>
      </c>
      <c r="F207" t="s">
        <v>20</v>
      </c>
      <c r="G207" t="s">
        <v>21</v>
      </c>
      <c r="H207">
        <v>3</v>
      </c>
      <c r="I207">
        <v>18000</v>
      </c>
      <c r="J207" s="10">
        <v>0.05</v>
      </c>
      <c r="K207">
        <v>54000</v>
      </c>
      <c r="L207">
        <v>51300</v>
      </c>
      <c r="M207">
        <v>43200</v>
      </c>
      <c r="N207">
        <v>1336</v>
      </c>
      <c r="O207">
        <v>286</v>
      </c>
      <c r="P207">
        <f>INDEX(Raw_product_master[Standard_Cost_Per_Unit],MATCH(Cleaned_Sales_data[[#This Row],[Product]],Raw_product_master[Product],0))</f>
        <v>14400</v>
      </c>
      <c r="Q207">
        <v>6478</v>
      </c>
      <c r="R207" s="11">
        <v>0.12627680311890799</v>
      </c>
      <c r="S207" s="11">
        <f>INDEX(Raw_product_master[Target_Margin], MATCH(Cleaned_Sales_data[[#This Row],[Product]],Raw_product_master[Product], 0 ))</f>
        <v>0.15</v>
      </c>
      <c r="T207" t="str">
        <f>IF(Cleaned_Sales_data[[#This Row],[Profit]]&gt;0, "Profitable", "Loss")</f>
        <v>Profitable</v>
      </c>
      <c r="U207" t="str">
        <f>_xlfn.IFS(Cleaned_Sales_data[[#This Row],[Profit]]&gt;=10000, "High", Cleaned_Sales_data[[#This Row],[Profit]]&gt;=5000, "Medium", Cleaned_Sales_data[[#This Row],[Profit]]&gt;=0, "Low", Cleaned_Sales_data[[#This Row],[Profit]] &lt;0, "Loss")</f>
        <v>Medium</v>
      </c>
      <c r="V207" t="str">
        <f t="shared" si="3"/>
        <v>UnderPerforming</v>
      </c>
      <c r="W207" s="3">
        <v>45870</v>
      </c>
    </row>
    <row r="208" spans="1:23">
      <c r="A208" t="s">
        <v>191</v>
      </c>
      <c r="B208" s="3">
        <v>45699</v>
      </c>
      <c r="C208" t="s">
        <v>75</v>
      </c>
      <c r="D208" t="str">
        <f>INDEX(Raw_product_master[Category],MATCH(Cleaned_Sales_data[[#This Row],[Product]],Raw_product_master[Product],0))</f>
        <v>Computers</v>
      </c>
      <c r="E208" t="s">
        <v>63</v>
      </c>
      <c r="F208" t="s">
        <v>20</v>
      </c>
      <c r="G208" t="s">
        <v>21</v>
      </c>
      <c r="H208">
        <v>1</v>
      </c>
      <c r="I208">
        <v>65000</v>
      </c>
      <c r="J208" s="10">
        <v>0.08</v>
      </c>
      <c r="K208">
        <v>65000</v>
      </c>
      <c r="L208">
        <v>59800</v>
      </c>
      <c r="M208">
        <v>54600</v>
      </c>
      <c r="N208">
        <v>1138</v>
      </c>
      <c r="O208">
        <v>1739</v>
      </c>
      <c r="P208">
        <f>INDEX(Raw_product_master[Standard_Cost_Per_Unit],MATCH(Cleaned_Sales_data[[#This Row],[Product]],Raw_product_master[Product],0))</f>
        <v>54600</v>
      </c>
      <c r="Q208">
        <v>2323</v>
      </c>
      <c r="R208" s="11">
        <v>3.8846153846153801E-2</v>
      </c>
      <c r="S208" s="11">
        <f>INDEX(Raw_product_master[Target_Margin], MATCH(Cleaned_Sales_data[[#This Row],[Product]],Raw_product_master[Product], 0 ))</f>
        <v>0.12</v>
      </c>
      <c r="T208" t="str">
        <f>IF(Cleaned_Sales_data[[#This Row],[Profit]]&gt;0, "Profitable", "Loss")</f>
        <v>Profitable</v>
      </c>
      <c r="U208" t="str">
        <f>_xlfn.IFS(Cleaned_Sales_data[[#This Row],[Profit]]&gt;=10000, "High", Cleaned_Sales_data[[#This Row],[Profit]]&gt;=5000, "Medium", Cleaned_Sales_data[[#This Row],[Profit]]&gt;=0, "Low", Cleaned_Sales_data[[#This Row],[Profit]] &lt;0, "Loss")</f>
        <v>Low</v>
      </c>
      <c r="V208" t="str">
        <f t="shared" si="3"/>
        <v>UnderPerforming</v>
      </c>
      <c r="W208" s="3">
        <v>45689</v>
      </c>
    </row>
    <row r="209" spans="1:23">
      <c r="A209" t="s">
        <v>192</v>
      </c>
      <c r="B209" s="3">
        <v>46181</v>
      </c>
      <c r="C209" t="s">
        <v>24</v>
      </c>
      <c r="D209" t="str">
        <f>INDEX(Raw_product_master[Category],MATCH(Cleaned_Sales_data[[#This Row],[Product]],Raw_product_master[Product],0))</f>
        <v>Accessories</v>
      </c>
      <c r="E209" t="s">
        <v>19</v>
      </c>
      <c r="F209" t="s">
        <v>20</v>
      </c>
      <c r="G209" t="s">
        <v>21</v>
      </c>
      <c r="H209">
        <v>4</v>
      </c>
      <c r="I209">
        <v>3500</v>
      </c>
      <c r="J209" s="10">
        <v>0.1</v>
      </c>
      <c r="K209">
        <v>14000</v>
      </c>
      <c r="L209">
        <v>12600</v>
      </c>
      <c r="M209">
        <v>9520</v>
      </c>
      <c r="N209">
        <v>1701</v>
      </c>
      <c r="O209">
        <v>201</v>
      </c>
      <c r="P209">
        <f>INDEX(Raw_product_master[Standard_Cost_Per_Unit],MATCH(Cleaned_Sales_data[[#This Row],[Product]],Raw_product_master[Product],0))</f>
        <v>2380</v>
      </c>
      <c r="Q209">
        <v>1178</v>
      </c>
      <c r="R209" s="11">
        <v>9.3492063492063501E-2</v>
      </c>
      <c r="S209" s="11">
        <f>INDEX(Raw_product_master[Target_Margin], MATCH(Cleaned_Sales_data[[#This Row],[Product]],Raw_product_master[Product], 0 ))</f>
        <v>0.2</v>
      </c>
      <c r="T209" t="str">
        <f>IF(Cleaned_Sales_data[[#This Row],[Profit]]&gt;0, "Profitable", "Loss")</f>
        <v>Profitable</v>
      </c>
      <c r="U209" t="str">
        <f>_xlfn.IFS(Cleaned_Sales_data[[#This Row],[Profit]]&gt;=10000, "High", Cleaned_Sales_data[[#This Row],[Profit]]&gt;=5000, "Medium", Cleaned_Sales_data[[#This Row],[Profit]]&gt;=0, "Low", Cleaned_Sales_data[[#This Row],[Profit]] &lt;0, "Loss")</f>
        <v>Low</v>
      </c>
      <c r="V209" t="str">
        <f t="shared" si="3"/>
        <v>UnderPerforming</v>
      </c>
      <c r="W209" s="3">
        <v>46174</v>
      </c>
    </row>
    <row r="210" spans="1:23">
      <c r="A210" t="s">
        <v>197</v>
      </c>
      <c r="B210" s="3">
        <v>46029</v>
      </c>
      <c r="C210" t="s">
        <v>50</v>
      </c>
      <c r="D210" t="str">
        <f>INDEX(Raw_product_master[Category],MATCH(Cleaned_Sales_data[[#This Row],[Product]],Raw_product_master[Product],0))</f>
        <v>Accessories</v>
      </c>
      <c r="E210" t="s">
        <v>19</v>
      </c>
      <c r="F210" t="s">
        <v>20</v>
      </c>
      <c r="G210" t="s">
        <v>21</v>
      </c>
      <c r="H210">
        <v>7</v>
      </c>
      <c r="I210">
        <v>2500</v>
      </c>
      <c r="J210" s="10">
        <v>0.1</v>
      </c>
      <c r="K210">
        <v>17500</v>
      </c>
      <c r="L210">
        <v>15750</v>
      </c>
      <c r="M210">
        <v>10850</v>
      </c>
      <c r="N210">
        <v>1446</v>
      </c>
      <c r="O210">
        <v>1089</v>
      </c>
      <c r="P210">
        <f>INDEX(Raw_product_master[Standard_Cost_Per_Unit],MATCH(Cleaned_Sales_data[[#This Row],[Product]],Raw_product_master[Product],0))</f>
        <v>1550</v>
      </c>
      <c r="Q210">
        <v>2365</v>
      </c>
      <c r="R210" s="11">
        <v>0.15015873015872999</v>
      </c>
      <c r="S210" s="11">
        <f>INDEX(Raw_product_master[Target_Margin], MATCH(Cleaned_Sales_data[[#This Row],[Product]],Raw_product_master[Product], 0 ))</f>
        <v>0.25</v>
      </c>
      <c r="T210" t="str">
        <f>IF(Cleaned_Sales_data[[#This Row],[Profit]]&gt;0, "Profitable", "Loss")</f>
        <v>Profitable</v>
      </c>
      <c r="U210" t="str">
        <f>_xlfn.IFS(Cleaned_Sales_data[[#This Row],[Profit]]&gt;=10000, "High", Cleaned_Sales_data[[#This Row],[Profit]]&gt;=5000, "Medium", Cleaned_Sales_data[[#This Row],[Profit]]&gt;=0, "Low", Cleaned_Sales_data[[#This Row],[Profit]] &lt;0, "Loss")</f>
        <v>Low</v>
      </c>
      <c r="V210" t="str">
        <f t="shared" si="3"/>
        <v>UnderPerforming</v>
      </c>
      <c r="W210" s="3">
        <v>46023</v>
      </c>
    </row>
    <row r="211" spans="1:23">
      <c r="A211" t="s">
        <v>201</v>
      </c>
      <c r="B211" s="3">
        <v>46134</v>
      </c>
      <c r="C211" t="s">
        <v>46</v>
      </c>
      <c r="D211" t="str">
        <f>INDEX(Raw_product_master[Category],MATCH(Cleaned_Sales_data[[#This Row],[Product]],Raw_product_master[Product],0))</f>
        <v>Office Equipment</v>
      </c>
      <c r="E211" t="s">
        <v>34</v>
      </c>
      <c r="F211" t="s">
        <v>20</v>
      </c>
      <c r="G211" t="s">
        <v>21</v>
      </c>
      <c r="H211">
        <v>3</v>
      </c>
      <c r="I211">
        <v>18000</v>
      </c>
      <c r="J211" s="10">
        <v>0</v>
      </c>
      <c r="K211">
        <v>54000</v>
      </c>
      <c r="L211">
        <v>54000</v>
      </c>
      <c r="M211">
        <v>43200</v>
      </c>
      <c r="N211">
        <v>1013</v>
      </c>
      <c r="O211">
        <v>128</v>
      </c>
      <c r="P211">
        <f>INDEX(Raw_product_master[Standard_Cost_Per_Unit],MATCH(Cleaned_Sales_data[[#This Row],[Product]],Raw_product_master[Product],0))</f>
        <v>14400</v>
      </c>
      <c r="Q211">
        <v>9659</v>
      </c>
      <c r="R211" s="11">
        <v>0.17887037037037001</v>
      </c>
      <c r="S211" s="11">
        <f>INDEX(Raw_product_master[Target_Margin], MATCH(Cleaned_Sales_data[[#This Row],[Product]],Raw_product_master[Product], 0 ))</f>
        <v>0.15</v>
      </c>
      <c r="T211" t="str">
        <f>IF(Cleaned_Sales_data[[#This Row],[Profit]]&gt;0, "Profitable", "Loss")</f>
        <v>Profitable</v>
      </c>
      <c r="U211" t="str">
        <f>_xlfn.IFS(Cleaned_Sales_data[[#This Row],[Profit]]&gt;=10000, "High", Cleaned_Sales_data[[#This Row],[Profit]]&gt;=5000, "Medium", Cleaned_Sales_data[[#This Row],[Profit]]&gt;=0, "Low", Cleaned_Sales_data[[#This Row],[Profit]] &lt;0, "Loss")</f>
        <v>Medium</v>
      </c>
      <c r="V211" t="str">
        <f t="shared" si="3"/>
        <v>On Target</v>
      </c>
      <c r="W211" s="3">
        <v>46113</v>
      </c>
    </row>
    <row r="212" spans="1:23">
      <c r="A212" t="s">
        <v>212</v>
      </c>
      <c r="B212" s="3">
        <v>45771</v>
      </c>
      <c r="C212" t="s">
        <v>24</v>
      </c>
      <c r="D212" t="str">
        <f>INDEX(Raw_product_master[Category],MATCH(Cleaned_Sales_data[[#This Row],[Product]],Raw_product_master[Product],0))</f>
        <v>Accessories</v>
      </c>
      <c r="E212" t="s">
        <v>51</v>
      </c>
      <c r="F212" t="s">
        <v>20</v>
      </c>
      <c r="G212" t="s">
        <v>21</v>
      </c>
      <c r="H212">
        <v>2</v>
      </c>
      <c r="I212">
        <v>3500</v>
      </c>
      <c r="J212" s="10">
        <v>0.08</v>
      </c>
      <c r="K212">
        <v>7000</v>
      </c>
      <c r="L212">
        <v>6440</v>
      </c>
      <c r="M212">
        <v>4760</v>
      </c>
      <c r="N212">
        <v>236</v>
      </c>
      <c r="O212">
        <v>1811</v>
      </c>
      <c r="P212">
        <f>INDEX(Raw_product_master[Standard_Cost_Per_Unit],MATCH(Cleaned_Sales_data[[#This Row],[Product]],Raw_product_master[Product],0))</f>
        <v>2380</v>
      </c>
      <c r="Q212">
        <v>-367</v>
      </c>
      <c r="R212" s="11">
        <v>-5.6987577639751603E-2</v>
      </c>
      <c r="S212" s="11">
        <f>INDEX(Raw_product_master[Target_Margin], MATCH(Cleaned_Sales_data[[#This Row],[Product]],Raw_product_master[Product], 0 ))</f>
        <v>0.2</v>
      </c>
      <c r="T212" t="str">
        <f>IF(Cleaned_Sales_data[[#This Row],[Profit]]&gt;0, "Profitable", "Loss")</f>
        <v>Loss</v>
      </c>
      <c r="U212" t="str">
        <f>_xlfn.IFS(Cleaned_Sales_data[[#This Row],[Profit]]&gt;=10000, "High", Cleaned_Sales_data[[#This Row],[Profit]]&gt;=5000, "Medium", Cleaned_Sales_data[[#This Row],[Profit]]&gt;=0, "Low", Cleaned_Sales_data[[#This Row],[Profit]] &lt;0, "Loss")</f>
        <v>Loss</v>
      </c>
      <c r="V212" t="str">
        <f t="shared" si="3"/>
        <v>UnderPerforming</v>
      </c>
      <c r="W212" s="3">
        <v>45748</v>
      </c>
    </row>
    <row r="213" spans="1:23">
      <c r="A213" t="s">
        <v>216</v>
      </c>
      <c r="B213" s="3">
        <v>46181</v>
      </c>
      <c r="C213" t="s">
        <v>61</v>
      </c>
      <c r="D213" t="str">
        <f>INDEX(Raw_product_master[Category],MATCH(Cleaned_Sales_data[[#This Row],[Product]],Raw_product_master[Product],0))</f>
        <v>Accessories</v>
      </c>
      <c r="E213" t="s">
        <v>25</v>
      </c>
      <c r="F213" t="s">
        <v>20</v>
      </c>
      <c r="G213" t="s">
        <v>21</v>
      </c>
      <c r="H213">
        <v>7</v>
      </c>
      <c r="I213">
        <v>4500</v>
      </c>
      <c r="J213" s="10">
        <v>0.03</v>
      </c>
      <c r="K213">
        <v>31500</v>
      </c>
      <c r="L213">
        <v>30555</v>
      </c>
      <c r="M213">
        <v>20475</v>
      </c>
      <c r="N213">
        <v>555</v>
      </c>
      <c r="O213">
        <v>688</v>
      </c>
      <c r="P213">
        <f>INDEX(Raw_product_master[Standard_Cost_Per_Unit],MATCH(Cleaned_Sales_data[[#This Row],[Product]],Raw_product_master[Product],0))</f>
        <v>2925</v>
      </c>
      <c r="Q213">
        <v>8837</v>
      </c>
      <c r="R213" s="11">
        <v>0.289216167566683</v>
      </c>
      <c r="S213" s="11">
        <f>INDEX(Raw_product_master[Target_Margin], MATCH(Cleaned_Sales_data[[#This Row],[Product]],Raw_product_master[Product], 0 ))</f>
        <v>0.22</v>
      </c>
      <c r="T213" t="str">
        <f>IF(Cleaned_Sales_data[[#This Row],[Profit]]&gt;0, "Profitable", "Loss")</f>
        <v>Profitable</v>
      </c>
      <c r="U213" t="str">
        <f>_xlfn.IFS(Cleaned_Sales_data[[#This Row],[Profit]]&gt;=10000, "High", Cleaned_Sales_data[[#This Row],[Profit]]&gt;=5000, "Medium", Cleaned_Sales_data[[#This Row],[Profit]]&gt;=0, "Low", Cleaned_Sales_data[[#This Row],[Profit]] &lt;0, "Loss")</f>
        <v>Medium</v>
      </c>
      <c r="V213" t="str">
        <f t="shared" si="3"/>
        <v>On Target</v>
      </c>
      <c r="W213" s="3">
        <v>46174</v>
      </c>
    </row>
    <row r="214" spans="1:23">
      <c r="A214" t="s">
        <v>218</v>
      </c>
      <c r="B214" s="3">
        <v>46069</v>
      </c>
      <c r="C214" t="s">
        <v>61</v>
      </c>
      <c r="D214" t="str">
        <f>INDEX(Raw_product_master[Category],MATCH(Cleaned_Sales_data[[#This Row],[Product]],Raw_product_master[Product],0))</f>
        <v>Accessories</v>
      </c>
      <c r="E214" t="s">
        <v>31</v>
      </c>
      <c r="F214" t="s">
        <v>20</v>
      </c>
      <c r="G214" t="s">
        <v>21</v>
      </c>
      <c r="H214">
        <v>7</v>
      </c>
      <c r="I214">
        <v>4500</v>
      </c>
      <c r="J214" s="10">
        <v>0.08</v>
      </c>
      <c r="K214">
        <v>31500</v>
      </c>
      <c r="L214">
        <v>28980</v>
      </c>
      <c r="M214">
        <v>20475</v>
      </c>
      <c r="N214">
        <v>1447</v>
      </c>
      <c r="O214">
        <v>1093</v>
      </c>
      <c r="P214">
        <f>INDEX(Raw_product_master[Standard_Cost_Per_Unit],MATCH(Cleaned_Sales_data[[#This Row],[Product]],Raw_product_master[Product],0))</f>
        <v>2925</v>
      </c>
      <c r="Q214">
        <v>5965</v>
      </c>
      <c r="R214" s="11">
        <v>0.205831608005521</v>
      </c>
      <c r="S214" s="11">
        <f>INDEX(Raw_product_master[Target_Margin], MATCH(Cleaned_Sales_data[[#This Row],[Product]],Raw_product_master[Product], 0 ))</f>
        <v>0.22</v>
      </c>
      <c r="T214" t="str">
        <f>IF(Cleaned_Sales_data[[#This Row],[Profit]]&gt;0, "Profitable", "Loss")</f>
        <v>Profitable</v>
      </c>
      <c r="U214" t="str">
        <f>_xlfn.IFS(Cleaned_Sales_data[[#This Row],[Profit]]&gt;=10000, "High", Cleaned_Sales_data[[#This Row],[Profit]]&gt;=5000, "Medium", Cleaned_Sales_data[[#This Row],[Profit]]&gt;=0, "Low", Cleaned_Sales_data[[#This Row],[Profit]] &lt;0, "Loss")</f>
        <v>Medium</v>
      </c>
      <c r="V214" t="str">
        <f t="shared" si="3"/>
        <v>UnderPerforming</v>
      </c>
      <c r="W214" s="3">
        <v>46054</v>
      </c>
    </row>
    <row r="215" spans="1:23">
      <c r="A215" t="s">
        <v>219</v>
      </c>
      <c r="B215" s="3">
        <v>45981</v>
      </c>
      <c r="C215" t="s">
        <v>61</v>
      </c>
      <c r="D215" t="str">
        <f>INDEX(Raw_product_master[Category],MATCH(Cleaned_Sales_data[[#This Row],[Product]],Raw_product_master[Product],0))</f>
        <v>Accessories</v>
      </c>
      <c r="E215" t="s">
        <v>19</v>
      </c>
      <c r="F215" t="s">
        <v>20</v>
      </c>
      <c r="G215" t="s">
        <v>21</v>
      </c>
      <c r="H215">
        <v>4</v>
      </c>
      <c r="I215">
        <v>4500</v>
      </c>
      <c r="J215" s="10">
        <v>0.03</v>
      </c>
      <c r="K215">
        <v>18000</v>
      </c>
      <c r="L215">
        <v>17460</v>
      </c>
      <c r="M215">
        <v>11700</v>
      </c>
      <c r="N215">
        <v>683</v>
      </c>
      <c r="O215">
        <v>1365</v>
      </c>
      <c r="P215">
        <f>INDEX(Raw_product_master[Standard_Cost_Per_Unit],MATCH(Cleaned_Sales_data[[#This Row],[Product]],Raw_product_master[Product],0))</f>
        <v>2925</v>
      </c>
      <c r="Q215">
        <v>3712</v>
      </c>
      <c r="R215" s="11">
        <v>0.21260022909507401</v>
      </c>
      <c r="S215" s="11">
        <f>INDEX(Raw_product_master[Target_Margin], MATCH(Cleaned_Sales_data[[#This Row],[Product]],Raw_product_master[Product], 0 ))</f>
        <v>0.22</v>
      </c>
      <c r="T215" t="str">
        <f>IF(Cleaned_Sales_data[[#This Row],[Profit]]&gt;0, "Profitable", "Loss")</f>
        <v>Profitable</v>
      </c>
      <c r="U215" t="str">
        <f>_xlfn.IFS(Cleaned_Sales_data[[#This Row],[Profit]]&gt;=10000, "High", Cleaned_Sales_data[[#This Row],[Profit]]&gt;=5000, "Medium", Cleaned_Sales_data[[#This Row],[Profit]]&gt;=0, "Low", Cleaned_Sales_data[[#This Row],[Profit]] &lt;0, "Loss")</f>
        <v>Low</v>
      </c>
      <c r="V215" t="str">
        <f t="shared" si="3"/>
        <v>UnderPerforming</v>
      </c>
      <c r="W215" s="3">
        <v>45962</v>
      </c>
    </row>
    <row r="216" spans="1:23">
      <c r="A216" t="s">
        <v>230</v>
      </c>
      <c r="B216" s="3">
        <v>45977</v>
      </c>
      <c r="C216" t="s">
        <v>46</v>
      </c>
      <c r="D216" t="str">
        <f>INDEX(Raw_product_master[Category],MATCH(Cleaned_Sales_data[[#This Row],[Product]],Raw_product_master[Product],0))</f>
        <v>Office Equipment</v>
      </c>
      <c r="E216" t="s">
        <v>25</v>
      </c>
      <c r="F216" t="s">
        <v>20</v>
      </c>
      <c r="G216" t="s">
        <v>21</v>
      </c>
      <c r="H216">
        <v>1</v>
      </c>
      <c r="I216">
        <v>18000</v>
      </c>
      <c r="J216" s="10">
        <v>0</v>
      </c>
      <c r="K216">
        <v>18000</v>
      </c>
      <c r="L216">
        <v>18000</v>
      </c>
      <c r="M216">
        <v>14400</v>
      </c>
      <c r="N216">
        <v>473</v>
      </c>
      <c r="O216">
        <v>2113</v>
      </c>
      <c r="P216">
        <f>INDEX(Raw_product_master[Standard_Cost_Per_Unit],MATCH(Cleaned_Sales_data[[#This Row],[Product]],Raw_product_master[Product],0))</f>
        <v>14400</v>
      </c>
      <c r="Q216">
        <v>1014</v>
      </c>
      <c r="R216" s="11">
        <v>5.6333333333333298E-2</v>
      </c>
      <c r="S216" s="11">
        <f>INDEX(Raw_product_master[Target_Margin], MATCH(Cleaned_Sales_data[[#This Row],[Product]],Raw_product_master[Product], 0 ))</f>
        <v>0.15</v>
      </c>
      <c r="T216" t="str">
        <f>IF(Cleaned_Sales_data[[#This Row],[Profit]]&gt;0, "Profitable", "Loss")</f>
        <v>Profitable</v>
      </c>
      <c r="U216" t="str">
        <f>_xlfn.IFS(Cleaned_Sales_data[[#This Row],[Profit]]&gt;=10000, "High", Cleaned_Sales_data[[#This Row],[Profit]]&gt;=5000, "Medium", Cleaned_Sales_data[[#This Row],[Profit]]&gt;=0, "Low", Cleaned_Sales_data[[#This Row],[Profit]] &lt;0, "Loss")</f>
        <v>Low</v>
      </c>
      <c r="V216" t="str">
        <f t="shared" si="3"/>
        <v>UnderPerforming</v>
      </c>
      <c r="W216" s="3">
        <v>45962</v>
      </c>
    </row>
    <row r="217" spans="1:23">
      <c r="A217" t="s">
        <v>231</v>
      </c>
      <c r="B217" s="3">
        <v>45759</v>
      </c>
      <c r="C217" t="s">
        <v>46</v>
      </c>
      <c r="D217" t="str">
        <f>INDEX(Raw_product_master[Category],MATCH(Cleaned_Sales_data[[#This Row],[Product]],Raw_product_master[Product],0))</f>
        <v>Office Equipment</v>
      </c>
      <c r="E217" t="s">
        <v>63</v>
      </c>
      <c r="F217" t="s">
        <v>20</v>
      </c>
      <c r="G217" t="s">
        <v>21</v>
      </c>
      <c r="H217">
        <v>3</v>
      </c>
      <c r="I217">
        <v>18000</v>
      </c>
      <c r="J217" s="10">
        <v>0.1</v>
      </c>
      <c r="K217">
        <v>54000</v>
      </c>
      <c r="L217">
        <v>48600</v>
      </c>
      <c r="M217">
        <v>43200</v>
      </c>
      <c r="N217">
        <v>1000</v>
      </c>
      <c r="O217">
        <v>2143</v>
      </c>
      <c r="P217">
        <f>INDEX(Raw_product_master[Standard_Cost_Per_Unit],MATCH(Cleaned_Sales_data[[#This Row],[Product]],Raw_product_master[Product],0))</f>
        <v>14400</v>
      </c>
      <c r="Q217">
        <v>2257</v>
      </c>
      <c r="R217" s="11">
        <v>4.6440329218107E-2</v>
      </c>
      <c r="S217" s="11">
        <f>INDEX(Raw_product_master[Target_Margin], MATCH(Cleaned_Sales_data[[#This Row],[Product]],Raw_product_master[Product], 0 ))</f>
        <v>0.15</v>
      </c>
      <c r="T217" t="str">
        <f>IF(Cleaned_Sales_data[[#This Row],[Profit]]&gt;0, "Profitable", "Loss")</f>
        <v>Profitable</v>
      </c>
      <c r="U217" t="str">
        <f>_xlfn.IFS(Cleaned_Sales_data[[#This Row],[Profit]]&gt;=10000, "High", Cleaned_Sales_data[[#This Row],[Profit]]&gt;=5000, "Medium", Cleaned_Sales_data[[#This Row],[Profit]]&gt;=0, "Low", Cleaned_Sales_data[[#This Row],[Profit]] &lt;0, "Loss")</f>
        <v>Low</v>
      </c>
      <c r="V217" t="str">
        <f t="shared" si="3"/>
        <v>UnderPerforming</v>
      </c>
      <c r="W217" s="3">
        <v>45748</v>
      </c>
    </row>
    <row r="218" spans="1:23">
      <c r="A218" t="s">
        <v>244</v>
      </c>
      <c r="B218" s="3">
        <v>45955</v>
      </c>
      <c r="C218" t="s">
        <v>50</v>
      </c>
      <c r="D218" t="str">
        <f>INDEX(Raw_product_master[Category],MATCH(Cleaned_Sales_data[[#This Row],[Product]],Raw_product_master[Product],0))</f>
        <v>Accessories</v>
      </c>
      <c r="E218" t="s">
        <v>31</v>
      </c>
      <c r="F218" t="s">
        <v>20</v>
      </c>
      <c r="G218" t="s">
        <v>21</v>
      </c>
      <c r="H218">
        <v>2</v>
      </c>
      <c r="I218">
        <v>2500</v>
      </c>
      <c r="J218" s="10">
        <v>0.1</v>
      </c>
      <c r="K218">
        <v>5000</v>
      </c>
      <c r="L218">
        <v>4500</v>
      </c>
      <c r="M218">
        <v>3100</v>
      </c>
      <c r="N218">
        <v>951</v>
      </c>
      <c r="O218">
        <v>577</v>
      </c>
      <c r="P218">
        <f>INDEX(Raw_product_master[Standard_Cost_Per_Unit],MATCH(Cleaned_Sales_data[[#This Row],[Product]],Raw_product_master[Product],0))</f>
        <v>1550</v>
      </c>
      <c r="Q218">
        <v>-128</v>
      </c>
      <c r="R218" s="11">
        <v>-2.8444444444444401E-2</v>
      </c>
      <c r="S218" s="11">
        <f>INDEX(Raw_product_master[Target_Margin], MATCH(Cleaned_Sales_data[[#This Row],[Product]],Raw_product_master[Product], 0 ))</f>
        <v>0.25</v>
      </c>
      <c r="T218" t="str">
        <f>IF(Cleaned_Sales_data[[#This Row],[Profit]]&gt;0, "Profitable", "Loss")</f>
        <v>Loss</v>
      </c>
      <c r="U218" t="str">
        <f>_xlfn.IFS(Cleaned_Sales_data[[#This Row],[Profit]]&gt;=10000, "High", Cleaned_Sales_data[[#This Row],[Profit]]&gt;=5000, "Medium", Cleaned_Sales_data[[#This Row],[Profit]]&gt;=0, "Low", Cleaned_Sales_data[[#This Row],[Profit]] &lt;0, "Loss")</f>
        <v>Loss</v>
      </c>
      <c r="V218" t="str">
        <f t="shared" si="3"/>
        <v>UnderPerforming</v>
      </c>
      <c r="W218" s="3">
        <v>45931</v>
      </c>
    </row>
    <row r="219" spans="1:23">
      <c r="A219" t="s">
        <v>245</v>
      </c>
      <c r="B219" s="3">
        <v>46159</v>
      </c>
      <c r="C219" t="s">
        <v>24</v>
      </c>
      <c r="D219" t="str">
        <f>INDEX(Raw_product_master[Category],MATCH(Cleaned_Sales_data[[#This Row],[Product]],Raw_product_master[Product],0))</f>
        <v>Accessories</v>
      </c>
      <c r="E219" t="s">
        <v>31</v>
      </c>
      <c r="F219" t="s">
        <v>20</v>
      </c>
      <c r="G219" t="s">
        <v>21</v>
      </c>
      <c r="H219">
        <v>5</v>
      </c>
      <c r="I219">
        <v>3500</v>
      </c>
      <c r="J219" s="10">
        <v>0</v>
      </c>
      <c r="K219">
        <v>17500</v>
      </c>
      <c r="L219">
        <v>17500</v>
      </c>
      <c r="M219">
        <v>11900</v>
      </c>
      <c r="N219">
        <v>752</v>
      </c>
      <c r="O219">
        <v>2465</v>
      </c>
      <c r="P219">
        <f>INDEX(Raw_product_master[Standard_Cost_Per_Unit],MATCH(Cleaned_Sales_data[[#This Row],[Product]],Raw_product_master[Product],0))</f>
        <v>2380</v>
      </c>
      <c r="Q219">
        <v>2383</v>
      </c>
      <c r="R219" s="11">
        <v>0.136171428571429</v>
      </c>
      <c r="S219" s="11">
        <f>INDEX(Raw_product_master[Target_Margin], MATCH(Cleaned_Sales_data[[#This Row],[Product]],Raw_product_master[Product], 0 ))</f>
        <v>0.2</v>
      </c>
      <c r="T219" t="str">
        <f>IF(Cleaned_Sales_data[[#This Row],[Profit]]&gt;0, "Profitable", "Loss")</f>
        <v>Profitable</v>
      </c>
      <c r="U219" t="str">
        <f>_xlfn.IFS(Cleaned_Sales_data[[#This Row],[Profit]]&gt;=10000, "High", Cleaned_Sales_data[[#This Row],[Profit]]&gt;=5000, "Medium", Cleaned_Sales_data[[#This Row],[Profit]]&gt;=0, "Low", Cleaned_Sales_data[[#This Row],[Profit]] &lt;0, "Loss")</f>
        <v>Low</v>
      </c>
      <c r="V219" t="str">
        <f t="shared" si="3"/>
        <v>UnderPerforming</v>
      </c>
      <c r="W219" s="3">
        <v>46143</v>
      </c>
    </row>
    <row r="220" spans="1:23">
      <c r="A220" t="s">
        <v>247</v>
      </c>
      <c r="B220" s="3">
        <v>45927</v>
      </c>
      <c r="C220" t="s">
        <v>75</v>
      </c>
      <c r="D220" t="str">
        <f>INDEX(Raw_product_master[Category],MATCH(Cleaned_Sales_data[[#This Row],[Product]],Raw_product_master[Product],0))</f>
        <v>Computers</v>
      </c>
      <c r="E220" t="s">
        <v>25</v>
      </c>
      <c r="F220" t="s">
        <v>20</v>
      </c>
      <c r="G220" t="s">
        <v>21</v>
      </c>
      <c r="H220">
        <v>1</v>
      </c>
      <c r="I220">
        <v>65000</v>
      </c>
      <c r="J220" s="10">
        <v>0.03</v>
      </c>
      <c r="K220">
        <v>65000</v>
      </c>
      <c r="L220">
        <v>63050</v>
      </c>
      <c r="M220">
        <v>54600</v>
      </c>
      <c r="N220">
        <v>486</v>
      </c>
      <c r="O220">
        <v>729</v>
      </c>
      <c r="P220">
        <f>INDEX(Raw_product_master[Standard_Cost_Per_Unit],MATCH(Cleaned_Sales_data[[#This Row],[Product]],Raw_product_master[Product],0))</f>
        <v>54600</v>
      </c>
      <c r="Q220">
        <v>7235</v>
      </c>
      <c r="R220" s="11">
        <v>0.114750198255353</v>
      </c>
      <c r="S220" s="11">
        <f>INDEX(Raw_product_master[Target_Margin], MATCH(Cleaned_Sales_data[[#This Row],[Product]],Raw_product_master[Product], 0 ))</f>
        <v>0.12</v>
      </c>
      <c r="T220" t="str">
        <f>IF(Cleaned_Sales_data[[#This Row],[Profit]]&gt;0, "Profitable", "Loss")</f>
        <v>Profitable</v>
      </c>
      <c r="U220" t="str">
        <f>_xlfn.IFS(Cleaned_Sales_data[[#This Row],[Profit]]&gt;=10000, "High", Cleaned_Sales_data[[#This Row],[Profit]]&gt;=5000, "Medium", Cleaned_Sales_data[[#This Row],[Profit]]&gt;=0, "Low", Cleaned_Sales_data[[#This Row],[Profit]] &lt;0, "Loss")</f>
        <v>Medium</v>
      </c>
      <c r="V220" t="str">
        <f t="shared" si="3"/>
        <v>UnderPerforming</v>
      </c>
      <c r="W220" s="3">
        <v>45901</v>
      </c>
    </row>
    <row r="221" spans="1:23">
      <c r="A221" t="s">
        <v>252</v>
      </c>
      <c r="B221" s="3">
        <v>45696</v>
      </c>
      <c r="C221" t="s">
        <v>46</v>
      </c>
      <c r="D221" t="str">
        <f>INDEX(Raw_product_master[Category],MATCH(Cleaned_Sales_data[[#This Row],[Product]],Raw_product_master[Product],0))</f>
        <v>Office Equipment</v>
      </c>
      <c r="E221" t="s">
        <v>19</v>
      </c>
      <c r="F221" t="s">
        <v>20</v>
      </c>
      <c r="G221" t="s">
        <v>21</v>
      </c>
      <c r="H221">
        <v>3</v>
      </c>
      <c r="I221">
        <v>18000</v>
      </c>
      <c r="J221" s="10">
        <v>0</v>
      </c>
      <c r="K221">
        <v>54000</v>
      </c>
      <c r="L221">
        <v>54000</v>
      </c>
      <c r="M221">
        <v>43200</v>
      </c>
      <c r="N221">
        <v>416</v>
      </c>
      <c r="O221">
        <v>1308</v>
      </c>
      <c r="P221">
        <f>INDEX(Raw_product_master[Standard_Cost_Per_Unit],MATCH(Cleaned_Sales_data[[#This Row],[Product]],Raw_product_master[Product],0))</f>
        <v>14400</v>
      </c>
      <c r="Q221">
        <v>9076</v>
      </c>
      <c r="R221" s="11">
        <v>0.16807407407407399</v>
      </c>
      <c r="S221" s="11">
        <f>INDEX(Raw_product_master[Target_Margin], MATCH(Cleaned_Sales_data[[#This Row],[Product]],Raw_product_master[Product], 0 ))</f>
        <v>0.15</v>
      </c>
      <c r="T221" t="str">
        <f>IF(Cleaned_Sales_data[[#This Row],[Profit]]&gt;0, "Profitable", "Loss")</f>
        <v>Profitable</v>
      </c>
      <c r="U221" t="str">
        <f>_xlfn.IFS(Cleaned_Sales_data[[#This Row],[Profit]]&gt;=10000, "High", Cleaned_Sales_data[[#This Row],[Profit]]&gt;=5000, "Medium", Cleaned_Sales_data[[#This Row],[Profit]]&gt;=0, "Low", Cleaned_Sales_data[[#This Row],[Profit]] &lt;0, "Loss")</f>
        <v>Medium</v>
      </c>
      <c r="V221" t="str">
        <f t="shared" si="3"/>
        <v>On Target</v>
      </c>
      <c r="W221" s="3">
        <v>45689</v>
      </c>
    </row>
    <row r="222" spans="1:23">
      <c r="A222" t="s">
        <v>253</v>
      </c>
      <c r="B222" s="3">
        <v>46032</v>
      </c>
      <c r="C222" t="s">
        <v>53</v>
      </c>
      <c r="D222" t="str">
        <f>INDEX(Raw_product_master[Category],MATCH(Cleaned_Sales_data[[#This Row],[Product]],Raw_product_master[Product],0))</f>
        <v>Accessories</v>
      </c>
      <c r="E222" t="s">
        <v>25</v>
      </c>
      <c r="F222" t="s">
        <v>20</v>
      </c>
      <c r="G222" t="s">
        <v>21</v>
      </c>
      <c r="H222">
        <v>7</v>
      </c>
      <c r="I222">
        <v>1500</v>
      </c>
      <c r="J222" s="10">
        <v>0</v>
      </c>
      <c r="K222">
        <v>10500</v>
      </c>
      <c r="L222">
        <v>10500</v>
      </c>
      <c r="M222">
        <v>5775</v>
      </c>
      <c r="N222">
        <v>507</v>
      </c>
      <c r="O222">
        <v>1459</v>
      </c>
      <c r="P222">
        <f>INDEX(Raw_product_master[Standard_Cost_Per_Unit],MATCH(Cleaned_Sales_data[[#This Row],[Product]],Raw_product_master[Product],0))</f>
        <v>825</v>
      </c>
      <c r="Q222">
        <v>2759</v>
      </c>
      <c r="R222" s="11">
        <v>0.26276190476190497</v>
      </c>
      <c r="S222" s="11">
        <f>INDEX(Raw_product_master[Target_Margin], MATCH(Cleaned_Sales_data[[#This Row],[Product]],Raw_product_master[Product], 0 ))</f>
        <v>0.3</v>
      </c>
      <c r="T222" t="str">
        <f>IF(Cleaned_Sales_data[[#This Row],[Profit]]&gt;0, "Profitable", "Loss")</f>
        <v>Profitable</v>
      </c>
      <c r="U222" t="str">
        <f>_xlfn.IFS(Cleaned_Sales_data[[#This Row],[Profit]]&gt;=10000, "High", Cleaned_Sales_data[[#This Row],[Profit]]&gt;=5000, "Medium", Cleaned_Sales_data[[#This Row],[Profit]]&gt;=0, "Low", Cleaned_Sales_data[[#This Row],[Profit]] &lt;0, "Loss")</f>
        <v>Low</v>
      </c>
      <c r="V222" t="str">
        <f t="shared" si="3"/>
        <v>UnderPerforming</v>
      </c>
      <c r="W222" s="3">
        <v>46023</v>
      </c>
    </row>
    <row r="223" spans="1:23">
      <c r="A223" t="s">
        <v>257</v>
      </c>
      <c r="B223" s="3">
        <v>46038</v>
      </c>
      <c r="C223" t="s">
        <v>24</v>
      </c>
      <c r="D223" t="str">
        <f>INDEX(Raw_product_master[Category],MATCH(Cleaned_Sales_data[[#This Row],[Product]],Raw_product_master[Product],0))</f>
        <v>Accessories</v>
      </c>
      <c r="E223" t="s">
        <v>34</v>
      </c>
      <c r="F223" t="s">
        <v>20</v>
      </c>
      <c r="G223" t="s">
        <v>21</v>
      </c>
      <c r="H223">
        <v>5</v>
      </c>
      <c r="I223">
        <v>3500</v>
      </c>
      <c r="J223" s="10">
        <v>0.05</v>
      </c>
      <c r="K223">
        <v>17500</v>
      </c>
      <c r="L223">
        <v>16625</v>
      </c>
      <c r="M223">
        <v>11900</v>
      </c>
      <c r="N223">
        <v>1170</v>
      </c>
      <c r="O223">
        <v>1447</v>
      </c>
      <c r="P223">
        <f>INDEX(Raw_product_master[Standard_Cost_Per_Unit],MATCH(Cleaned_Sales_data[[#This Row],[Product]],Raw_product_master[Product],0))</f>
        <v>2380</v>
      </c>
      <c r="Q223">
        <v>2108</v>
      </c>
      <c r="R223" s="11">
        <v>0.12679699248120299</v>
      </c>
      <c r="S223" s="11">
        <f>INDEX(Raw_product_master[Target_Margin], MATCH(Cleaned_Sales_data[[#This Row],[Product]],Raw_product_master[Product], 0 ))</f>
        <v>0.2</v>
      </c>
      <c r="T223" t="str">
        <f>IF(Cleaned_Sales_data[[#This Row],[Profit]]&gt;0, "Profitable", "Loss")</f>
        <v>Profitable</v>
      </c>
      <c r="U223" t="str">
        <f>_xlfn.IFS(Cleaned_Sales_data[[#This Row],[Profit]]&gt;=10000, "High", Cleaned_Sales_data[[#This Row],[Profit]]&gt;=5000, "Medium", Cleaned_Sales_data[[#This Row],[Profit]]&gt;=0, "Low", Cleaned_Sales_data[[#This Row],[Profit]] &lt;0, "Loss")</f>
        <v>Low</v>
      </c>
      <c r="V223" t="str">
        <f t="shared" si="3"/>
        <v>UnderPerforming</v>
      </c>
      <c r="W223" s="3">
        <v>46023</v>
      </c>
    </row>
    <row r="224" spans="1:23">
      <c r="A224" t="s">
        <v>259</v>
      </c>
      <c r="B224" s="3">
        <v>45800</v>
      </c>
      <c r="C224" t="s">
        <v>18</v>
      </c>
      <c r="D224" t="str">
        <f>INDEX(Raw_product_master[Category],MATCH(Cleaned_Sales_data[[#This Row],[Product]],Raw_product_master[Product],0))</f>
        <v>Computers</v>
      </c>
      <c r="E224" t="s">
        <v>51</v>
      </c>
      <c r="F224" t="s">
        <v>20</v>
      </c>
      <c r="G224" t="s">
        <v>21</v>
      </c>
      <c r="H224">
        <v>1</v>
      </c>
      <c r="I224">
        <v>32000</v>
      </c>
      <c r="J224" s="10">
        <v>0.05</v>
      </c>
      <c r="K224">
        <v>32000</v>
      </c>
      <c r="L224">
        <v>30400</v>
      </c>
      <c r="M224">
        <v>26240</v>
      </c>
      <c r="N224">
        <v>1288</v>
      </c>
      <c r="O224">
        <v>810</v>
      </c>
      <c r="P224">
        <f>INDEX(Raw_product_master[Standard_Cost_Per_Unit],MATCH(Cleaned_Sales_data[[#This Row],[Product]],Raw_product_master[Product],0))</f>
        <v>26240</v>
      </c>
      <c r="Q224">
        <v>2062</v>
      </c>
      <c r="R224" s="11">
        <v>6.7828947368421003E-2</v>
      </c>
      <c r="S224" s="11">
        <f>INDEX(Raw_product_master[Target_Margin], MATCH(Cleaned_Sales_data[[#This Row],[Product]],Raw_product_master[Product], 0 ))</f>
        <v>0.12</v>
      </c>
      <c r="T224" t="str">
        <f>IF(Cleaned_Sales_data[[#This Row],[Profit]]&gt;0, "Profitable", "Loss")</f>
        <v>Profitable</v>
      </c>
      <c r="U224" t="str">
        <f>_xlfn.IFS(Cleaned_Sales_data[[#This Row],[Profit]]&gt;=10000, "High", Cleaned_Sales_data[[#This Row],[Profit]]&gt;=5000, "Medium", Cleaned_Sales_data[[#This Row],[Profit]]&gt;=0, "Low", Cleaned_Sales_data[[#This Row],[Profit]] &lt;0, "Loss")</f>
        <v>Low</v>
      </c>
      <c r="V224" t="str">
        <f t="shared" si="3"/>
        <v>UnderPerforming</v>
      </c>
      <c r="W224" s="3">
        <v>45778</v>
      </c>
    </row>
    <row r="225" spans="1:23">
      <c r="A225" t="s">
        <v>264</v>
      </c>
      <c r="B225" s="3">
        <v>46127</v>
      </c>
      <c r="C225" t="s">
        <v>50</v>
      </c>
      <c r="D225" t="str">
        <f>INDEX(Raw_product_master[Category],MATCH(Cleaned_Sales_data[[#This Row],[Product]],Raw_product_master[Product],0))</f>
        <v>Accessories</v>
      </c>
      <c r="E225" t="s">
        <v>19</v>
      </c>
      <c r="F225" t="s">
        <v>20</v>
      </c>
      <c r="G225" t="s">
        <v>21</v>
      </c>
      <c r="H225">
        <v>3</v>
      </c>
      <c r="I225">
        <v>2500</v>
      </c>
      <c r="J225" s="10">
        <v>0</v>
      </c>
      <c r="K225">
        <v>7500</v>
      </c>
      <c r="L225">
        <v>7500</v>
      </c>
      <c r="M225">
        <v>4650</v>
      </c>
      <c r="N225">
        <v>988</v>
      </c>
      <c r="O225">
        <v>240</v>
      </c>
      <c r="P225">
        <f>INDEX(Raw_product_master[Standard_Cost_Per_Unit],MATCH(Cleaned_Sales_data[[#This Row],[Product]],Raw_product_master[Product],0))</f>
        <v>1550</v>
      </c>
      <c r="Q225">
        <v>1622</v>
      </c>
      <c r="R225" s="11">
        <v>0.216266666666667</v>
      </c>
      <c r="S225" s="11">
        <f>INDEX(Raw_product_master[Target_Margin], MATCH(Cleaned_Sales_data[[#This Row],[Product]],Raw_product_master[Product], 0 ))</f>
        <v>0.25</v>
      </c>
      <c r="T225" t="str">
        <f>IF(Cleaned_Sales_data[[#This Row],[Profit]]&gt;0, "Profitable", "Loss")</f>
        <v>Profitable</v>
      </c>
      <c r="U225" t="str">
        <f>_xlfn.IFS(Cleaned_Sales_data[[#This Row],[Profit]]&gt;=10000, "High", Cleaned_Sales_data[[#This Row],[Profit]]&gt;=5000, "Medium", Cleaned_Sales_data[[#This Row],[Profit]]&gt;=0, "Low", Cleaned_Sales_data[[#This Row],[Profit]] &lt;0, "Loss")</f>
        <v>Low</v>
      </c>
      <c r="V225" t="str">
        <f t="shared" si="3"/>
        <v>UnderPerforming</v>
      </c>
      <c r="W225" s="3">
        <v>46113</v>
      </c>
    </row>
    <row r="226" spans="1:23">
      <c r="A226" t="s">
        <v>266</v>
      </c>
      <c r="B226" s="3">
        <v>46002</v>
      </c>
      <c r="C226" t="s">
        <v>61</v>
      </c>
      <c r="D226" t="str">
        <f>INDEX(Raw_product_master[Category],MATCH(Cleaned_Sales_data[[#This Row],[Product]],Raw_product_master[Product],0))</f>
        <v>Accessories</v>
      </c>
      <c r="E226" t="s">
        <v>34</v>
      </c>
      <c r="F226" t="s">
        <v>20</v>
      </c>
      <c r="G226" t="s">
        <v>21</v>
      </c>
      <c r="H226">
        <v>2</v>
      </c>
      <c r="I226">
        <v>4500</v>
      </c>
      <c r="J226" s="10">
        <v>0.05</v>
      </c>
      <c r="K226">
        <v>9000</v>
      </c>
      <c r="L226">
        <v>8550</v>
      </c>
      <c r="M226">
        <v>5850</v>
      </c>
      <c r="N226">
        <v>788</v>
      </c>
      <c r="O226">
        <v>2237</v>
      </c>
      <c r="P226">
        <f>INDEX(Raw_product_master[Standard_Cost_Per_Unit],MATCH(Cleaned_Sales_data[[#This Row],[Product]],Raw_product_master[Product],0))</f>
        <v>2925</v>
      </c>
      <c r="Q226">
        <v>-325</v>
      </c>
      <c r="R226" s="11">
        <v>-3.8011695906432802E-2</v>
      </c>
      <c r="S226" s="11">
        <f>INDEX(Raw_product_master[Target_Margin], MATCH(Cleaned_Sales_data[[#This Row],[Product]],Raw_product_master[Product], 0 ))</f>
        <v>0.22</v>
      </c>
      <c r="T226" t="str">
        <f>IF(Cleaned_Sales_data[[#This Row],[Profit]]&gt;0, "Profitable", "Loss")</f>
        <v>Loss</v>
      </c>
      <c r="U226" t="str">
        <f>_xlfn.IFS(Cleaned_Sales_data[[#This Row],[Profit]]&gt;=10000, "High", Cleaned_Sales_data[[#This Row],[Profit]]&gt;=5000, "Medium", Cleaned_Sales_data[[#This Row],[Profit]]&gt;=0, "Low", Cleaned_Sales_data[[#This Row],[Profit]] &lt;0, "Loss")</f>
        <v>Loss</v>
      </c>
      <c r="V226" t="str">
        <f t="shared" si="3"/>
        <v>UnderPerforming</v>
      </c>
      <c r="W226" s="3">
        <v>45992</v>
      </c>
    </row>
    <row r="227" spans="1:23">
      <c r="A227" t="s">
        <v>276</v>
      </c>
      <c r="B227" s="3">
        <v>46174</v>
      </c>
      <c r="C227" t="s">
        <v>46</v>
      </c>
      <c r="D227" t="str">
        <f>INDEX(Raw_product_master[Category],MATCH(Cleaned_Sales_data[[#This Row],[Product]],Raw_product_master[Product],0))</f>
        <v>Office Equipment</v>
      </c>
      <c r="E227" t="s">
        <v>31</v>
      </c>
      <c r="F227" t="s">
        <v>20</v>
      </c>
      <c r="G227" t="s">
        <v>21</v>
      </c>
      <c r="H227">
        <v>1</v>
      </c>
      <c r="I227">
        <v>18000</v>
      </c>
      <c r="J227" s="10">
        <v>0.03</v>
      </c>
      <c r="K227">
        <v>18000</v>
      </c>
      <c r="L227">
        <v>17460</v>
      </c>
      <c r="M227">
        <v>14400</v>
      </c>
      <c r="N227">
        <v>624</v>
      </c>
      <c r="O227">
        <v>807</v>
      </c>
      <c r="P227">
        <f>INDEX(Raw_product_master[Standard_Cost_Per_Unit],MATCH(Cleaned_Sales_data[[#This Row],[Product]],Raw_product_master[Product],0))</f>
        <v>14400</v>
      </c>
      <c r="Q227">
        <v>1629</v>
      </c>
      <c r="R227" s="11">
        <v>9.3298969072165006E-2</v>
      </c>
      <c r="S227" s="11">
        <f>INDEX(Raw_product_master[Target_Margin], MATCH(Cleaned_Sales_data[[#This Row],[Product]],Raw_product_master[Product], 0 ))</f>
        <v>0.15</v>
      </c>
      <c r="T227" t="str">
        <f>IF(Cleaned_Sales_data[[#This Row],[Profit]]&gt;0, "Profitable", "Loss")</f>
        <v>Profitable</v>
      </c>
      <c r="U227" t="str">
        <f>_xlfn.IFS(Cleaned_Sales_data[[#This Row],[Profit]]&gt;=10000, "High", Cleaned_Sales_data[[#This Row],[Profit]]&gt;=5000, "Medium", Cleaned_Sales_data[[#This Row],[Profit]]&gt;=0, "Low", Cleaned_Sales_data[[#This Row],[Profit]] &lt;0, "Loss")</f>
        <v>Low</v>
      </c>
      <c r="V227" t="str">
        <f t="shared" si="3"/>
        <v>UnderPerforming</v>
      </c>
      <c r="W227" s="3">
        <v>46174</v>
      </c>
    </row>
    <row r="228" spans="1:23">
      <c r="A228" t="s">
        <v>279</v>
      </c>
      <c r="B228" s="3">
        <v>45865</v>
      </c>
      <c r="C228" t="s">
        <v>24</v>
      </c>
      <c r="D228" t="str">
        <f>INDEX(Raw_product_master[Category],MATCH(Cleaned_Sales_data[[#This Row],[Product]],Raw_product_master[Product],0))</f>
        <v>Accessories</v>
      </c>
      <c r="E228" t="s">
        <v>25</v>
      </c>
      <c r="F228" t="s">
        <v>20</v>
      </c>
      <c r="G228" t="s">
        <v>21</v>
      </c>
      <c r="H228">
        <v>5</v>
      </c>
      <c r="I228">
        <v>3500</v>
      </c>
      <c r="J228" s="10">
        <v>0.1</v>
      </c>
      <c r="K228">
        <v>17500</v>
      </c>
      <c r="L228">
        <v>15750</v>
      </c>
      <c r="M228">
        <v>11900</v>
      </c>
      <c r="N228">
        <v>1216</v>
      </c>
      <c r="O228">
        <v>410</v>
      </c>
      <c r="P228">
        <f>INDEX(Raw_product_master[Standard_Cost_Per_Unit],MATCH(Cleaned_Sales_data[[#This Row],[Product]],Raw_product_master[Product],0))</f>
        <v>2380</v>
      </c>
      <c r="Q228">
        <v>2224</v>
      </c>
      <c r="R228" s="11">
        <v>0.141206349206349</v>
      </c>
      <c r="S228" s="11">
        <f>INDEX(Raw_product_master[Target_Margin], MATCH(Cleaned_Sales_data[[#This Row],[Product]],Raw_product_master[Product], 0 ))</f>
        <v>0.2</v>
      </c>
      <c r="T228" t="str">
        <f>IF(Cleaned_Sales_data[[#This Row],[Profit]]&gt;0, "Profitable", "Loss")</f>
        <v>Profitable</v>
      </c>
      <c r="U228" t="str">
        <f>_xlfn.IFS(Cleaned_Sales_data[[#This Row],[Profit]]&gt;=10000, "High", Cleaned_Sales_data[[#This Row],[Profit]]&gt;=5000, "Medium", Cleaned_Sales_data[[#This Row],[Profit]]&gt;=0, "Low", Cleaned_Sales_data[[#This Row],[Profit]] &lt;0, "Loss")</f>
        <v>Low</v>
      </c>
      <c r="V228" t="str">
        <f t="shared" si="3"/>
        <v>UnderPerforming</v>
      </c>
      <c r="W228" s="3">
        <v>45839</v>
      </c>
    </row>
    <row r="229" spans="1:23">
      <c r="A229" t="s">
        <v>290</v>
      </c>
      <c r="B229" s="3">
        <v>45669</v>
      </c>
      <c r="C229" t="s">
        <v>30</v>
      </c>
      <c r="D229" t="str">
        <f>INDEX(Raw_product_master[Category],MATCH(Cleaned_Sales_data[[#This Row],[Product]],Raw_product_master[Product],0))</f>
        <v>Displays</v>
      </c>
      <c r="E229" t="s">
        <v>31</v>
      </c>
      <c r="F229" t="s">
        <v>20</v>
      </c>
      <c r="G229" t="s">
        <v>21</v>
      </c>
      <c r="H229">
        <v>1</v>
      </c>
      <c r="I229">
        <v>28000</v>
      </c>
      <c r="J229" s="10">
        <v>0.03</v>
      </c>
      <c r="K229">
        <v>28000</v>
      </c>
      <c r="L229">
        <v>27160</v>
      </c>
      <c r="M229">
        <v>21840</v>
      </c>
      <c r="N229">
        <v>1396</v>
      </c>
      <c r="O229">
        <v>2079</v>
      </c>
      <c r="P229">
        <f>INDEX(Raw_product_master[Standard_Cost_Per_Unit],MATCH(Cleaned_Sales_data[[#This Row],[Product]],Raw_product_master[Product],0))</f>
        <v>21840</v>
      </c>
      <c r="Q229">
        <v>1845</v>
      </c>
      <c r="R229" s="11">
        <v>6.7930780559646506E-2</v>
      </c>
      <c r="S229" s="11">
        <f>INDEX(Raw_product_master[Target_Margin], MATCH(Cleaned_Sales_data[[#This Row],[Product]],Raw_product_master[Product], 0 ))</f>
        <v>0.18</v>
      </c>
      <c r="T229" t="str">
        <f>IF(Cleaned_Sales_data[[#This Row],[Profit]]&gt;0, "Profitable", "Loss")</f>
        <v>Profitable</v>
      </c>
      <c r="U229" t="str">
        <f>_xlfn.IFS(Cleaned_Sales_data[[#This Row],[Profit]]&gt;=10000, "High", Cleaned_Sales_data[[#This Row],[Profit]]&gt;=5000, "Medium", Cleaned_Sales_data[[#This Row],[Profit]]&gt;=0, "Low", Cleaned_Sales_data[[#This Row],[Profit]] &lt;0, "Loss")</f>
        <v>Low</v>
      </c>
      <c r="V229" t="str">
        <f t="shared" si="3"/>
        <v>UnderPerforming</v>
      </c>
      <c r="W229" s="3">
        <v>45658</v>
      </c>
    </row>
    <row r="230" spans="1:23">
      <c r="A230" t="s">
        <v>294</v>
      </c>
      <c r="B230" s="3">
        <v>46016</v>
      </c>
      <c r="C230" t="s">
        <v>46</v>
      </c>
      <c r="D230" t="str">
        <f>INDEX(Raw_product_master[Category],MATCH(Cleaned_Sales_data[[#This Row],[Product]],Raw_product_master[Product],0))</f>
        <v>Office Equipment</v>
      </c>
      <c r="E230" t="s">
        <v>31</v>
      </c>
      <c r="F230" t="s">
        <v>20</v>
      </c>
      <c r="G230" t="s">
        <v>21</v>
      </c>
      <c r="H230">
        <v>1</v>
      </c>
      <c r="I230">
        <v>18000</v>
      </c>
      <c r="J230" s="10">
        <v>0.08</v>
      </c>
      <c r="K230">
        <v>18000</v>
      </c>
      <c r="L230">
        <v>16560</v>
      </c>
      <c r="M230">
        <v>14400</v>
      </c>
      <c r="N230">
        <v>1775</v>
      </c>
      <c r="O230">
        <v>2248</v>
      </c>
      <c r="P230">
        <f>INDEX(Raw_product_master[Standard_Cost_Per_Unit],MATCH(Cleaned_Sales_data[[#This Row],[Product]],Raw_product_master[Product],0))</f>
        <v>14400</v>
      </c>
      <c r="Q230">
        <v>-1863</v>
      </c>
      <c r="R230" s="11">
        <v>-0.1125</v>
      </c>
      <c r="S230" s="11">
        <f>INDEX(Raw_product_master[Target_Margin], MATCH(Cleaned_Sales_data[[#This Row],[Product]],Raw_product_master[Product], 0 ))</f>
        <v>0.15</v>
      </c>
      <c r="T230" t="str">
        <f>IF(Cleaned_Sales_data[[#This Row],[Profit]]&gt;0, "Profitable", "Loss")</f>
        <v>Loss</v>
      </c>
      <c r="U230" t="str">
        <f>_xlfn.IFS(Cleaned_Sales_data[[#This Row],[Profit]]&gt;=10000, "High", Cleaned_Sales_data[[#This Row],[Profit]]&gt;=5000, "Medium", Cleaned_Sales_data[[#This Row],[Profit]]&gt;=0, "Low", Cleaned_Sales_data[[#This Row],[Profit]] &lt;0, "Loss")</f>
        <v>Loss</v>
      </c>
      <c r="V230" t="str">
        <f t="shared" si="3"/>
        <v>UnderPerforming</v>
      </c>
      <c r="W230" s="3">
        <v>45992</v>
      </c>
    </row>
    <row r="231" spans="1:23">
      <c r="A231" t="s">
        <v>295</v>
      </c>
      <c r="B231" s="3">
        <v>46140</v>
      </c>
      <c r="C231" t="s">
        <v>53</v>
      </c>
      <c r="D231" t="str">
        <f>INDEX(Raw_product_master[Category],MATCH(Cleaned_Sales_data[[#This Row],[Product]],Raw_product_master[Product],0))</f>
        <v>Accessories</v>
      </c>
      <c r="E231" t="s">
        <v>19</v>
      </c>
      <c r="F231" t="s">
        <v>20</v>
      </c>
      <c r="G231" t="s">
        <v>21</v>
      </c>
      <c r="H231">
        <v>6</v>
      </c>
      <c r="I231">
        <v>1500</v>
      </c>
      <c r="J231" s="10">
        <v>0.05</v>
      </c>
      <c r="K231">
        <v>9000</v>
      </c>
      <c r="L231">
        <v>8550</v>
      </c>
      <c r="M231">
        <v>4950</v>
      </c>
      <c r="N231">
        <v>1286</v>
      </c>
      <c r="O231">
        <v>1608</v>
      </c>
      <c r="P231">
        <f>INDEX(Raw_product_master[Standard_Cost_Per_Unit],MATCH(Cleaned_Sales_data[[#This Row],[Product]],Raw_product_master[Product],0))</f>
        <v>825</v>
      </c>
      <c r="Q231">
        <v>706</v>
      </c>
      <c r="R231" s="11">
        <v>8.2573099415204701E-2</v>
      </c>
      <c r="S231" s="11">
        <f>INDEX(Raw_product_master[Target_Margin], MATCH(Cleaned_Sales_data[[#This Row],[Product]],Raw_product_master[Product], 0 ))</f>
        <v>0.3</v>
      </c>
      <c r="T231" t="str">
        <f>IF(Cleaned_Sales_data[[#This Row],[Profit]]&gt;0, "Profitable", "Loss")</f>
        <v>Profitable</v>
      </c>
      <c r="U231" t="str">
        <f>_xlfn.IFS(Cleaned_Sales_data[[#This Row],[Profit]]&gt;=10000, "High", Cleaned_Sales_data[[#This Row],[Profit]]&gt;=5000, "Medium", Cleaned_Sales_data[[#This Row],[Profit]]&gt;=0, "Low", Cleaned_Sales_data[[#This Row],[Profit]] &lt;0, "Loss")</f>
        <v>Low</v>
      </c>
      <c r="V231" t="str">
        <f t="shared" si="3"/>
        <v>UnderPerforming</v>
      </c>
      <c r="W231" s="3">
        <v>46113</v>
      </c>
    </row>
    <row r="232" spans="1:23">
      <c r="A232" t="s">
        <v>298</v>
      </c>
      <c r="B232" s="3">
        <v>45821</v>
      </c>
      <c r="C232" t="s">
        <v>24</v>
      </c>
      <c r="D232" t="str">
        <f>INDEX(Raw_product_master[Category],MATCH(Cleaned_Sales_data[[#This Row],[Product]],Raw_product_master[Product],0))</f>
        <v>Accessories</v>
      </c>
      <c r="E232" t="s">
        <v>63</v>
      </c>
      <c r="F232" t="s">
        <v>20</v>
      </c>
      <c r="G232" t="s">
        <v>21</v>
      </c>
      <c r="H232">
        <v>5</v>
      </c>
      <c r="I232">
        <v>3500</v>
      </c>
      <c r="J232" s="10">
        <v>0.1</v>
      </c>
      <c r="K232">
        <v>17500</v>
      </c>
      <c r="L232">
        <v>15750</v>
      </c>
      <c r="M232">
        <v>11900</v>
      </c>
      <c r="N232">
        <v>372</v>
      </c>
      <c r="O232">
        <v>771</v>
      </c>
      <c r="P232">
        <f>INDEX(Raw_product_master[Standard_Cost_Per_Unit],MATCH(Cleaned_Sales_data[[#This Row],[Product]],Raw_product_master[Product],0))</f>
        <v>2380</v>
      </c>
      <c r="Q232">
        <v>2707</v>
      </c>
      <c r="R232" s="11">
        <v>0.17187301587301601</v>
      </c>
      <c r="S232" s="11">
        <f>INDEX(Raw_product_master[Target_Margin], MATCH(Cleaned_Sales_data[[#This Row],[Product]],Raw_product_master[Product], 0 ))</f>
        <v>0.2</v>
      </c>
      <c r="T232" t="str">
        <f>IF(Cleaned_Sales_data[[#This Row],[Profit]]&gt;0, "Profitable", "Loss")</f>
        <v>Profitable</v>
      </c>
      <c r="U232" t="str">
        <f>_xlfn.IFS(Cleaned_Sales_data[[#This Row],[Profit]]&gt;=10000, "High", Cleaned_Sales_data[[#This Row],[Profit]]&gt;=5000, "Medium", Cleaned_Sales_data[[#This Row],[Profit]]&gt;=0, "Low", Cleaned_Sales_data[[#This Row],[Profit]] &lt;0, "Loss")</f>
        <v>Low</v>
      </c>
      <c r="V232" t="str">
        <f t="shared" si="3"/>
        <v>UnderPerforming</v>
      </c>
      <c r="W232" s="3">
        <v>45809</v>
      </c>
    </row>
    <row r="233" spans="1:23">
      <c r="A233" t="s">
        <v>305</v>
      </c>
      <c r="B233" s="3">
        <v>46023</v>
      </c>
      <c r="C233" t="s">
        <v>46</v>
      </c>
      <c r="D233" t="str">
        <f>INDEX(Raw_product_master[Category],MATCH(Cleaned_Sales_data[[#This Row],[Product]],Raw_product_master[Product],0))</f>
        <v>Office Equipment</v>
      </c>
      <c r="E233" t="s">
        <v>31</v>
      </c>
      <c r="F233" t="s">
        <v>20</v>
      </c>
      <c r="G233" t="s">
        <v>21</v>
      </c>
      <c r="H233">
        <v>1</v>
      </c>
      <c r="I233">
        <v>18000</v>
      </c>
      <c r="J233" s="10">
        <v>0.2</v>
      </c>
      <c r="K233">
        <v>18000</v>
      </c>
      <c r="L233">
        <v>14400</v>
      </c>
      <c r="M233">
        <v>14400</v>
      </c>
      <c r="N233">
        <v>476</v>
      </c>
      <c r="O233">
        <v>331</v>
      </c>
      <c r="P233">
        <f>INDEX(Raw_product_master[Standard_Cost_Per_Unit],MATCH(Cleaned_Sales_data[[#This Row],[Product]],Raw_product_master[Product],0))</f>
        <v>14400</v>
      </c>
      <c r="Q233">
        <v>-807</v>
      </c>
      <c r="R233" s="11">
        <v>-5.6041666666666698E-2</v>
      </c>
      <c r="S233" s="11">
        <f>INDEX(Raw_product_master[Target_Margin], MATCH(Cleaned_Sales_data[[#This Row],[Product]],Raw_product_master[Product], 0 ))</f>
        <v>0.15</v>
      </c>
      <c r="T233" t="str">
        <f>IF(Cleaned_Sales_data[[#This Row],[Profit]]&gt;0, "Profitable", "Loss")</f>
        <v>Loss</v>
      </c>
      <c r="U233" t="str">
        <f>_xlfn.IFS(Cleaned_Sales_data[[#This Row],[Profit]]&gt;=10000, "High", Cleaned_Sales_data[[#This Row],[Profit]]&gt;=5000, "Medium", Cleaned_Sales_data[[#This Row],[Profit]]&gt;=0, "Low", Cleaned_Sales_data[[#This Row],[Profit]] &lt;0, "Loss")</f>
        <v>Loss</v>
      </c>
      <c r="V233" t="str">
        <f t="shared" si="3"/>
        <v>UnderPerforming</v>
      </c>
      <c r="W233" s="3">
        <v>46023</v>
      </c>
    </row>
    <row r="234" spans="1:23">
      <c r="A234" t="s">
        <v>313</v>
      </c>
      <c r="B234" s="3">
        <v>45893</v>
      </c>
      <c r="C234" t="s">
        <v>61</v>
      </c>
      <c r="D234" t="str">
        <f>INDEX(Raw_product_master[Category],MATCH(Cleaned_Sales_data[[#This Row],[Product]],Raw_product_master[Product],0))</f>
        <v>Accessories</v>
      </c>
      <c r="E234" t="s">
        <v>19</v>
      </c>
      <c r="F234" t="s">
        <v>20</v>
      </c>
      <c r="G234" t="s">
        <v>21</v>
      </c>
      <c r="H234">
        <v>6</v>
      </c>
      <c r="I234">
        <v>4500</v>
      </c>
      <c r="J234" s="10">
        <v>0.1</v>
      </c>
      <c r="K234">
        <v>27000</v>
      </c>
      <c r="L234">
        <v>24300</v>
      </c>
      <c r="M234">
        <v>17550</v>
      </c>
      <c r="N234">
        <v>846</v>
      </c>
      <c r="O234">
        <v>762</v>
      </c>
      <c r="P234">
        <f>INDEX(Raw_product_master[Standard_Cost_Per_Unit],MATCH(Cleaned_Sales_data[[#This Row],[Product]],Raw_product_master[Product],0))</f>
        <v>2925</v>
      </c>
      <c r="Q234">
        <v>5142</v>
      </c>
      <c r="R234" s="11">
        <v>0.21160493827160501</v>
      </c>
      <c r="S234" s="11">
        <f>INDEX(Raw_product_master[Target_Margin], MATCH(Cleaned_Sales_data[[#This Row],[Product]],Raw_product_master[Product], 0 ))</f>
        <v>0.22</v>
      </c>
      <c r="T234" t="str">
        <f>IF(Cleaned_Sales_data[[#This Row],[Profit]]&gt;0, "Profitable", "Loss")</f>
        <v>Profitable</v>
      </c>
      <c r="U234" t="str">
        <f>_xlfn.IFS(Cleaned_Sales_data[[#This Row],[Profit]]&gt;=10000, "High", Cleaned_Sales_data[[#This Row],[Profit]]&gt;=5000, "Medium", Cleaned_Sales_data[[#This Row],[Profit]]&gt;=0, "Low", Cleaned_Sales_data[[#This Row],[Profit]] &lt;0, "Loss")</f>
        <v>Medium</v>
      </c>
      <c r="V234" t="str">
        <f t="shared" si="3"/>
        <v>UnderPerforming</v>
      </c>
      <c r="W234" s="3">
        <v>45870</v>
      </c>
    </row>
    <row r="235" spans="1:23">
      <c r="A235" t="s">
        <v>323</v>
      </c>
      <c r="B235" s="3">
        <v>46157</v>
      </c>
      <c r="C235" t="s">
        <v>18</v>
      </c>
      <c r="D235" t="str">
        <f>INDEX(Raw_product_master[Category],MATCH(Cleaned_Sales_data[[#This Row],[Product]],Raw_product_master[Product],0))</f>
        <v>Computers</v>
      </c>
      <c r="E235" t="s">
        <v>31</v>
      </c>
      <c r="F235" t="s">
        <v>20</v>
      </c>
      <c r="G235" t="s">
        <v>21</v>
      </c>
      <c r="H235">
        <v>1</v>
      </c>
      <c r="I235">
        <v>32000</v>
      </c>
      <c r="J235" s="10">
        <v>0.08</v>
      </c>
      <c r="K235">
        <v>32000</v>
      </c>
      <c r="L235">
        <v>29440</v>
      </c>
      <c r="M235">
        <v>26240</v>
      </c>
      <c r="N235">
        <v>535</v>
      </c>
      <c r="O235">
        <v>1178</v>
      </c>
      <c r="P235">
        <f>INDEX(Raw_product_master[Standard_Cost_Per_Unit],MATCH(Cleaned_Sales_data[[#This Row],[Product]],Raw_product_master[Product],0))</f>
        <v>26240</v>
      </c>
      <c r="Q235">
        <v>1487</v>
      </c>
      <c r="R235" s="11">
        <v>5.0509510869565198E-2</v>
      </c>
      <c r="S235" s="11">
        <f>INDEX(Raw_product_master[Target_Margin], MATCH(Cleaned_Sales_data[[#This Row],[Product]],Raw_product_master[Product], 0 ))</f>
        <v>0.12</v>
      </c>
      <c r="T235" t="str">
        <f>IF(Cleaned_Sales_data[[#This Row],[Profit]]&gt;0, "Profitable", "Loss")</f>
        <v>Profitable</v>
      </c>
      <c r="U235" t="str">
        <f>_xlfn.IFS(Cleaned_Sales_data[[#This Row],[Profit]]&gt;=10000, "High", Cleaned_Sales_data[[#This Row],[Profit]]&gt;=5000, "Medium", Cleaned_Sales_data[[#This Row],[Profit]]&gt;=0, "Low", Cleaned_Sales_data[[#This Row],[Profit]] &lt;0, "Loss")</f>
        <v>Low</v>
      </c>
      <c r="V235" t="str">
        <f t="shared" si="3"/>
        <v>UnderPerforming</v>
      </c>
      <c r="W235" s="3">
        <v>46143</v>
      </c>
    </row>
    <row r="236" spans="1:23">
      <c r="A236" t="s">
        <v>324</v>
      </c>
      <c r="B236" s="3">
        <v>45976</v>
      </c>
      <c r="C236" t="s">
        <v>61</v>
      </c>
      <c r="D236" t="str">
        <f>INDEX(Raw_product_master[Category],MATCH(Cleaned_Sales_data[[#This Row],[Product]],Raw_product_master[Product],0))</f>
        <v>Accessories</v>
      </c>
      <c r="E236" t="s">
        <v>34</v>
      </c>
      <c r="F236" t="s">
        <v>20</v>
      </c>
      <c r="G236" t="s">
        <v>21</v>
      </c>
      <c r="H236">
        <v>2</v>
      </c>
      <c r="I236">
        <v>4500</v>
      </c>
      <c r="J236" s="10">
        <v>0.08</v>
      </c>
      <c r="K236">
        <v>9000</v>
      </c>
      <c r="L236">
        <v>8280</v>
      </c>
      <c r="M236">
        <v>5850</v>
      </c>
      <c r="N236">
        <v>1411</v>
      </c>
      <c r="O236">
        <v>159</v>
      </c>
      <c r="P236">
        <f>INDEX(Raw_product_master[Standard_Cost_Per_Unit],MATCH(Cleaned_Sales_data[[#This Row],[Product]],Raw_product_master[Product],0))</f>
        <v>2925</v>
      </c>
      <c r="Q236">
        <v>860</v>
      </c>
      <c r="R236" s="11">
        <v>0.10386473429951699</v>
      </c>
      <c r="S236" s="11">
        <f>INDEX(Raw_product_master[Target_Margin], MATCH(Cleaned_Sales_data[[#This Row],[Product]],Raw_product_master[Product], 0 ))</f>
        <v>0.22</v>
      </c>
      <c r="T236" t="str">
        <f>IF(Cleaned_Sales_data[[#This Row],[Profit]]&gt;0, "Profitable", "Loss")</f>
        <v>Profitable</v>
      </c>
      <c r="U236" t="str">
        <f>_xlfn.IFS(Cleaned_Sales_data[[#This Row],[Profit]]&gt;=10000, "High", Cleaned_Sales_data[[#This Row],[Profit]]&gt;=5000, "Medium", Cleaned_Sales_data[[#This Row],[Profit]]&gt;=0, "Low", Cleaned_Sales_data[[#This Row],[Profit]] &lt;0, "Loss")</f>
        <v>Low</v>
      </c>
      <c r="V236" t="str">
        <f t="shared" si="3"/>
        <v>UnderPerforming</v>
      </c>
      <c r="W236" s="3">
        <v>45962</v>
      </c>
    </row>
    <row r="237" spans="1:23">
      <c r="A237" t="s">
        <v>333</v>
      </c>
      <c r="B237" s="3">
        <v>45862</v>
      </c>
      <c r="C237" t="s">
        <v>53</v>
      </c>
      <c r="D237" t="str">
        <f>INDEX(Raw_product_master[Category],MATCH(Cleaned_Sales_data[[#This Row],[Product]],Raw_product_master[Product],0))</f>
        <v>Accessories</v>
      </c>
      <c r="E237" t="s">
        <v>34</v>
      </c>
      <c r="F237" t="s">
        <v>20</v>
      </c>
      <c r="G237" t="s">
        <v>21</v>
      </c>
      <c r="H237">
        <v>6</v>
      </c>
      <c r="I237">
        <v>1500</v>
      </c>
      <c r="J237" s="10">
        <v>0.03</v>
      </c>
      <c r="K237">
        <v>9000</v>
      </c>
      <c r="L237">
        <v>8730</v>
      </c>
      <c r="M237">
        <v>4950</v>
      </c>
      <c r="N237">
        <v>1623</v>
      </c>
      <c r="O237">
        <v>2114</v>
      </c>
      <c r="P237">
        <f>INDEX(Raw_product_master[Standard_Cost_Per_Unit],MATCH(Cleaned_Sales_data[[#This Row],[Product]],Raw_product_master[Product],0))</f>
        <v>825</v>
      </c>
      <c r="Q237">
        <v>43</v>
      </c>
      <c r="R237" s="11">
        <v>4.92554410080183E-3</v>
      </c>
      <c r="S237" s="11">
        <f>INDEX(Raw_product_master[Target_Margin], MATCH(Cleaned_Sales_data[[#This Row],[Product]],Raw_product_master[Product], 0 ))</f>
        <v>0.3</v>
      </c>
      <c r="T237" t="str">
        <f>IF(Cleaned_Sales_data[[#This Row],[Profit]]&gt;0, "Profitable", "Loss")</f>
        <v>Profitable</v>
      </c>
      <c r="U237" t="str">
        <f>_xlfn.IFS(Cleaned_Sales_data[[#This Row],[Profit]]&gt;=10000, "High", Cleaned_Sales_data[[#This Row],[Profit]]&gt;=5000, "Medium", Cleaned_Sales_data[[#This Row],[Profit]]&gt;=0, "Low", Cleaned_Sales_data[[#This Row],[Profit]] &lt;0, "Loss")</f>
        <v>Low</v>
      </c>
      <c r="V237" t="str">
        <f t="shared" si="3"/>
        <v>UnderPerforming</v>
      </c>
      <c r="W237" s="3">
        <v>45839</v>
      </c>
    </row>
    <row r="238" spans="1:23">
      <c r="A238" t="s">
        <v>337</v>
      </c>
      <c r="B238" s="3">
        <v>46102</v>
      </c>
      <c r="C238" t="s">
        <v>46</v>
      </c>
      <c r="D238" t="str">
        <f>INDEX(Raw_product_master[Category],MATCH(Cleaned_Sales_data[[#This Row],[Product]],Raw_product_master[Product],0))</f>
        <v>Office Equipment</v>
      </c>
      <c r="E238" t="s">
        <v>63</v>
      </c>
      <c r="F238" t="s">
        <v>20</v>
      </c>
      <c r="G238" t="s">
        <v>21</v>
      </c>
      <c r="H238">
        <v>1</v>
      </c>
      <c r="I238">
        <v>18000</v>
      </c>
      <c r="J238" s="10">
        <v>0.05</v>
      </c>
      <c r="K238">
        <v>18000</v>
      </c>
      <c r="L238">
        <v>17100</v>
      </c>
      <c r="M238">
        <v>14400</v>
      </c>
      <c r="N238">
        <v>1052</v>
      </c>
      <c r="O238">
        <v>483</v>
      </c>
      <c r="P238">
        <f>INDEX(Raw_product_master[Standard_Cost_Per_Unit],MATCH(Cleaned_Sales_data[[#This Row],[Product]],Raw_product_master[Product],0))</f>
        <v>14400</v>
      </c>
      <c r="Q238">
        <v>1165</v>
      </c>
      <c r="R238" s="11">
        <v>6.8128654970760205E-2</v>
      </c>
      <c r="S238" s="11">
        <f>INDEX(Raw_product_master[Target_Margin], MATCH(Cleaned_Sales_data[[#This Row],[Product]],Raw_product_master[Product], 0 ))</f>
        <v>0.15</v>
      </c>
      <c r="T238" t="str">
        <f>IF(Cleaned_Sales_data[[#This Row],[Profit]]&gt;0, "Profitable", "Loss")</f>
        <v>Profitable</v>
      </c>
      <c r="U238" t="str">
        <f>_xlfn.IFS(Cleaned_Sales_data[[#This Row],[Profit]]&gt;=10000, "High", Cleaned_Sales_data[[#This Row],[Profit]]&gt;=5000, "Medium", Cleaned_Sales_data[[#This Row],[Profit]]&gt;=0, "Low", Cleaned_Sales_data[[#This Row],[Profit]] &lt;0, "Loss")</f>
        <v>Low</v>
      </c>
      <c r="V238" t="str">
        <f t="shared" si="3"/>
        <v>UnderPerforming</v>
      </c>
      <c r="W238" s="3">
        <v>46082</v>
      </c>
    </row>
    <row r="239" spans="1:23">
      <c r="A239" t="s">
        <v>344</v>
      </c>
      <c r="B239" s="3">
        <v>45884</v>
      </c>
      <c r="C239" t="s">
        <v>61</v>
      </c>
      <c r="D239" t="str">
        <f>INDEX(Raw_product_master[Category],MATCH(Cleaned_Sales_data[[#This Row],[Product]],Raw_product_master[Product],0))</f>
        <v>Accessories</v>
      </c>
      <c r="E239" t="s">
        <v>34</v>
      </c>
      <c r="F239" t="s">
        <v>20</v>
      </c>
      <c r="G239" t="s">
        <v>21</v>
      </c>
      <c r="H239">
        <v>3</v>
      </c>
      <c r="I239">
        <v>4500</v>
      </c>
      <c r="J239" s="10">
        <v>0.15</v>
      </c>
      <c r="K239">
        <v>13500</v>
      </c>
      <c r="L239">
        <v>11475</v>
      </c>
      <c r="M239">
        <v>8775</v>
      </c>
      <c r="N239">
        <v>1320</v>
      </c>
      <c r="O239">
        <v>1677</v>
      </c>
      <c r="P239">
        <f>INDEX(Raw_product_master[Standard_Cost_Per_Unit],MATCH(Cleaned_Sales_data[[#This Row],[Product]],Raw_product_master[Product],0))</f>
        <v>2925</v>
      </c>
      <c r="Q239">
        <v>-297</v>
      </c>
      <c r="R239" s="11">
        <v>-2.5882352941176499E-2</v>
      </c>
      <c r="S239" s="11">
        <f>INDEX(Raw_product_master[Target_Margin], MATCH(Cleaned_Sales_data[[#This Row],[Product]],Raw_product_master[Product], 0 ))</f>
        <v>0.22</v>
      </c>
      <c r="T239" t="str">
        <f>IF(Cleaned_Sales_data[[#This Row],[Profit]]&gt;0, "Profitable", "Loss")</f>
        <v>Loss</v>
      </c>
      <c r="U239" t="str">
        <f>_xlfn.IFS(Cleaned_Sales_data[[#This Row],[Profit]]&gt;=10000, "High", Cleaned_Sales_data[[#This Row],[Profit]]&gt;=5000, "Medium", Cleaned_Sales_data[[#This Row],[Profit]]&gt;=0, "Low", Cleaned_Sales_data[[#This Row],[Profit]] &lt;0, "Loss")</f>
        <v>Loss</v>
      </c>
      <c r="V239" t="str">
        <f t="shared" si="3"/>
        <v>UnderPerforming</v>
      </c>
      <c r="W239" s="3">
        <v>45870</v>
      </c>
    </row>
    <row r="240" spans="1:23">
      <c r="A240" t="s">
        <v>346</v>
      </c>
      <c r="B240" s="3">
        <v>45895</v>
      </c>
      <c r="C240" t="s">
        <v>53</v>
      </c>
      <c r="D240" t="str">
        <f>INDEX(Raw_product_master[Category],MATCH(Cleaned_Sales_data[[#This Row],[Product]],Raw_product_master[Product],0))</f>
        <v>Accessories</v>
      </c>
      <c r="E240" t="s">
        <v>25</v>
      </c>
      <c r="F240" t="s">
        <v>20</v>
      </c>
      <c r="G240" t="s">
        <v>21</v>
      </c>
      <c r="H240">
        <v>1</v>
      </c>
      <c r="I240">
        <v>1500</v>
      </c>
      <c r="J240" s="10">
        <v>0.08</v>
      </c>
      <c r="K240">
        <v>1500</v>
      </c>
      <c r="L240">
        <v>1380</v>
      </c>
      <c r="M240">
        <v>825</v>
      </c>
      <c r="N240">
        <v>1295</v>
      </c>
      <c r="O240">
        <v>1004</v>
      </c>
      <c r="P240">
        <f>INDEX(Raw_product_master[Standard_Cost_Per_Unit],MATCH(Cleaned_Sales_data[[#This Row],[Product]],Raw_product_master[Product],0))</f>
        <v>825</v>
      </c>
      <c r="Q240">
        <v>-1744</v>
      </c>
      <c r="R240" s="11">
        <v>-1.26376811594203</v>
      </c>
      <c r="S240" s="11">
        <f>INDEX(Raw_product_master[Target_Margin], MATCH(Cleaned_Sales_data[[#This Row],[Product]],Raw_product_master[Product], 0 ))</f>
        <v>0.3</v>
      </c>
      <c r="T240" t="str">
        <f>IF(Cleaned_Sales_data[[#This Row],[Profit]]&gt;0, "Profitable", "Loss")</f>
        <v>Loss</v>
      </c>
      <c r="U240" t="str">
        <f>_xlfn.IFS(Cleaned_Sales_data[[#This Row],[Profit]]&gt;=10000, "High", Cleaned_Sales_data[[#This Row],[Profit]]&gt;=5000, "Medium", Cleaned_Sales_data[[#This Row],[Profit]]&gt;=0, "Low", Cleaned_Sales_data[[#This Row],[Profit]] &lt;0, "Loss")</f>
        <v>Loss</v>
      </c>
      <c r="V240" t="str">
        <f t="shared" si="3"/>
        <v>UnderPerforming</v>
      </c>
      <c r="W240" s="3">
        <v>45870</v>
      </c>
    </row>
    <row r="241" spans="1:23">
      <c r="A241" t="s">
        <v>347</v>
      </c>
      <c r="B241" s="3">
        <v>45940</v>
      </c>
      <c r="C241" t="s">
        <v>53</v>
      </c>
      <c r="D241" t="str">
        <f>INDEX(Raw_product_master[Category],MATCH(Cleaned_Sales_data[[#This Row],[Product]],Raw_product_master[Product],0))</f>
        <v>Accessories</v>
      </c>
      <c r="E241" t="s">
        <v>25</v>
      </c>
      <c r="F241" t="s">
        <v>20</v>
      </c>
      <c r="G241" t="s">
        <v>21</v>
      </c>
      <c r="H241">
        <v>2</v>
      </c>
      <c r="I241">
        <v>1500</v>
      </c>
      <c r="J241" s="10">
        <v>0.05</v>
      </c>
      <c r="K241">
        <v>3000</v>
      </c>
      <c r="L241">
        <v>2850</v>
      </c>
      <c r="M241">
        <v>1650</v>
      </c>
      <c r="N241">
        <v>586</v>
      </c>
      <c r="O241">
        <v>358</v>
      </c>
      <c r="P241">
        <f>INDEX(Raw_product_master[Standard_Cost_Per_Unit],MATCH(Cleaned_Sales_data[[#This Row],[Product]],Raw_product_master[Product],0))</f>
        <v>825</v>
      </c>
      <c r="Q241">
        <v>256</v>
      </c>
      <c r="R241" s="11">
        <v>8.9824561403508696E-2</v>
      </c>
      <c r="S241" s="11">
        <f>INDEX(Raw_product_master[Target_Margin], MATCH(Cleaned_Sales_data[[#This Row],[Product]],Raw_product_master[Product], 0 ))</f>
        <v>0.3</v>
      </c>
      <c r="T241" t="str">
        <f>IF(Cleaned_Sales_data[[#This Row],[Profit]]&gt;0, "Profitable", "Loss")</f>
        <v>Profitable</v>
      </c>
      <c r="U241" t="str">
        <f>_xlfn.IFS(Cleaned_Sales_data[[#This Row],[Profit]]&gt;=10000, "High", Cleaned_Sales_data[[#This Row],[Profit]]&gt;=5000, "Medium", Cleaned_Sales_data[[#This Row],[Profit]]&gt;=0, "Low", Cleaned_Sales_data[[#This Row],[Profit]] &lt;0, "Loss")</f>
        <v>Low</v>
      </c>
      <c r="V241" t="str">
        <f t="shared" si="3"/>
        <v>UnderPerforming</v>
      </c>
      <c r="W241" s="3">
        <v>45931</v>
      </c>
    </row>
    <row r="242" spans="1:23">
      <c r="A242" t="s">
        <v>357</v>
      </c>
      <c r="B242" s="3">
        <v>45884</v>
      </c>
      <c r="C242" t="s">
        <v>18</v>
      </c>
      <c r="D242" t="str">
        <f>INDEX(Raw_product_master[Category],MATCH(Cleaned_Sales_data[[#This Row],[Product]],Raw_product_master[Product],0))</f>
        <v>Computers</v>
      </c>
      <c r="E242" t="s">
        <v>63</v>
      </c>
      <c r="F242" t="s">
        <v>20</v>
      </c>
      <c r="G242" t="s">
        <v>21</v>
      </c>
      <c r="H242">
        <v>3</v>
      </c>
      <c r="I242">
        <v>32000</v>
      </c>
      <c r="J242" s="10">
        <v>0.1</v>
      </c>
      <c r="K242">
        <v>96000</v>
      </c>
      <c r="L242">
        <v>86400</v>
      </c>
      <c r="M242">
        <v>78720</v>
      </c>
      <c r="N242">
        <v>342</v>
      </c>
      <c r="O242">
        <v>632</v>
      </c>
      <c r="P242">
        <f>INDEX(Raw_product_master[Standard_Cost_Per_Unit],MATCH(Cleaned_Sales_data[[#This Row],[Product]],Raw_product_master[Product],0))</f>
        <v>26240</v>
      </c>
      <c r="Q242">
        <v>6706</v>
      </c>
      <c r="R242" s="11">
        <v>7.7615740740740694E-2</v>
      </c>
      <c r="S242" s="11">
        <f>INDEX(Raw_product_master[Target_Margin], MATCH(Cleaned_Sales_data[[#This Row],[Product]],Raw_product_master[Product], 0 ))</f>
        <v>0.12</v>
      </c>
      <c r="T242" t="str">
        <f>IF(Cleaned_Sales_data[[#This Row],[Profit]]&gt;0, "Profitable", "Loss")</f>
        <v>Profitable</v>
      </c>
      <c r="U242" t="str">
        <f>_xlfn.IFS(Cleaned_Sales_data[[#This Row],[Profit]]&gt;=10000, "High", Cleaned_Sales_data[[#This Row],[Profit]]&gt;=5000, "Medium", Cleaned_Sales_data[[#This Row],[Profit]]&gt;=0, "Low", Cleaned_Sales_data[[#This Row],[Profit]] &lt;0, "Loss")</f>
        <v>Medium</v>
      </c>
      <c r="V242" t="str">
        <f t="shared" si="3"/>
        <v>UnderPerforming</v>
      </c>
      <c r="W242" s="3">
        <v>45870</v>
      </c>
    </row>
    <row r="243" spans="1:23">
      <c r="A243" t="s">
        <v>366</v>
      </c>
      <c r="B243" s="3">
        <v>46126</v>
      </c>
      <c r="C243" t="s">
        <v>53</v>
      </c>
      <c r="D243" t="str">
        <f>INDEX(Raw_product_master[Category],MATCH(Cleaned_Sales_data[[#This Row],[Product]],Raw_product_master[Product],0))</f>
        <v>Accessories</v>
      </c>
      <c r="E243" t="s">
        <v>51</v>
      </c>
      <c r="F243" t="s">
        <v>20</v>
      </c>
      <c r="G243" t="s">
        <v>21</v>
      </c>
      <c r="H243">
        <v>3</v>
      </c>
      <c r="I243">
        <v>1500</v>
      </c>
      <c r="J243" s="10">
        <v>0.03</v>
      </c>
      <c r="K243">
        <v>4500</v>
      </c>
      <c r="L243">
        <v>4365</v>
      </c>
      <c r="M243">
        <v>2475</v>
      </c>
      <c r="N243">
        <v>693</v>
      </c>
      <c r="O243">
        <v>1685</v>
      </c>
      <c r="P243">
        <f>INDEX(Raw_product_master[Standard_Cost_Per_Unit],MATCH(Cleaned_Sales_data[[#This Row],[Product]],Raw_product_master[Product],0))</f>
        <v>825</v>
      </c>
      <c r="Q243">
        <v>-488</v>
      </c>
      <c r="R243" s="11">
        <v>-0.11179839633447899</v>
      </c>
      <c r="S243" s="11">
        <f>INDEX(Raw_product_master[Target_Margin], MATCH(Cleaned_Sales_data[[#This Row],[Product]],Raw_product_master[Product], 0 ))</f>
        <v>0.3</v>
      </c>
      <c r="T243" t="str">
        <f>IF(Cleaned_Sales_data[[#This Row],[Profit]]&gt;0, "Profitable", "Loss")</f>
        <v>Loss</v>
      </c>
      <c r="U243" t="str">
        <f>_xlfn.IFS(Cleaned_Sales_data[[#This Row],[Profit]]&gt;=10000, "High", Cleaned_Sales_data[[#This Row],[Profit]]&gt;=5000, "Medium", Cleaned_Sales_data[[#This Row],[Profit]]&gt;=0, "Low", Cleaned_Sales_data[[#This Row],[Profit]] &lt;0, "Loss")</f>
        <v>Loss</v>
      </c>
      <c r="V243" t="str">
        <f t="shared" si="3"/>
        <v>UnderPerforming</v>
      </c>
      <c r="W243" s="3">
        <v>46113</v>
      </c>
    </row>
    <row r="244" spans="1:23">
      <c r="A244" t="s">
        <v>369</v>
      </c>
      <c r="B244" s="3">
        <v>46190</v>
      </c>
      <c r="C244" t="s">
        <v>50</v>
      </c>
      <c r="D244" t="str">
        <f>INDEX(Raw_product_master[Category],MATCH(Cleaned_Sales_data[[#This Row],[Product]],Raw_product_master[Product],0))</f>
        <v>Accessories</v>
      </c>
      <c r="E244" t="s">
        <v>19</v>
      </c>
      <c r="F244" t="s">
        <v>20</v>
      </c>
      <c r="G244" t="s">
        <v>21</v>
      </c>
      <c r="H244">
        <v>2</v>
      </c>
      <c r="I244">
        <v>2500</v>
      </c>
      <c r="J244" s="10">
        <v>0.03</v>
      </c>
      <c r="K244">
        <v>5000</v>
      </c>
      <c r="L244">
        <v>4850</v>
      </c>
      <c r="M244">
        <v>3100</v>
      </c>
      <c r="N244">
        <v>605</v>
      </c>
      <c r="O244">
        <v>2379</v>
      </c>
      <c r="P244">
        <f>INDEX(Raw_product_master[Standard_Cost_Per_Unit],MATCH(Cleaned_Sales_data[[#This Row],[Product]],Raw_product_master[Product],0))</f>
        <v>1550</v>
      </c>
      <c r="Q244">
        <v>-1234</v>
      </c>
      <c r="R244" s="11">
        <v>-0.25443298969072198</v>
      </c>
      <c r="S244" s="11">
        <f>INDEX(Raw_product_master[Target_Margin], MATCH(Cleaned_Sales_data[[#This Row],[Product]],Raw_product_master[Product], 0 ))</f>
        <v>0.25</v>
      </c>
      <c r="T244" t="str">
        <f>IF(Cleaned_Sales_data[[#This Row],[Profit]]&gt;0, "Profitable", "Loss")</f>
        <v>Loss</v>
      </c>
      <c r="U244" t="str">
        <f>_xlfn.IFS(Cleaned_Sales_data[[#This Row],[Profit]]&gt;=10000, "High", Cleaned_Sales_data[[#This Row],[Profit]]&gt;=5000, "Medium", Cleaned_Sales_data[[#This Row],[Profit]]&gt;=0, "Low", Cleaned_Sales_data[[#This Row],[Profit]] &lt;0, "Loss")</f>
        <v>Loss</v>
      </c>
      <c r="V244" t="str">
        <f t="shared" si="3"/>
        <v>UnderPerforming</v>
      </c>
      <c r="W244" s="3">
        <v>46174</v>
      </c>
    </row>
    <row r="245" spans="1:23">
      <c r="A245" t="s">
        <v>370</v>
      </c>
      <c r="B245" s="3">
        <v>46063</v>
      </c>
      <c r="C245" t="s">
        <v>50</v>
      </c>
      <c r="D245" t="str">
        <f>INDEX(Raw_product_master[Category],MATCH(Cleaned_Sales_data[[#This Row],[Product]],Raw_product_master[Product],0))</f>
        <v>Accessories</v>
      </c>
      <c r="E245" t="s">
        <v>31</v>
      </c>
      <c r="F245" t="s">
        <v>20</v>
      </c>
      <c r="G245" t="s">
        <v>21</v>
      </c>
      <c r="H245">
        <v>4</v>
      </c>
      <c r="I245">
        <v>2500</v>
      </c>
      <c r="J245" s="10">
        <v>0.08</v>
      </c>
      <c r="K245">
        <v>10000</v>
      </c>
      <c r="L245">
        <v>9200</v>
      </c>
      <c r="M245">
        <v>6200</v>
      </c>
      <c r="N245">
        <v>547</v>
      </c>
      <c r="O245">
        <v>871</v>
      </c>
      <c r="P245">
        <f>INDEX(Raw_product_master[Standard_Cost_Per_Unit],MATCH(Cleaned_Sales_data[[#This Row],[Product]],Raw_product_master[Product],0))</f>
        <v>1550</v>
      </c>
      <c r="Q245">
        <v>1582</v>
      </c>
      <c r="R245" s="11">
        <v>0.17195652173913001</v>
      </c>
      <c r="S245" s="11">
        <f>INDEX(Raw_product_master[Target_Margin], MATCH(Cleaned_Sales_data[[#This Row],[Product]],Raw_product_master[Product], 0 ))</f>
        <v>0.25</v>
      </c>
      <c r="T245" t="str">
        <f>IF(Cleaned_Sales_data[[#This Row],[Profit]]&gt;0, "Profitable", "Loss")</f>
        <v>Profitable</v>
      </c>
      <c r="U245" t="str">
        <f>_xlfn.IFS(Cleaned_Sales_data[[#This Row],[Profit]]&gt;=10000, "High", Cleaned_Sales_data[[#This Row],[Profit]]&gt;=5000, "Medium", Cleaned_Sales_data[[#This Row],[Profit]]&gt;=0, "Low", Cleaned_Sales_data[[#This Row],[Profit]] &lt;0, "Loss")</f>
        <v>Low</v>
      </c>
      <c r="V245" t="str">
        <f t="shared" si="3"/>
        <v>UnderPerforming</v>
      </c>
      <c r="W245" s="3">
        <v>46054</v>
      </c>
    </row>
    <row r="246" spans="1:23">
      <c r="A246" t="s">
        <v>372</v>
      </c>
      <c r="B246" s="3">
        <v>46124</v>
      </c>
      <c r="C246" t="s">
        <v>75</v>
      </c>
      <c r="D246" t="str">
        <f>INDEX(Raw_product_master[Category],MATCH(Cleaned_Sales_data[[#This Row],[Product]],Raw_product_master[Product],0))</f>
        <v>Computers</v>
      </c>
      <c r="E246" t="s">
        <v>31</v>
      </c>
      <c r="F246" t="s">
        <v>20</v>
      </c>
      <c r="G246" t="s">
        <v>21</v>
      </c>
      <c r="H246">
        <v>1</v>
      </c>
      <c r="I246">
        <v>65000</v>
      </c>
      <c r="J246" s="10">
        <v>0.05</v>
      </c>
      <c r="K246">
        <v>65000</v>
      </c>
      <c r="L246">
        <v>61750</v>
      </c>
      <c r="M246">
        <v>54600</v>
      </c>
      <c r="N246">
        <v>929</v>
      </c>
      <c r="O246">
        <v>382</v>
      </c>
      <c r="P246">
        <f>INDEX(Raw_product_master[Standard_Cost_Per_Unit],MATCH(Cleaned_Sales_data[[#This Row],[Product]],Raw_product_master[Product],0))</f>
        <v>54600</v>
      </c>
      <c r="Q246">
        <v>5839</v>
      </c>
      <c r="R246" s="11">
        <v>9.4558704453441306E-2</v>
      </c>
      <c r="S246" s="11">
        <f>INDEX(Raw_product_master[Target_Margin], MATCH(Cleaned_Sales_data[[#This Row],[Product]],Raw_product_master[Product], 0 ))</f>
        <v>0.12</v>
      </c>
      <c r="T246" t="str">
        <f>IF(Cleaned_Sales_data[[#This Row],[Profit]]&gt;0, "Profitable", "Loss")</f>
        <v>Profitable</v>
      </c>
      <c r="U246" t="str">
        <f>_xlfn.IFS(Cleaned_Sales_data[[#This Row],[Profit]]&gt;=10000, "High", Cleaned_Sales_data[[#This Row],[Profit]]&gt;=5000, "Medium", Cleaned_Sales_data[[#This Row],[Profit]]&gt;=0, "Low", Cleaned_Sales_data[[#This Row],[Profit]] &lt;0, "Loss")</f>
        <v>Medium</v>
      </c>
      <c r="V246" t="str">
        <f t="shared" si="3"/>
        <v>UnderPerforming</v>
      </c>
      <c r="W246" s="3">
        <v>46113</v>
      </c>
    </row>
    <row r="247" spans="1:23">
      <c r="A247" t="s">
        <v>373</v>
      </c>
      <c r="B247" s="3">
        <v>46089</v>
      </c>
      <c r="C247" t="s">
        <v>24</v>
      </c>
      <c r="D247" t="str">
        <f>INDEX(Raw_product_master[Category],MATCH(Cleaned_Sales_data[[#This Row],[Product]],Raw_product_master[Product],0))</f>
        <v>Accessories</v>
      </c>
      <c r="E247" t="s">
        <v>51</v>
      </c>
      <c r="F247" t="s">
        <v>20</v>
      </c>
      <c r="G247" t="s">
        <v>21</v>
      </c>
      <c r="H247">
        <v>1</v>
      </c>
      <c r="I247">
        <v>3500</v>
      </c>
      <c r="J247" s="10">
        <v>0.08</v>
      </c>
      <c r="K247">
        <v>3500</v>
      </c>
      <c r="L247">
        <v>3220</v>
      </c>
      <c r="M247">
        <v>2380</v>
      </c>
      <c r="N247">
        <v>341</v>
      </c>
      <c r="O247">
        <v>1414</v>
      </c>
      <c r="P247">
        <f>INDEX(Raw_product_master[Standard_Cost_Per_Unit],MATCH(Cleaned_Sales_data[[#This Row],[Product]],Raw_product_master[Product],0))</f>
        <v>2380</v>
      </c>
      <c r="Q247">
        <v>-915</v>
      </c>
      <c r="R247" s="11">
        <v>-0.28416149068322999</v>
      </c>
      <c r="S247" s="11">
        <f>INDEX(Raw_product_master[Target_Margin], MATCH(Cleaned_Sales_data[[#This Row],[Product]],Raw_product_master[Product], 0 ))</f>
        <v>0.2</v>
      </c>
      <c r="T247" t="str">
        <f>IF(Cleaned_Sales_data[[#This Row],[Profit]]&gt;0, "Profitable", "Loss")</f>
        <v>Loss</v>
      </c>
      <c r="U247" t="str">
        <f>_xlfn.IFS(Cleaned_Sales_data[[#This Row],[Profit]]&gt;=10000, "High", Cleaned_Sales_data[[#This Row],[Profit]]&gt;=5000, "Medium", Cleaned_Sales_data[[#This Row],[Profit]]&gt;=0, "Low", Cleaned_Sales_data[[#This Row],[Profit]] &lt;0, "Loss")</f>
        <v>Loss</v>
      </c>
      <c r="V247" t="str">
        <f t="shared" si="3"/>
        <v>UnderPerforming</v>
      </c>
      <c r="W247" s="3">
        <v>46082</v>
      </c>
    </row>
    <row r="248" spans="1:23">
      <c r="A248" t="s">
        <v>376</v>
      </c>
      <c r="B248" s="3">
        <v>45840</v>
      </c>
      <c r="C248" t="s">
        <v>24</v>
      </c>
      <c r="D248" t="str">
        <f>INDEX(Raw_product_master[Category],MATCH(Cleaned_Sales_data[[#This Row],[Product]],Raw_product_master[Product],0))</f>
        <v>Accessories</v>
      </c>
      <c r="E248" t="s">
        <v>63</v>
      </c>
      <c r="F248" t="s">
        <v>20</v>
      </c>
      <c r="G248" t="s">
        <v>21</v>
      </c>
      <c r="H248">
        <v>1</v>
      </c>
      <c r="I248">
        <v>3500</v>
      </c>
      <c r="J248" s="10">
        <v>0.08</v>
      </c>
      <c r="K248">
        <v>3500</v>
      </c>
      <c r="L248">
        <v>3220</v>
      </c>
      <c r="M248">
        <v>2380</v>
      </c>
      <c r="N248">
        <v>1055</v>
      </c>
      <c r="O248">
        <v>1912</v>
      </c>
      <c r="P248">
        <f>INDEX(Raw_product_master[Standard_Cost_Per_Unit],MATCH(Cleaned_Sales_data[[#This Row],[Product]],Raw_product_master[Product],0))</f>
        <v>2380</v>
      </c>
      <c r="Q248">
        <v>-2127</v>
      </c>
      <c r="R248" s="11">
        <v>-0.66055900621118002</v>
      </c>
      <c r="S248" s="11">
        <f>INDEX(Raw_product_master[Target_Margin], MATCH(Cleaned_Sales_data[[#This Row],[Product]],Raw_product_master[Product], 0 ))</f>
        <v>0.2</v>
      </c>
      <c r="T248" t="str">
        <f>IF(Cleaned_Sales_data[[#This Row],[Profit]]&gt;0, "Profitable", "Loss")</f>
        <v>Loss</v>
      </c>
      <c r="U248" t="str">
        <f>_xlfn.IFS(Cleaned_Sales_data[[#This Row],[Profit]]&gt;=10000, "High", Cleaned_Sales_data[[#This Row],[Profit]]&gt;=5000, "Medium", Cleaned_Sales_data[[#This Row],[Profit]]&gt;=0, "Low", Cleaned_Sales_data[[#This Row],[Profit]] &lt;0, "Loss")</f>
        <v>Loss</v>
      </c>
      <c r="V248" t="str">
        <f t="shared" si="3"/>
        <v>UnderPerforming</v>
      </c>
      <c r="W248" s="3">
        <v>45839</v>
      </c>
    </row>
    <row r="249" spans="1:23">
      <c r="A249" t="s">
        <v>387</v>
      </c>
      <c r="B249" s="3">
        <v>45775</v>
      </c>
      <c r="C249" t="s">
        <v>18</v>
      </c>
      <c r="D249" t="str">
        <f>INDEX(Raw_product_master[Category],MATCH(Cleaned_Sales_data[[#This Row],[Product]],Raw_product_master[Product],0))</f>
        <v>Computers</v>
      </c>
      <c r="E249" t="s">
        <v>31</v>
      </c>
      <c r="F249" t="s">
        <v>20</v>
      </c>
      <c r="G249" t="s">
        <v>21</v>
      </c>
      <c r="H249">
        <v>3</v>
      </c>
      <c r="I249">
        <v>32000</v>
      </c>
      <c r="J249" s="10">
        <v>0.05</v>
      </c>
      <c r="K249">
        <v>96000</v>
      </c>
      <c r="L249">
        <v>91200</v>
      </c>
      <c r="M249">
        <v>78720</v>
      </c>
      <c r="N249">
        <v>759</v>
      </c>
      <c r="O249">
        <v>2141</v>
      </c>
      <c r="P249">
        <f>INDEX(Raw_product_master[Standard_Cost_Per_Unit],MATCH(Cleaned_Sales_data[[#This Row],[Product]],Raw_product_master[Product],0))</f>
        <v>26240</v>
      </c>
      <c r="Q249">
        <v>9580</v>
      </c>
      <c r="R249" s="11">
        <v>0.10504385964912299</v>
      </c>
      <c r="S249" s="11">
        <f>INDEX(Raw_product_master[Target_Margin], MATCH(Cleaned_Sales_data[[#This Row],[Product]],Raw_product_master[Product], 0 ))</f>
        <v>0.12</v>
      </c>
      <c r="T249" t="str">
        <f>IF(Cleaned_Sales_data[[#This Row],[Profit]]&gt;0, "Profitable", "Loss")</f>
        <v>Profitable</v>
      </c>
      <c r="U249" t="str">
        <f>_xlfn.IFS(Cleaned_Sales_data[[#This Row],[Profit]]&gt;=10000, "High", Cleaned_Sales_data[[#This Row],[Profit]]&gt;=5000, "Medium", Cleaned_Sales_data[[#This Row],[Profit]]&gt;=0, "Low", Cleaned_Sales_data[[#This Row],[Profit]] &lt;0, "Loss")</f>
        <v>Medium</v>
      </c>
      <c r="V249" t="str">
        <f t="shared" si="3"/>
        <v>UnderPerforming</v>
      </c>
      <c r="W249" s="3">
        <v>45748</v>
      </c>
    </row>
    <row r="250" spans="1:23">
      <c r="A250" t="s">
        <v>388</v>
      </c>
      <c r="B250" s="3">
        <v>45850</v>
      </c>
      <c r="C250" t="s">
        <v>30</v>
      </c>
      <c r="D250" t="str">
        <f>INDEX(Raw_product_master[Category],MATCH(Cleaned_Sales_data[[#This Row],[Product]],Raw_product_master[Product],0))</f>
        <v>Displays</v>
      </c>
      <c r="E250" t="s">
        <v>31</v>
      </c>
      <c r="F250" t="s">
        <v>20</v>
      </c>
      <c r="G250" t="s">
        <v>21</v>
      </c>
      <c r="H250">
        <v>1</v>
      </c>
      <c r="I250">
        <v>28000</v>
      </c>
      <c r="J250" s="10">
        <v>0.08</v>
      </c>
      <c r="K250">
        <v>28000</v>
      </c>
      <c r="L250">
        <v>25760</v>
      </c>
      <c r="M250">
        <v>21840</v>
      </c>
      <c r="N250">
        <v>620</v>
      </c>
      <c r="O250">
        <v>1691</v>
      </c>
      <c r="P250">
        <f>INDEX(Raw_product_master[Standard_Cost_Per_Unit],MATCH(Cleaned_Sales_data[[#This Row],[Product]],Raw_product_master[Product],0))</f>
        <v>21840</v>
      </c>
      <c r="Q250">
        <v>1609</v>
      </c>
      <c r="R250" s="11">
        <v>6.2461180124223602E-2</v>
      </c>
      <c r="S250" s="11">
        <f>INDEX(Raw_product_master[Target_Margin], MATCH(Cleaned_Sales_data[[#This Row],[Product]],Raw_product_master[Product], 0 ))</f>
        <v>0.18</v>
      </c>
      <c r="T250" t="str">
        <f>IF(Cleaned_Sales_data[[#This Row],[Profit]]&gt;0, "Profitable", "Loss")</f>
        <v>Profitable</v>
      </c>
      <c r="U250" t="str">
        <f>_xlfn.IFS(Cleaned_Sales_data[[#This Row],[Profit]]&gt;=10000, "High", Cleaned_Sales_data[[#This Row],[Profit]]&gt;=5000, "Medium", Cleaned_Sales_data[[#This Row],[Profit]]&gt;=0, "Low", Cleaned_Sales_data[[#This Row],[Profit]] &lt;0, "Loss")</f>
        <v>Low</v>
      </c>
      <c r="V250" t="str">
        <f t="shared" si="3"/>
        <v>UnderPerforming</v>
      </c>
      <c r="W250" s="3">
        <v>45839</v>
      </c>
    </row>
    <row r="251" spans="1:23">
      <c r="A251" t="s">
        <v>389</v>
      </c>
      <c r="B251" s="3">
        <v>46052</v>
      </c>
      <c r="C251" t="s">
        <v>30</v>
      </c>
      <c r="D251" t="str">
        <f>INDEX(Raw_product_master[Category],MATCH(Cleaned_Sales_data[[#This Row],[Product]],Raw_product_master[Product],0))</f>
        <v>Displays</v>
      </c>
      <c r="E251" t="s">
        <v>63</v>
      </c>
      <c r="F251" t="s">
        <v>20</v>
      </c>
      <c r="G251" t="s">
        <v>21</v>
      </c>
      <c r="H251">
        <v>3</v>
      </c>
      <c r="I251">
        <v>28000</v>
      </c>
      <c r="J251" s="10">
        <v>0.05</v>
      </c>
      <c r="K251">
        <v>84000</v>
      </c>
      <c r="L251">
        <v>79800</v>
      </c>
      <c r="M251">
        <v>65520</v>
      </c>
      <c r="N251">
        <v>1702</v>
      </c>
      <c r="O251">
        <v>225</v>
      </c>
      <c r="P251">
        <f>INDEX(Raw_product_master[Standard_Cost_Per_Unit],MATCH(Cleaned_Sales_data[[#This Row],[Product]],Raw_product_master[Product],0))</f>
        <v>21840</v>
      </c>
      <c r="Q251">
        <v>12353</v>
      </c>
      <c r="R251" s="11">
        <v>0.15479949874686699</v>
      </c>
      <c r="S251" s="11">
        <f>INDEX(Raw_product_master[Target_Margin], MATCH(Cleaned_Sales_data[[#This Row],[Product]],Raw_product_master[Product], 0 ))</f>
        <v>0.18</v>
      </c>
      <c r="T251" t="str">
        <f>IF(Cleaned_Sales_data[[#This Row],[Profit]]&gt;0, "Profitable", "Loss")</f>
        <v>Profitable</v>
      </c>
      <c r="U251" t="str">
        <f>_xlfn.IFS(Cleaned_Sales_data[[#This Row],[Profit]]&gt;=10000, "High", Cleaned_Sales_data[[#This Row],[Profit]]&gt;=5000, "Medium", Cleaned_Sales_data[[#This Row],[Profit]]&gt;=0, "Low", Cleaned_Sales_data[[#This Row],[Profit]] &lt;0, "Loss")</f>
        <v>High</v>
      </c>
      <c r="V251" t="str">
        <f t="shared" si="3"/>
        <v>UnderPerforming</v>
      </c>
      <c r="W251" s="3">
        <v>46023</v>
      </c>
    </row>
    <row r="252" spans="1:23">
      <c r="A252" t="s">
        <v>392</v>
      </c>
      <c r="B252" s="3">
        <v>45902</v>
      </c>
      <c r="C252" t="s">
        <v>50</v>
      </c>
      <c r="D252" t="str">
        <f>INDEX(Raw_product_master[Category],MATCH(Cleaned_Sales_data[[#This Row],[Product]],Raw_product_master[Product],0))</f>
        <v>Accessories</v>
      </c>
      <c r="E252" t="s">
        <v>34</v>
      </c>
      <c r="F252" t="s">
        <v>20</v>
      </c>
      <c r="G252" t="s">
        <v>21</v>
      </c>
      <c r="H252">
        <v>2</v>
      </c>
      <c r="I252">
        <v>2500</v>
      </c>
      <c r="J252" s="10">
        <v>0.05</v>
      </c>
      <c r="K252">
        <v>5000</v>
      </c>
      <c r="L252">
        <v>4750</v>
      </c>
      <c r="M252">
        <v>3100</v>
      </c>
      <c r="N252">
        <v>324</v>
      </c>
      <c r="O252">
        <v>1010</v>
      </c>
      <c r="P252">
        <f>INDEX(Raw_product_master[Standard_Cost_Per_Unit],MATCH(Cleaned_Sales_data[[#This Row],[Product]],Raw_product_master[Product],0))</f>
        <v>1550</v>
      </c>
      <c r="Q252">
        <v>316</v>
      </c>
      <c r="R252" s="11">
        <v>6.6526315789473697E-2</v>
      </c>
      <c r="S252" s="11">
        <f>INDEX(Raw_product_master[Target_Margin], MATCH(Cleaned_Sales_data[[#This Row],[Product]],Raw_product_master[Product], 0 ))</f>
        <v>0.25</v>
      </c>
      <c r="T252" t="str">
        <f>IF(Cleaned_Sales_data[[#This Row],[Profit]]&gt;0, "Profitable", "Loss")</f>
        <v>Profitable</v>
      </c>
      <c r="U252" t="str">
        <f>_xlfn.IFS(Cleaned_Sales_data[[#This Row],[Profit]]&gt;=10000, "High", Cleaned_Sales_data[[#This Row],[Profit]]&gt;=5000, "Medium", Cleaned_Sales_data[[#This Row],[Profit]]&gt;=0, "Low", Cleaned_Sales_data[[#This Row],[Profit]] &lt;0, "Loss")</f>
        <v>Low</v>
      </c>
      <c r="V252" t="str">
        <f t="shared" si="3"/>
        <v>UnderPerforming</v>
      </c>
      <c r="W252" s="3">
        <v>45901</v>
      </c>
    </row>
    <row r="253" spans="1:23">
      <c r="A253" t="s">
        <v>393</v>
      </c>
      <c r="B253" s="3">
        <v>45858</v>
      </c>
      <c r="C253" t="s">
        <v>24</v>
      </c>
      <c r="D253" t="str">
        <f>INDEX(Raw_product_master[Category],MATCH(Cleaned_Sales_data[[#This Row],[Product]],Raw_product_master[Product],0))</f>
        <v>Accessories</v>
      </c>
      <c r="E253" t="s">
        <v>63</v>
      </c>
      <c r="F253" t="s">
        <v>20</v>
      </c>
      <c r="G253" t="s">
        <v>21</v>
      </c>
      <c r="H253">
        <v>2</v>
      </c>
      <c r="I253">
        <v>3500</v>
      </c>
      <c r="J253" s="10">
        <v>0.05</v>
      </c>
      <c r="K253">
        <v>7000</v>
      </c>
      <c r="L253">
        <v>6650</v>
      </c>
      <c r="M253">
        <v>4760</v>
      </c>
      <c r="N253">
        <v>1258</v>
      </c>
      <c r="O253">
        <v>1831</v>
      </c>
      <c r="P253">
        <f>INDEX(Raw_product_master[Standard_Cost_Per_Unit],MATCH(Cleaned_Sales_data[[#This Row],[Product]],Raw_product_master[Product],0))</f>
        <v>2380</v>
      </c>
      <c r="Q253">
        <v>-1199</v>
      </c>
      <c r="R253" s="11">
        <v>-0.18030075187969899</v>
      </c>
      <c r="S253" s="11">
        <f>INDEX(Raw_product_master[Target_Margin], MATCH(Cleaned_Sales_data[[#This Row],[Product]],Raw_product_master[Product], 0 ))</f>
        <v>0.2</v>
      </c>
      <c r="T253" t="str">
        <f>IF(Cleaned_Sales_data[[#This Row],[Profit]]&gt;0, "Profitable", "Loss")</f>
        <v>Loss</v>
      </c>
      <c r="U253" t="str">
        <f>_xlfn.IFS(Cleaned_Sales_data[[#This Row],[Profit]]&gt;=10000, "High", Cleaned_Sales_data[[#This Row],[Profit]]&gt;=5000, "Medium", Cleaned_Sales_data[[#This Row],[Profit]]&gt;=0, "Low", Cleaned_Sales_data[[#This Row],[Profit]] &lt;0, "Loss")</f>
        <v>Loss</v>
      </c>
      <c r="V253" t="str">
        <f t="shared" si="3"/>
        <v>UnderPerforming</v>
      </c>
      <c r="W253" s="3">
        <v>45839</v>
      </c>
    </row>
    <row r="254" spans="1:23">
      <c r="A254" t="s">
        <v>394</v>
      </c>
      <c r="B254" s="3">
        <v>45725</v>
      </c>
      <c r="C254" t="s">
        <v>61</v>
      </c>
      <c r="D254" t="str">
        <f>INDEX(Raw_product_master[Category],MATCH(Cleaned_Sales_data[[#This Row],[Product]],Raw_product_master[Product],0))</f>
        <v>Accessories</v>
      </c>
      <c r="E254" t="s">
        <v>51</v>
      </c>
      <c r="F254" t="s">
        <v>20</v>
      </c>
      <c r="G254" t="s">
        <v>21</v>
      </c>
      <c r="H254">
        <v>4</v>
      </c>
      <c r="I254">
        <v>4500</v>
      </c>
      <c r="J254" s="10">
        <v>0</v>
      </c>
      <c r="K254">
        <v>18000</v>
      </c>
      <c r="L254">
        <v>18000</v>
      </c>
      <c r="M254">
        <v>11700</v>
      </c>
      <c r="N254">
        <v>1207</v>
      </c>
      <c r="O254">
        <v>1401</v>
      </c>
      <c r="P254">
        <f>INDEX(Raw_product_master[Standard_Cost_Per_Unit],MATCH(Cleaned_Sales_data[[#This Row],[Product]],Raw_product_master[Product],0))</f>
        <v>2925</v>
      </c>
      <c r="Q254">
        <v>3692</v>
      </c>
      <c r="R254" s="11">
        <v>0.20511111111111099</v>
      </c>
      <c r="S254" s="11">
        <f>INDEX(Raw_product_master[Target_Margin], MATCH(Cleaned_Sales_data[[#This Row],[Product]],Raw_product_master[Product], 0 ))</f>
        <v>0.22</v>
      </c>
      <c r="T254" t="str">
        <f>IF(Cleaned_Sales_data[[#This Row],[Profit]]&gt;0, "Profitable", "Loss")</f>
        <v>Profitable</v>
      </c>
      <c r="U254" t="str">
        <f>_xlfn.IFS(Cleaned_Sales_data[[#This Row],[Profit]]&gt;=10000, "High", Cleaned_Sales_data[[#This Row],[Profit]]&gt;=5000, "Medium", Cleaned_Sales_data[[#This Row],[Profit]]&gt;=0, "Low", Cleaned_Sales_data[[#This Row],[Profit]] &lt;0, "Loss")</f>
        <v>Low</v>
      </c>
      <c r="V254" t="str">
        <f t="shared" si="3"/>
        <v>UnderPerforming</v>
      </c>
      <c r="W254" s="3">
        <v>45717</v>
      </c>
    </row>
    <row r="255" spans="1:23">
      <c r="A255" t="s">
        <v>396</v>
      </c>
      <c r="B255" s="3">
        <v>46016</v>
      </c>
      <c r="C255" t="s">
        <v>61</v>
      </c>
      <c r="D255" t="str">
        <f>INDEX(Raw_product_master[Category],MATCH(Cleaned_Sales_data[[#This Row],[Product]],Raw_product_master[Product],0))</f>
        <v>Accessories</v>
      </c>
      <c r="E255" t="s">
        <v>31</v>
      </c>
      <c r="F255" t="s">
        <v>20</v>
      </c>
      <c r="G255" t="s">
        <v>21</v>
      </c>
      <c r="H255">
        <v>7</v>
      </c>
      <c r="I255">
        <v>4500</v>
      </c>
      <c r="J255" s="10">
        <v>0.05</v>
      </c>
      <c r="K255">
        <v>31500</v>
      </c>
      <c r="L255">
        <v>29925</v>
      </c>
      <c r="M255">
        <v>20475</v>
      </c>
      <c r="N255">
        <v>499</v>
      </c>
      <c r="O255">
        <v>238</v>
      </c>
      <c r="P255">
        <f>INDEX(Raw_product_master[Standard_Cost_Per_Unit],MATCH(Cleaned_Sales_data[[#This Row],[Product]],Raw_product_master[Product],0))</f>
        <v>2925</v>
      </c>
      <c r="Q255">
        <v>8713</v>
      </c>
      <c r="R255" s="11">
        <v>0.29116123642439401</v>
      </c>
      <c r="S255" s="11">
        <f>INDEX(Raw_product_master[Target_Margin], MATCH(Cleaned_Sales_data[[#This Row],[Product]],Raw_product_master[Product], 0 ))</f>
        <v>0.22</v>
      </c>
      <c r="T255" t="str">
        <f>IF(Cleaned_Sales_data[[#This Row],[Profit]]&gt;0, "Profitable", "Loss")</f>
        <v>Profitable</v>
      </c>
      <c r="U255" t="str">
        <f>_xlfn.IFS(Cleaned_Sales_data[[#This Row],[Profit]]&gt;=10000, "High", Cleaned_Sales_data[[#This Row],[Profit]]&gt;=5000, "Medium", Cleaned_Sales_data[[#This Row],[Profit]]&gt;=0, "Low", Cleaned_Sales_data[[#This Row],[Profit]] &lt;0, "Loss")</f>
        <v>Medium</v>
      </c>
      <c r="V255" t="str">
        <f t="shared" si="3"/>
        <v>On Target</v>
      </c>
      <c r="W255" s="3">
        <v>45992</v>
      </c>
    </row>
    <row r="256" spans="1:23">
      <c r="A256" t="s">
        <v>403</v>
      </c>
      <c r="B256" s="3">
        <v>45773</v>
      </c>
      <c r="C256" t="s">
        <v>53</v>
      </c>
      <c r="D256" t="str">
        <f>INDEX(Raw_product_master[Category],MATCH(Cleaned_Sales_data[[#This Row],[Product]],Raw_product_master[Product],0))</f>
        <v>Accessories</v>
      </c>
      <c r="E256" t="s">
        <v>51</v>
      </c>
      <c r="F256" t="s">
        <v>20</v>
      </c>
      <c r="G256" t="s">
        <v>21</v>
      </c>
      <c r="H256">
        <v>7</v>
      </c>
      <c r="I256">
        <v>1500</v>
      </c>
      <c r="J256" s="10">
        <v>0.2</v>
      </c>
      <c r="K256">
        <v>10500</v>
      </c>
      <c r="L256">
        <v>8400</v>
      </c>
      <c r="M256">
        <v>5775</v>
      </c>
      <c r="N256">
        <v>1271</v>
      </c>
      <c r="O256">
        <v>1963</v>
      </c>
      <c r="P256">
        <f>INDEX(Raw_product_master[Standard_Cost_Per_Unit],MATCH(Cleaned_Sales_data[[#This Row],[Product]],Raw_product_master[Product],0))</f>
        <v>825</v>
      </c>
      <c r="Q256">
        <v>-609</v>
      </c>
      <c r="R256" s="11">
        <v>-7.2500000000000106E-2</v>
      </c>
      <c r="S256" s="11">
        <f>INDEX(Raw_product_master[Target_Margin], MATCH(Cleaned_Sales_data[[#This Row],[Product]],Raw_product_master[Product], 0 ))</f>
        <v>0.3</v>
      </c>
      <c r="T256" t="str">
        <f>IF(Cleaned_Sales_data[[#This Row],[Profit]]&gt;0, "Profitable", "Loss")</f>
        <v>Loss</v>
      </c>
      <c r="U256" t="str">
        <f>_xlfn.IFS(Cleaned_Sales_data[[#This Row],[Profit]]&gt;=10000, "High", Cleaned_Sales_data[[#This Row],[Profit]]&gt;=5000, "Medium", Cleaned_Sales_data[[#This Row],[Profit]]&gt;=0, "Low", Cleaned_Sales_data[[#This Row],[Profit]] &lt;0, "Loss")</f>
        <v>Loss</v>
      </c>
      <c r="V256" t="str">
        <f t="shared" si="3"/>
        <v>UnderPerforming</v>
      </c>
      <c r="W256" s="3">
        <v>45748</v>
      </c>
    </row>
    <row r="257" spans="1:23">
      <c r="A257" t="s">
        <v>414</v>
      </c>
      <c r="B257" s="3">
        <v>45817</v>
      </c>
      <c r="C257" t="s">
        <v>18</v>
      </c>
      <c r="D257" t="str">
        <f>INDEX(Raw_product_master[Category],MATCH(Cleaned_Sales_data[[#This Row],[Product]],Raw_product_master[Product],0))</f>
        <v>Computers</v>
      </c>
      <c r="E257" t="s">
        <v>25</v>
      </c>
      <c r="F257" t="s">
        <v>20</v>
      </c>
      <c r="G257" t="s">
        <v>21</v>
      </c>
      <c r="H257">
        <v>2</v>
      </c>
      <c r="I257">
        <v>32000</v>
      </c>
      <c r="J257" s="10">
        <v>0.05</v>
      </c>
      <c r="K257">
        <v>64000</v>
      </c>
      <c r="L257">
        <v>60800</v>
      </c>
      <c r="M257">
        <v>52480</v>
      </c>
      <c r="N257">
        <v>1707</v>
      </c>
      <c r="O257">
        <v>1579</v>
      </c>
      <c r="P257">
        <f>INDEX(Raw_product_master[Standard_Cost_Per_Unit],MATCH(Cleaned_Sales_data[[#This Row],[Product]],Raw_product_master[Product],0))</f>
        <v>26240</v>
      </c>
      <c r="Q257">
        <v>5034</v>
      </c>
      <c r="R257" s="11">
        <v>8.2796052631579006E-2</v>
      </c>
      <c r="S257" s="11">
        <f>INDEX(Raw_product_master[Target_Margin], MATCH(Cleaned_Sales_data[[#This Row],[Product]],Raw_product_master[Product], 0 ))</f>
        <v>0.12</v>
      </c>
      <c r="T257" t="str">
        <f>IF(Cleaned_Sales_data[[#This Row],[Profit]]&gt;0, "Profitable", "Loss")</f>
        <v>Profitable</v>
      </c>
      <c r="U257" t="str">
        <f>_xlfn.IFS(Cleaned_Sales_data[[#This Row],[Profit]]&gt;=10000, "High", Cleaned_Sales_data[[#This Row],[Profit]]&gt;=5000, "Medium", Cleaned_Sales_data[[#This Row],[Profit]]&gt;=0, "Low", Cleaned_Sales_data[[#This Row],[Profit]] &lt;0, "Loss")</f>
        <v>Medium</v>
      </c>
      <c r="V257" t="str">
        <f t="shared" si="3"/>
        <v>UnderPerforming</v>
      </c>
      <c r="W257" s="3">
        <v>45809</v>
      </c>
    </row>
    <row r="258" spans="1:23">
      <c r="A258" t="s">
        <v>423</v>
      </c>
      <c r="B258" s="3">
        <v>45757</v>
      </c>
      <c r="C258" t="s">
        <v>75</v>
      </c>
      <c r="D258" t="str">
        <f>INDEX(Raw_product_master[Category],MATCH(Cleaned_Sales_data[[#This Row],[Product]],Raw_product_master[Product],0))</f>
        <v>Computers</v>
      </c>
      <c r="E258" t="s">
        <v>25</v>
      </c>
      <c r="F258" t="s">
        <v>20</v>
      </c>
      <c r="G258" t="s">
        <v>21</v>
      </c>
      <c r="H258">
        <v>3</v>
      </c>
      <c r="I258">
        <v>65000</v>
      </c>
      <c r="J258" s="10">
        <v>0.1</v>
      </c>
      <c r="K258">
        <v>195000</v>
      </c>
      <c r="L258">
        <v>175500</v>
      </c>
      <c r="M258">
        <v>163800</v>
      </c>
      <c r="N258">
        <v>409</v>
      </c>
      <c r="O258">
        <v>496</v>
      </c>
      <c r="P258">
        <f>INDEX(Raw_product_master[Standard_Cost_Per_Unit],MATCH(Cleaned_Sales_data[[#This Row],[Product]],Raw_product_master[Product],0))</f>
        <v>54600</v>
      </c>
      <c r="Q258">
        <v>10795</v>
      </c>
      <c r="R258" s="11">
        <v>6.1509971509971499E-2</v>
      </c>
      <c r="S258" s="11">
        <f>INDEX(Raw_product_master[Target_Margin], MATCH(Cleaned_Sales_data[[#This Row],[Product]],Raw_product_master[Product], 0 ))</f>
        <v>0.12</v>
      </c>
      <c r="T258" t="str">
        <f>IF(Cleaned_Sales_data[[#This Row],[Profit]]&gt;0, "Profitable", "Loss")</f>
        <v>Profitable</v>
      </c>
      <c r="U258" t="str">
        <f>_xlfn.IFS(Cleaned_Sales_data[[#This Row],[Profit]]&gt;=10000, "High", Cleaned_Sales_data[[#This Row],[Profit]]&gt;=5000, "Medium", Cleaned_Sales_data[[#This Row],[Profit]]&gt;=0, "Low", Cleaned_Sales_data[[#This Row],[Profit]] &lt;0, "Loss")</f>
        <v>High</v>
      </c>
      <c r="V258" t="str">
        <f t="shared" ref="V258:V321" si="4">IF(R258&lt;S258, "UnderPerforming", "On Target")</f>
        <v>UnderPerforming</v>
      </c>
      <c r="W258" s="3">
        <v>45748</v>
      </c>
    </row>
    <row r="259" spans="1:23">
      <c r="A259" t="s">
        <v>426</v>
      </c>
      <c r="B259" s="3">
        <v>45970</v>
      </c>
      <c r="C259" t="s">
        <v>53</v>
      </c>
      <c r="D259" t="str">
        <f>INDEX(Raw_product_master[Category],MATCH(Cleaned_Sales_data[[#This Row],[Product]],Raw_product_master[Product],0))</f>
        <v>Accessories</v>
      </c>
      <c r="E259" t="s">
        <v>63</v>
      </c>
      <c r="F259" t="s">
        <v>20</v>
      </c>
      <c r="G259" t="s">
        <v>21</v>
      </c>
      <c r="H259">
        <v>5</v>
      </c>
      <c r="I259">
        <v>1500</v>
      </c>
      <c r="J259" s="10">
        <v>0.05</v>
      </c>
      <c r="K259">
        <v>7500</v>
      </c>
      <c r="L259">
        <v>7125</v>
      </c>
      <c r="M259">
        <v>4125</v>
      </c>
      <c r="N259">
        <v>426</v>
      </c>
      <c r="O259">
        <v>1648</v>
      </c>
      <c r="P259">
        <f>INDEX(Raw_product_master[Standard_Cost_Per_Unit],MATCH(Cleaned_Sales_data[[#This Row],[Product]],Raw_product_master[Product],0))</f>
        <v>825</v>
      </c>
      <c r="Q259">
        <v>926</v>
      </c>
      <c r="R259" s="11">
        <v>0.12996491228070201</v>
      </c>
      <c r="S259" s="11">
        <f>INDEX(Raw_product_master[Target_Margin], MATCH(Cleaned_Sales_data[[#This Row],[Product]],Raw_product_master[Product], 0 ))</f>
        <v>0.3</v>
      </c>
      <c r="T259" t="str">
        <f>IF(Cleaned_Sales_data[[#This Row],[Profit]]&gt;0, "Profitable", "Loss")</f>
        <v>Profitable</v>
      </c>
      <c r="U259" t="str">
        <f>_xlfn.IFS(Cleaned_Sales_data[[#This Row],[Profit]]&gt;=10000, "High", Cleaned_Sales_data[[#This Row],[Profit]]&gt;=5000, "Medium", Cleaned_Sales_data[[#This Row],[Profit]]&gt;=0, "Low", Cleaned_Sales_data[[#This Row],[Profit]] &lt;0, "Loss")</f>
        <v>Low</v>
      </c>
      <c r="V259" t="str">
        <f t="shared" si="4"/>
        <v>UnderPerforming</v>
      </c>
      <c r="W259" s="3">
        <v>45962</v>
      </c>
    </row>
    <row r="260" spans="1:23">
      <c r="A260" t="s">
        <v>427</v>
      </c>
      <c r="B260" s="3">
        <v>46055</v>
      </c>
      <c r="C260" t="s">
        <v>53</v>
      </c>
      <c r="D260" t="str">
        <f>INDEX(Raw_product_master[Category],MATCH(Cleaned_Sales_data[[#This Row],[Product]],Raw_product_master[Product],0))</f>
        <v>Accessories</v>
      </c>
      <c r="E260" t="s">
        <v>25</v>
      </c>
      <c r="F260" t="s">
        <v>20</v>
      </c>
      <c r="G260" t="s">
        <v>21</v>
      </c>
      <c r="H260">
        <v>7</v>
      </c>
      <c r="I260">
        <v>1500</v>
      </c>
      <c r="J260" s="10">
        <v>0.1</v>
      </c>
      <c r="K260">
        <v>10500</v>
      </c>
      <c r="L260">
        <v>9450</v>
      </c>
      <c r="M260">
        <v>5775</v>
      </c>
      <c r="N260">
        <v>757</v>
      </c>
      <c r="O260">
        <v>1915</v>
      </c>
      <c r="P260">
        <f>INDEX(Raw_product_master[Standard_Cost_Per_Unit],MATCH(Cleaned_Sales_data[[#This Row],[Product]],Raw_product_master[Product],0))</f>
        <v>825</v>
      </c>
      <c r="Q260">
        <v>1003</v>
      </c>
      <c r="R260" s="11">
        <v>0.106137566137566</v>
      </c>
      <c r="S260" s="11">
        <f>INDEX(Raw_product_master[Target_Margin], MATCH(Cleaned_Sales_data[[#This Row],[Product]],Raw_product_master[Product], 0 ))</f>
        <v>0.3</v>
      </c>
      <c r="T260" t="str">
        <f>IF(Cleaned_Sales_data[[#This Row],[Profit]]&gt;0, "Profitable", "Loss")</f>
        <v>Profitable</v>
      </c>
      <c r="U260" t="str">
        <f>_xlfn.IFS(Cleaned_Sales_data[[#This Row],[Profit]]&gt;=10000, "High", Cleaned_Sales_data[[#This Row],[Profit]]&gt;=5000, "Medium", Cleaned_Sales_data[[#This Row],[Profit]]&gt;=0, "Low", Cleaned_Sales_data[[#This Row],[Profit]] &lt;0, "Loss")</f>
        <v>Low</v>
      </c>
      <c r="V260" t="str">
        <f t="shared" si="4"/>
        <v>UnderPerforming</v>
      </c>
      <c r="W260" s="3">
        <v>46054</v>
      </c>
    </row>
    <row r="261" spans="1:23">
      <c r="A261" t="s">
        <v>439</v>
      </c>
      <c r="B261" s="3">
        <v>45959</v>
      </c>
      <c r="C261" t="s">
        <v>30</v>
      </c>
      <c r="D261" t="str">
        <f>INDEX(Raw_product_master[Category],MATCH(Cleaned_Sales_data[[#This Row],[Product]],Raw_product_master[Product],0))</f>
        <v>Displays</v>
      </c>
      <c r="E261" t="s">
        <v>51</v>
      </c>
      <c r="F261" t="s">
        <v>20</v>
      </c>
      <c r="G261" t="s">
        <v>21</v>
      </c>
      <c r="H261">
        <v>1</v>
      </c>
      <c r="I261">
        <v>28000</v>
      </c>
      <c r="J261" s="10">
        <v>0.2</v>
      </c>
      <c r="K261">
        <v>28000</v>
      </c>
      <c r="L261">
        <v>22400</v>
      </c>
      <c r="M261">
        <v>21840</v>
      </c>
      <c r="N261">
        <v>1613</v>
      </c>
      <c r="O261">
        <v>2357</v>
      </c>
      <c r="P261">
        <f>INDEX(Raw_product_master[Standard_Cost_Per_Unit],MATCH(Cleaned_Sales_data[[#This Row],[Product]],Raw_product_master[Product],0))</f>
        <v>21840</v>
      </c>
      <c r="Q261">
        <v>-3410</v>
      </c>
      <c r="R261" s="11">
        <v>-0.15223214285714301</v>
      </c>
      <c r="S261" s="11">
        <f>INDEX(Raw_product_master[Target_Margin], MATCH(Cleaned_Sales_data[[#This Row],[Product]],Raw_product_master[Product], 0 ))</f>
        <v>0.18</v>
      </c>
      <c r="T261" t="str">
        <f>IF(Cleaned_Sales_data[[#This Row],[Profit]]&gt;0, "Profitable", "Loss")</f>
        <v>Loss</v>
      </c>
      <c r="U261" t="str">
        <f>_xlfn.IFS(Cleaned_Sales_data[[#This Row],[Profit]]&gt;=10000, "High", Cleaned_Sales_data[[#This Row],[Profit]]&gt;=5000, "Medium", Cleaned_Sales_data[[#This Row],[Profit]]&gt;=0, "Low", Cleaned_Sales_data[[#This Row],[Profit]] &lt;0, "Loss")</f>
        <v>Loss</v>
      </c>
      <c r="V261" t="str">
        <f t="shared" si="4"/>
        <v>UnderPerforming</v>
      </c>
      <c r="W261" s="3">
        <v>45931</v>
      </c>
    </row>
    <row r="262" spans="1:23">
      <c r="A262" t="s">
        <v>444</v>
      </c>
      <c r="B262" s="3">
        <v>46135</v>
      </c>
      <c r="C262" t="s">
        <v>30</v>
      </c>
      <c r="D262" t="str">
        <f>INDEX(Raw_product_master[Category],MATCH(Cleaned_Sales_data[[#This Row],[Product]],Raw_product_master[Product],0))</f>
        <v>Displays</v>
      </c>
      <c r="E262" t="s">
        <v>31</v>
      </c>
      <c r="F262" t="s">
        <v>20</v>
      </c>
      <c r="G262" t="s">
        <v>21</v>
      </c>
      <c r="H262">
        <v>2</v>
      </c>
      <c r="I262">
        <v>28000</v>
      </c>
      <c r="J262" s="10">
        <v>0.1</v>
      </c>
      <c r="K262">
        <v>56000</v>
      </c>
      <c r="L262">
        <v>50400</v>
      </c>
      <c r="M262">
        <v>43680</v>
      </c>
      <c r="N262">
        <v>1364</v>
      </c>
      <c r="O262">
        <v>107</v>
      </c>
      <c r="P262">
        <f>INDEX(Raw_product_master[Standard_Cost_Per_Unit],MATCH(Cleaned_Sales_data[[#This Row],[Product]],Raw_product_master[Product],0))</f>
        <v>21840</v>
      </c>
      <c r="Q262">
        <v>5249</v>
      </c>
      <c r="R262" s="11">
        <v>0.104146825396825</v>
      </c>
      <c r="S262" s="11">
        <f>INDEX(Raw_product_master[Target_Margin], MATCH(Cleaned_Sales_data[[#This Row],[Product]],Raw_product_master[Product], 0 ))</f>
        <v>0.18</v>
      </c>
      <c r="T262" t="str">
        <f>IF(Cleaned_Sales_data[[#This Row],[Profit]]&gt;0, "Profitable", "Loss")</f>
        <v>Profitable</v>
      </c>
      <c r="U262" t="str">
        <f>_xlfn.IFS(Cleaned_Sales_data[[#This Row],[Profit]]&gt;=10000, "High", Cleaned_Sales_data[[#This Row],[Profit]]&gt;=5000, "Medium", Cleaned_Sales_data[[#This Row],[Profit]]&gt;=0, "Low", Cleaned_Sales_data[[#This Row],[Profit]] &lt;0, "Loss")</f>
        <v>Medium</v>
      </c>
      <c r="V262" t="str">
        <f t="shared" si="4"/>
        <v>UnderPerforming</v>
      </c>
      <c r="W262" s="3">
        <v>46113</v>
      </c>
    </row>
    <row r="263" spans="1:23">
      <c r="A263" t="s">
        <v>446</v>
      </c>
      <c r="B263" s="3">
        <v>45827</v>
      </c>
      <c r="C263" t="s">
        <v>53</v>
      </c>
      <c r="D263" t="str">
        <f>INDEX(Raw_product_master[Category],MATCH(Cleaned_Sales_data[[#This Row],[Product]],Raw_product_master[Product],0))</f>
        <v>Accessories</v>
      </c>
      <c r="E263" t="s">
        <v>31</v>
      </c>
      <c r="F263" t="s">
        <v>20</v>
      </c>
      <c r="G263" t="s">
        <v>21</v>
      </c>
      <c r="H263">
        <v>5</v>
      </c>
      <c r="I263">
        <v>1500</v>
      </c>
      <c r="J263" s="10">
        <v>0.05</v>
      </c>
      <c r="K263">
        <v>7500</v>
      </c>
      <c r="L263">
        <v>7125</v>
      </c>
      <c r="M263">
        <v>4125</v>
      </c>
      <c r="N263">
        <v>1379</v>
      </c>
      <c r="O263">
        <v>2318</v>
      </c>
      <c r="P263">
        <f>INDEX(Raw_product_master[Standard_Cost_Per_Unit],MATCH(Cleaned_Sales_data[[#This Row],[Product]],Raw_product_master[Product],0))</f>
        <v>825</v>
      </c>
      <c r="Q263">
        <v>-697</v>
      </c>
      <c r="R263" s="11">
        <v>-9.78245614035088E-2</v>
      </c>
      <c r="S263" s="11">
        <f>INDEX(Raw_product_master[Target_Margin], MATCH(Cleaned_Sales_data[[#This Row],[Product]],Raw_product_master[Product], 0 ))</f>
        <v>0.3</v>
      </c>
      <c r="T263" t="str">
        <f>IF(Cleaned_Sales_data[[#This Row],[Profit]]&gt;0, "Profitable", "Loss")</f>
        <v>Loss</v>
      </c>
      <c r="U263" t="str">
        <f>_xlfn.IFS(Cleaned_Sales_data[[#This Row],[Profit]]&gt;=10000, "High", Cleaned_Sales_data[[#This Row],[Profit]]&gt;=5000, "Medium", Cleaned_Sales_data[[#This Row],[Profit]]&gt;=0, "Low", Cleaned_Sales_data[[#This Row],[Profit]] &lt;0, "Loss")</f>
        <v>Loss</v>
      </c>
      <c r="V263" t="str">
        <f t="shared" si="4"/>
        <v>UnderPerforming</v>
      </c>
      <c r="W263" s="3">
        <v>45809</v>
      </c>
    </row>
    <row r="264" spans="1:23">
      <c r="A264" t="s">
        <v>450</v>
      </c>
      <c r="B264" s="3">
        <v>46061</v>
      </c>
      <c r="C264" t="s">
        <v>53</v>
      </c>
      <c r="D264" t="str">
        <f>INDEX(Raw_product_master[Category],MATCH(Cleaned_Sales_data[[#This Row],[Product]],Raw_product_master[Product],0))</f>
        <v>Accessories</v>
      </c>
      <c r="E264" t="s">
        <v>31</v>
      </c>
      <c r="F264" t="s">
        <v>20</v>
      </c>
      <c r="G264" t="s">
        <v>21</v>
      </c>
      <c r="H264">
        <v>1</v>
      </c>
      <c r="I264">
        <v>1500</v>
      </c>
      <c r="J264" s="10">
        <v>0.03</v>
      </c>
      <c r="K264">
        <v>1500</v>
      </c>
      <c r="L264">
        <v>1455</v>
      </c>
      <c r="M264">
        <v>825</v>
      </c>
      <c r="N264">
        <v>1281</v>
      </c>
      <c r="O264">
        <v>253</v>
      </c>
      <c r="P264">
        <f>INDEX(Raw_product_master[Standard_Cost_Per_Unit],MATCH(Cleaned_Sales_data[[#This Row],[Product]],Raw_product_master[Product],0))</f>
        <v>825</v>
      </c>
      <c r="Q264">
        <v>-904</v>
      </c>
      <c r="R264" s="11">
        <v>-0.62130584192439897</v>
      </c>
      <c r="S264" s="11">
        <f>INDEX(Raw_product_master[Target_Margin], MATCH(Cleaned_Sales_data[[#This Row],[Product]],Raw_product_master[Product], 0 ))</f>
        <v>0.3</v>
      </c>
      <c r="T264" t="str">
        <f>IF(Cleaned_Sales_data[[#This Row],[Profit]]&gt;0, "Profitable", "Loss")</f>
        <v>Loss</v>
      </c>
      <c r="U264" t="str">
        <f>_xlfn.IFS(Cleaned_Sales_data[[#This Row],[Profit]]&gt;=10000, "High", Cleaned_Sales_data[[#This Row],[Profit]]&gt;=5000, "Medium", Cleaned_Sales_data[[#This Row],[Profit]]&gt;=0, "Low", Cleaned_Sales_data[[#This Row],[Profit]] &lt;0, "Loss")</f>
        <v>Loss</v>
      </c>
      <c r="V264" t="str">
        <f t="shared" si="4"/>
        <v>UnderPerforming</v>
      </c>
      <c r="W264" s="3">
        <v>46054</v>
      </c>
    </row>
    <row r="265" spans="1:23">
      <c r="A265" t="s">
        <v>461</v>
      </c>
      <c r="B265" s="3">
        <v>45859</v>
      </c>
      <c r="C265" t="s">
        <v>61</v>
      </c>
      <c r="D265" t="str">
        <f>INDEX(Raw_product_master[Category],MATCH(Cleaned_Sales_data[[#This Row],[Product]],Raw_product_master[Product],0))</f>
        <v>Accessories</v>
      </c>
      <c r="E265" t="s">
        <v>19</v>
      </c>
      <c r="F265" t="s">
        <v>20</v>
      </c>
      <c r="G265" t="s">
        <v>21</v>
      </c>
      <c r="H265">
        <v>5</v>
      </c>
      <c r="I265">
        <v>4500</v>
      </c>
      <c r="J265" s="10">
        <v>0.08</v>
      </c>
      <c r="K265">
        <v>22500</v>
      </c>
      <c r="L265">
        <v>20700</v>
      </c>
      <c r="M265">
        <v>14625</v>
      </c>
      <c r="N265">
        <v>952</v>
      </c>
      <c r="O265">
        <v>371</v>
      </c>
      <c r="P265">
        <f>INDEX(Raw_product_master[Standard_Cost_Per_Unit],MATCH(Cleaned_Sales_data[[#This Row],[Product]],Raw_product_master[Product],0))</f>
        <v>2925</v>
      </c>
      <c r="Q265">
        <v>4752</v>
      </c>
      <c r="R265" s="11">
        <v>0.22956521739130401</v>
      </c>
      <c r="S265" s="11">
        <f>INDEX(Raw_product_master[Target_Margin], MATCH(Cleaned_Sales_data[[#This Row],[Product]],Raw_product_master[Product], 0 ))</f>
        <v>0.22</v>
      </c>
      <c r="T265" t="str">
        <f>IF(Cleaned_Sales_data[[#This Row],[Profit]]&gt;0, "Profitable", "Loss")</f>
        <v>Profitable</v>
      </c>
      <c r="U265" t="str">
        <f>_xlfn.IFS(Cleaned_Sales_data[[#This Row],[Profit]]&gt;=10000, "High", Cleaned_Sales_data[[#This Row],[Profit]]&gt;=5000, "Medium", Cleaned_Sales_data[[#This Row],[Profit]]&gt;=0, "Low", Cleaned_Sales_data[[#This Row],[Profit]] &lt;0, "Loss")</f>
        <v>Low</v>
      </c>
      <c r="V265" t="str">
        <f t="shared" si="4"/>
        <v>On Target</v>
      </c>
      <c r="W265" s="3">
        <v>45839</v>
      </c>
    </row>
    <row r="266" spans="1:23">
      <c r="A266" t="s">
        <v>462</v>
      </c>
      <c r="B266" s="3">
        <v>46093</v>
      </c>
      <c r="C266" t="s">
        <v>75</v>
      </c>
      <c r="D266" t="str">
        <f>INDEX(Raw_product_master[Category],MATCH(Cleaned_Sales_data[[#This Row],[Product]],Raw_product_master[Product],0))</f>
        <v>Computers</v>
      </c>
      <c r="E266" t="s">
        <v>63</v>
      </c>
      <c r="F266" t="s">
        <v>20</v>
      </c>
      <c r="G266" t="s">
        <v>21</v>
      </c>
      <c r="H266">
        <v>3</v>
      </c>
      <c r="I266">
        <v>65000</v>
      </c>
      <c r="J266" s="10">
        <v>0.08</v>
      </c>
      <c r="K266">
        <v>195000</v>
      </c>
      <c r="L266">
        <v>179400</v>
      </c>
      <c r="M266">
        <v>163800</v>
      </c>
      <c r="N266">
        <v>925</v>
      </c>
      <c r="O266">
        <v>1683</v>
      </c>
      <c r="P266">
        <f>INDEX(Raw_product_master[Standard_Cost_Per_Unit],MATCH(Cleaned_Sales_data[[#This Row],[Product]],Raw_product_master[Product],0))</f>
        <v>54600</v>
      </c>
      <c r="Q266">
        <v>12992</v>
      </c>
      <c r="R266" s="11">
        <v>7.2419175027870694E-2</v>
      </c>
      <c r="S266" s="11">
        <f>INDEX(Raw_product_master[Target_Margin], MATCH(Cleaned_Sales_data[[#This Row],[Product]],Raw_product_master[Product], 0 ))</f>
        <v>0.12</v>
      </c>
      <c r="T266" t="str">
        <f>IF(Cleaned_Sales_data[[#This Row],[Profit]]&gt;0, "Profitable", "Loss")</f>
        <v>Profitable</v>
      </c>
      <c r="U266" t="str">
        <f>_xlfn.IFS(Cleaned_Sales_data[[#This Row],[Profit]]&gt;=10000, "High", Cleaned_Sales_data[[#This Row],[Profit]]&gt;=5000, "Medium", Cleaned_Sales_data[[#This Row],[Profit]]&gt;=0, "Low", Cleaned_Sales_data[[#This Row],[Profit]] &lt;0, "Loss")</f>
        <v>High</v>
      </c>
      <c r="V266" t="str">
        <f t="shared" si="4"/>
        <v>UnderPerforming</v>
      </c>
      <c r="W266" s="3">
        <v>46082</v>
      </c>
    </row>
    <row r="267" spans="1:23">
      <c r="A267" t="s">
        <v>466</v>
      </c>
      <c r="B267" s="3">
        <v>45840</v>
      </c>
      <c r="C267" t="s">
        <v>18</v>
      </c>
      <c r="D267" t="str">
        <f>INDEX(Raw_product_master[Category],MATCH(Cleaned_Sales_data[[#This Row],[Product]],Raw_product_master[Product],0))</f>
        <v>Computers</v>
      </c>
      <c r="E267" t="s">
        <v>63</v>
      </c>
      <c r="F267" t="s">
        <v>20</v>
      </c>
      <c r="G267" t="s">
        <v>21</v>
      </c>
      <c r="H267">
        <v>1</v>
      </c>
      <c r="I267">
        <v>32000</v>
      </c>
      <c r="J267" s="10">
        <v>0.1</v>
      </c>
      <c r="K267">
        <v>32000</v>
      </c>
      <c r="L267">
        <v>28800</v>
      </c>
      <c r="M267">
        <v>26240</v>
      </c>
      <c r="N267">
        <v>374</v>
      </c>
      <c r="O267">
        <v>2256</v>
      </c>
      <c r="P267">
        <f>INDEX(Raw_product_master[Standard_Cost_Per_Unit],MATCH(Cleaned_Sales_data[[#This Row],[Product]],Raw_product_master[Product],0))</f>
        <v>26240</v>
      </c>
      <c r="Q267">
        <v>-70</v>
      </c>
      <c r="R267" s="11">
        <v>-2.4305555555555599E-3</v>
      </c>
      <c r="S267" s="11">
        <f>INDEX(Raw_product_master[Target_Margin], MATCH(Cleaned_Sales_data[[#This Row],[Product]],Raw_product_master[Product], 0 ))</f>
        <v>0.12</v>
      </c>
      <c r="T267" t="str">
        <f>IF(Cleaned_Sales_data[[#This Row],[Profit]]&gt;0, "Profitable", "Loss")</f>
        <v>Loss</v>
      </c>
      <c r="U267" t="str">
        <f>_xlfn.IFS(Cleaned_Sales_data[[#This Row],[Profit]]&gt;=10000, "High", Cleaned_Sales_data[[#This Row],[Profit]]&gt;=5000, "Medium", Cleaned_Sales_data[[#This Row],[Profit]]&gt;=0, "Low", Cleaned_Sales_data[[#This Row],[Profit]] &lt;0, "Loss")</f>
        <v>Loss</v>
      </c>
      <c r="V267" t="str">
        <f t="shared" si="4"/>
        <v>UnderPerforming</v>
      </c>
      <c r="W267" s="3">
        <v>45839</v>
      </c>
    </row>
    <row r="268" spans="1:23">
      <c r="A268" t="s">
        <v>476</v>
      </c>
      <c r="B268" s="3">
        <v>45859</v>
      </c>
      <c r="C268" t="s">
        <v>75</v>
      </c>
      <c r="D268" t="str">
        <f>INDEX(Raw_product_master[Category],MATCH(Cleaned_Sales_data[[#This Row],[Product]],Raw_product_master[Product],0))</f>
        <v>Computers</v>
      </c>
      <c r="E268" t="s">
        <v>63</v>
      </c>
      <c r="F268" t="s">
        <v>20</v>
      </c>
      <c r="G268" t="s">
        <v>21</v>
      </c>
      <c r="H268">
        <v>1</v>
      </c>
      <c r="I268">
        <v>65000</v>
      </c>
      <c r="J268" s="10">
        <v>0</v>
      </c>
      <c r="K268">
        <v>65000</v>
      </c>
      <c r="L268">
        <v>65000</v>
      </c>
      <c r="M268">
        <v>54600</v>
      </c>
      <c r="N268">
        <v>1797</v>
      </c>
      <c r="O268">
        <v>1792</v>
      </c>
      <c r="P268">
        <f>INDEX(Raw_product_master[Standard_Cost_Per_Unit],MATCH(Cleaned_Sales_data[[#This Row],[Product]],Raw_product_master[Product],0))</f>
        <v>54600</v>
      </c>
      <c r="Q268">
        <v>6811</v>
      </c>
      <c r="R268" s="11">
        <v>0.104784615384615</v>
      </c>
      <c r="S268" s="11">
        <f>INDEX(Raw_product_master[Target_Margin], MATCH(Cleaned_Sales_data[[#This Row],[Product]],Raw_product_master[Product], 0 ))</f>
        <v>0.12</v>
      </c>
      <c r="T268" t="str">
        <f>IF(Cleaned_Sales_data[[#This Row],[Profit]]&gt;0, "Profitable", "Loss")</f>
        <v>Profitable</v>
      </c>
      <c r="U268" t="str">
        <f>_xlfn.IFS(Cleaned_Sales_data[[#This Row],[Profit]]&gt;=10000, "High", Cleaned_Sales_data[[#This Row],[Profit]]&gt;=5000, "Medium", Cleaned_Sales_data[[#This Row],[Profit]]&gt;=0, "Low", Cleaned_Sales_data[[#This Row],[Profit]] &lt;0, "Loss")</f>
        <v>Medium</v>
      </c>
      <c r="V268" t="str">
        <f t="shared" si="4"/>
        <v>UnderPerforming</v>
      </c>
      <c r="W268" s="3">
        <v>45839</v>
      </c>
    </row>
    <row r="269" spans="1:23">
      <c r="A269" t="s">
        <v>478</v>
      </c>
      <c r="B269" s="3">
        <v>45865</v>
      </c>
      <c r="C269" t="s">
        <v>50</v>
      </c>
      <c r="D269" t="str">
        <f>INDEX(Raw_product_master[Category],MATCH(Cleaned_Sales_data[[#This Row],[Product]],Raw_product_master[Product],0))</f>
        <v>Accessories</v>
      </c>
      <c r="E269" t="s">
        <v>25</v>
      </c>
      <c r="F269" t="s">
        <v>20</v>
      </c>
      <c r="G269" t="s">
        <v>21</v>
      </c>
      <c r="H269">
        <v>3</v>
      </c>
      <c r="I269">
        <v>2500</v>
      </c>
      <c r="J269" s="10">
        <v>0.03</v>
      </c>
      <c r="K269">
        <v>7500</v>
      </c>
      <c r="L269">
        <v>7275</v>
      </c>
      <c r="M269">
        <v>4650</v>
      </c>
      <c r="N269">
        <v>1568</v>
      </c>
      <c r="O269">
        <v>1926</v>
      </c>
      <c r="P269">
        <f>INDEX(Raw_product_master[Standard_Cost_Per_Unit],MATCH(Cleaned_Sales_data[[#This Row],[Product]],Raw_product_master[Product],0))</f>
        <v>1550</v>
      </c>
      <c r="Q269">
        <v>-869</v>
      </c>
      <c r="R269" s="11">
        <v>-0.119450171821306</v>
      </c>
      <c r="S269" s="11">
        <f>INDEX(Raw_product_master[Target_Margin], MATCH(Cleaned_Sales_data[[#This Row],[Product]],Raw_product_master[Product], 0 ))</f>
        <v>0.25</v>
      </c>
      <c r="T269" t="str">
        <f>IF(Cleaned_Sales_data[[#This Row],[Profit]]&gt;0, "Profitable", "Loss")</f>
        <v>Loss</v>
      </c>
      <c r="U269" t="str">
        <f>_xlfn.IFS(Cleaned_Sales_data[[#This Row],[Profit]]&gt;=10000, "High", Cleaned_Sales_data[[#This Row],[Profit]]&gt;=5000, "Medium", Cleaned_Sales_data[[#This Row],[Profit]]&gt;=0, "Low", Cleaned_Sales_data[[#This Row],[Profit]] &lt;0, "Loss")</f>
        <v>Loss</v>
      </c>
      <c r="V269" t="str">
        <f t="shared" si="4"/>
        <v>UnderPerforming</v>
      </c>
      <c r="W269" s="3">
        <v>45839</v>
      </c>
    </row>
    <row r="270" spans="1:23">
      <c r="A270" t="s">
        <v>483</v>
      </c>
      <c r="B270" s="3">
        <v>46071</v>
      </c>
      <c r="C270" t="s">
        <v>46</v>
      </c>
      <c r="D270" t="str">
        <f>INDEX(Raw_product_master[Category],MATCH(Cleaned_Sales_data[[#This Row],[Product]],Raw_product_master[Product],0))</f>
        <v>Office Equipment</v>
      </c>
      <c r="E270" t="s">
        <v>63</v>
      </c>
      <c r="F270" t="s">
        <v>20</v>
      </c>
      <c r="G270" t="s">
        <v>21</v>
      </c>
      <c r="H270">
        <v>1</v>
      </c>
      <c r="I270">
        <v>18000</v>
      </c>
      <c r="J270" s="10">
        <v>0.03</v>
      </c>
      <c r="K270">
        <v>18000</v>
      </c>
      <c r="L270">
        <v>17460</v>
      </c>
      <c r="M270">
        <v>14400</v>
      </c>
      <c r="N270">
        <v>1067</v>
      </c>
      <c r="O270">
        <v>709</v>
      </c>
      <c r="P270">
        <f>INDEX(Raw_product_master[Standard_Cost_Per_Unit],MATCH(Cleaned_Sales_data[[#This Row],[Product]],Raw_product_master[Product],0))</f>
        <v>14400</v>
      </c>
      <c r="Q270">
        <v>1284</v>
      </c>
      <c r="R270" s="11">
        <v>7.3539518900343603E-2</v>
      </c>
      <c r="S270" s="11">
        <f>INDEX(Raw_product_master[Target_Margin], MATCH(Cleaned_Sales_data[[#This Row],[Product]],Raw_product_master[Product], 0 ))</f>
        <v>0.15</v>
      </c>
      <c r="T270" t="str">
        <f>IF(Cleaned_Sales_data[[#This Row],[Profit]]&gt;0, "Profitable", "Loss")</f>
        <v>Profitable</v>
      </c>
      <c r="U270" t="str">
        <f>_xlfn.IFS(Cleaned_Sales_data[[#This Row],[Profit]]&gt;=10000, "High", Cleaned_Sales_data[[#This Row],[Profit]]&gt;=5000, "Medium", Cleaned_Sales_data[[#This Row],[Profit]]&gt;=0, "Low", Cleaned_Sales_data[[#This Row],[Profit]] &lt;0, "Loss")</f>
        <v>Low</v>
      </c>
      <c r="V270" t="str">
        <f t="shared" si="4"/>
        <v>UnderPerforming</v>
      </c>
      <c r="W270" s="3">
        <v>46054</v>
      </c>
    </row>
    <row r="271" spans="1:23">
      <c r="A271" t="s">
        <v>490</v>
      </c>
      <c r="B271" s="3">
        <v>46161</v>
      </c>
      <c r="C271" t="s">
        <v>30</v>
      </c>
      <c r="D271" t="str">
        <f>INDEX(Raw_product_master[Category],MATCH(Cleaned_Sales_data[[#This Row],[Product]],Raw_product_master[Product],0))</f>
        <v>Displays</v>
      </c>
      <c r="E271" t="s">
        <v>34</v>
      </c>
      <c r="F271" t="s">
        <v>20</v>
      </c>
      <c r="G271" t="s">
        <v>21</v>
      </c>
      <c r="H271">
        <v>2</v>
      </c>
      <c r="I271">
        <v>28000</v>
      </c>
      <c r="J271" s="10">
        <v>0.05</v>
      </c>
      <c r="K271">
        <v>56000</v>
      </c>
      <c r="L271">
        <v>53200</v>
      </c>
      <c r="M271">
        <v>43680</v>
      </c>
      <c r="N271">
        <v>1387</v>
      </c>
      <c r="O271">
        <v>2466</v>
      </c>
      <c r="P271">
        <f>INDEX(Raw_product_master[Standard_Cost_Per_Unit],MATCH(Cleaned_Sales_data[[#This Row],[Product]],Raw_product_master[Product],0))</f>
        <v>21840</v>
      </c>
      <c r="Q271">
        <v>5667</v>
      </c>
      <c r="R271" s="11">
        <v>0.10652255639097701</v>
      </c>
      <c r="S271" s="11">
        <f>INDEX(Raw_product_master[Target_Margin], MATCH(Cleaned_Sales_data[[#This Row],[Product]],Raw_product_master[Product], 0 ))</f>
        <v>0.18</v>
      </c>
      <c r="T271" t="str">
        <f>IF(Cleaned_Sales_data[[#This Row],[Profit]]&gt;0, "Profitable", "Loss")</f>
        <v>Profitable</v>
      </c>
      <c r="U271" t="str">
        <f>_xlfn.IFS(Cleaned_Sales_data[[#This Row],[Profit]]&gt;=10000, "High", Cleaned_Sales_data[[#This Row],[Profit]]&gt;=5000, "Medium", Cleaned_Sales_data[[#This Row],[Profit]]&gt;=0, "Low", Cleaned_Sales_data[[#This Row],[Profit]] &lt;0, "Loss")</f>
        <v>Medium</v>
      </c>
      <c r="V271" t="str">
        <f t="shared" si="4"/>
        <v>UnderPerforming</v>
      </c>
      <c r="W271" s="3">
        <v>46143</v>
      </c>
    </row>
    <row r="272" spans="1:23">
      <c r="A272" t="s">
        <v>493</v>
      </c>
      <c r="B272" s="3">
        <v>45992</v>
      </c>
      <c r="C272" t="s">
        <v>50</v>
      </c>
      <c r="D272" t="str">
        <f>INDEX(Raw_product_master[Category],MATCH(Cleaned_Sales_data[[#This Row],[Product]],Raw_product_master[Product],0))</f>
        <v>Accessories</v>
      </c>
      <c r="E272" t="s">
        <v>31</v>
      </c>
      <c r="F272" t="s">
        <v>20</v>
      </c>
      <c r="G272" t="s">
        <v>21</v>
      </c>
      <c r="H272">
        <v>4</v>
      </c>
      <c r="I272">
        <v>2500</v>
      </c>
      <c r="J272" s="10">
        <v>0.1</v>
      </c>
      <c r="K272">
        <v>10000</v>
      </c>
      <c r="L272">
        <v>9000</v>
      </c>
      <c r="M272">
        <v>6200</v>
      </c>
      <c r="N272">
        <v>879</v>
      </c>
      <c r="O272">
        <v>1742</v>
      </c>
      <c r="P272">
        <f>INDEX(Raw_product_master[Standard_Cost_Per_Unit],MATCH(Cleaned_Sales_data[[#This Row],[Product]],Raw_product_master[Product],0))</f>
        <v>1550</v>
      </c>
      <c r="Q272">
        <v>179</v>
      </c>
      <c r="R272" s="11">
        <v>1.98888888888889E-2</v>
      </c>
      <c r="S272" s="11">
        <f>INDEX(Raw_product_master[Target_Margin], MATCH(Cleaned_Sales_data[[#This Row],[Product]],Raw_product_master[Product], 0 ))</f>
        <v>0.25</v>
      </c>
      <c r="T272" t="str">
        <f>IF(Cleaned_Sales_data[[#This Row],[Profit]]&gt;0, "Profitable", "Loss")</f>
        <v>Profitable</v>
      </c>
      <c r="U272" t="str">
        <f>_xlfn.IFS(Cleaned_Sales_data[[#This Row],[Profit]]&gt;=10000, "High", Cleaned_Sales_data[[#This Row],[Profit]]&gt;=5000, "Medium", Cleaned_Sales_data[[#This Row],[Profit]]&gt;=0, "Low", Cleaned_Sales_data[[#This Row],[Profit]] &lt;0, "Loss")</f>
        <v>Low</v>
      </c>
      <c r="V272" t="str">
        <f t="shared" si="4"/>
        <v>UnderPerforming</v>
      </c>
      <c r="W272" s="3">
        <v>45992</v>
      </c>
    </row>
    <row r="273" spans="1:23">
      <c r="A273" t="s">
        <v>500</v>
      </c>
      <c r="B273" s="3">
        <v>46083</v>
      </c>
      <c r="C273" t="s">
        <v>50</v>
      </c>
      <c r="D273" t="str">
        <f>INDEX(Raw_product_master[Category],MATCH(Cleaned_Sales_data[[#This Row],[Product]],Raw_product_master[Product],0))</f>
        <v>Accessories</v>
      </c>
      <c r="E273" t="s">
        <v>63</v>
      </c>
      <c r="F273" t="s">
        <v>20</v>
      </c>
      <c r="G273" t="s">
        <v>21</v>
      </c>
      <c r="H273">
        <v>5</v>
      </c>
      <c r="I273">
        <v>2500</v>
      </c>
      <c r="J273" s="10">
        <v>0.08</v>
      </c>
      <c r="K273">
        <v>12500</v>
      </c>
      <c r="L273">
        <v>11500</v>
      </c>
      <c r="M273">
        <v>7750</v>
      </c>
      <c r="N273">
        <v>861</v>
      </c>
      <c r="O273">
        <v>2408</v>
      </c>
      <c r="P273">
        <f>INDEX(Raw_product_master[Standard_Cost_Per_Unit],MATCH(Cleaned_Sales_data[[#This Row],[Product]],Raw_product_master[Product],0))</f>
        <v>1550</v>
      </c>
      <c r="Q273">
        <v>481</v>
      </c>
      <c r="R273" s="11">
        <v>4.1826086956521701E-2</v>
      </c>
      <c r="S273" s="11">
        <f>INDEX(Raw_product_master[Target_Margin], MATCH(Cleaned_Sales_data[[#This Row],[Product]],Raw_product_master[Product], 0 ))</f>
        <v>0.25</v>
      </c>
      <c r="T273" t="str">
        <f>IF(Cleaned_Sales_data[[#This Row],[Profit]]&gt;0, "Profitable", "Loss")</f>
        <v>Profitable</v>
      </c>
      <c r="U273" t="str">
        <f>_xlfn.IFS(Cleaned_Sales_data[[#This Row],[Profit]]&gt;=10000, "High", Cleaned_Sales_data[[#This Row],[Profit]]&gt;=5000, "Medium", Cleaned_Sales_data[[#This Row],[Profit]]&gt;=0, "Low", Cleaned_Sales_data[[#This Row],[Profit]] &lt;0, "Loss")</f>
        <v>Low</v>
      </c>
      <c r="V273" t="str">
        <f t="shared" si="4"/>
        <v>UnderPerforming</v>
      </c>
      <c r="W273" s="3">
        <v>46082</v>
      </c>
    </row>
    <row r="274" spans="1:23">
      <c r="A274" t="s">
        <v>501</v>
      </c>
      <c r="B274" s="3">
        <v>45896</v>
      </c>
      <c r="C274" t="s">
        <v>61</v>
      </c>
      <c r="D274" t="str">
        <f>INDEX(Raw_product_master[Category],MATCH(Cleaned_Sales_data[[#This Row],[Product]],Raw_product_master[Product],0))</f>
        <v>Accessories</v>
      </c>
      <c r="E274" t="s">
        <v>51</v>
      </c>
      <c r="F274" t="s">
        <v>20</v>
      </c>
      <c r="G274" t="s">
        <v>21</v>
      </c>
      <c r="H274">
        <v>1</v>
      </c>
      <c r="I274">
        <v>4500</v>
      </c>
      <c r="J274" s="10">
        <v>0</v>
      </c>
      <c r="K274">
        <v>4500</v>
      </c>
      <c r="L274">
        <v>4500</v>
      </c>
      <c r="M274">
        <v>2925</v>
      </c>
      <c r="N274">
        <v>656</v>
      </c>
      <c r="O274">
        <v>1408</v>
      </c>
      <c r="P274">
        <f>INDEX(Raw_product_master[Standard_Cost_Per_Unit],MATCH(Cleaned_Sales_data[[#This Row],[Product]],Raw_product_master[Product],0))</f>
        <v>2925</v>
      </c>
      <c r="Q274">
        <v>-489</v>
      </c>
      <c r="R274" s="11">
        <v>-0.10866666666666699</v>
      </c>
      <c r="S274" s="11">
        <f>INDEX(Raw_product_master[Target_Margin], MATCH(Cleaned_Sales_data[[#This Row],[Product]],Raw_product_master[Product], 0 ))</f>
        <v>0.22</v>
      </c>
      <c r="T274" t="str">
        <f>IF(Cleaned_Sales_data[[#This Row],[Profit]]&gt;0, "Profitable", "Loss")</f>
        <v>Loss</v>
      </c>
      <c r="U274" t="str">
        <f>_xlfn.IFS(Cleaned_Sales_data[[#This Row],[Profit]]&gt;=10000, "High", Cleaned_Sales_data[[#This Row],[Profit]]&gt;=5000, "Medium", Cleaned_Sales_data[[#This Row],[Profit]]&gt;=0, "Low", Cleaned_Sales_data[[#This Row],[Profit]] &lt;0, "Loss")</f>
        <v>Loss</v>
      </c>
      <c r="V274" t="str">
        <f t="shared" si="4"/>
        <v>UnderPerforming</v>
      </c>
      <c r="W274" s="3">
        <v>45870</v>
      </c>
    </row>
    <row r="275" spans="1:23">
      <c r="A275" t="s">
        <v>505</v>
      </c>
      <c r="B275" s="3">
        <v>45794</v>
      </c>
      <c r="C275" t="s">
        <v>61</v>
      </c>
      <c r="D275" t="str">
        <f>INDEX(Raw_product_master[Category],MATCH(Cleaned_Sales_data[[#This Row],[Product]],Raw_product_master[Product],0))</f>
        <v>Accessories</v>
      </c>
      <c r="E275" t="s">
        <v>63</v>
      </c>
      <c r="F275" t="s">
        <v>20</v>
      </c>
      <c r="G275" t="s">
        <v>21</v>
      </c>
      <c r="H275">
        <v>4</v>
      </c>
      <c r="I275">
        <v>4500</v>
      </c>
      <c r="J275" s="10">
        <v>0.08</v>
      </c>
      <c r="K275">
        <v>18000</v>
      </c>
      <c r="L275">
        <v>16560</v>
      </c>
      <c r="M275">
        <v>11700</v>
      </c>
      <c r="N275">
        <v>562</v>
      </c>
      <c r="O275">
        <v>1632</v>
      </c>
      <c r="P275">
        <f>INDEX(Raw_product_master[Standard_Cost_Per_Unit],MATCH(Cleaned_Sales_data[[#This Row],[Product]],Raw_product_master[Product],0))</f>
        <v>2925</v>
      </c>
      <c r="Q275">
        <v>2666</v>
      </c>
      <c r="R275" s="11">
        <v>0.16099033816425101</v>
      </c>
      <c r="S275" s="11">
        <f>INDEX(Raw_product_master[Target_Margin], MATCH(Cleaned_Sales_data[[#This Row],[Product]],Raw_product_master[Product], 0 ))</f>
        <v>0.22</v>
      </c>
      <c r="T275" t="str">
        <f>IF(Cleaned_Sales_data[[#This Row],[Profit]]&gt;0, "Profitable", "Loss")</f>
        <v>Profitable</v>
      </c>
      <c r="U275" t="str">
        <f>_xlfn.IFS(Cleaned_Sales_data[[#This Row],[Profit]]&gt;=10000, "High", Cleaned_Sales_data[[#This Row],[Profit]]&gt;=5000, "Medium", Cleaned_Sales_data[[#This Row],[Profit]]&gt;=0, "Low", Cleaned_Sales_data[[#This Row],[Profit]] &lt;0, "Loss")</f>
        <v>Low</v>
      </c>
      <c r="V275" t="str">
        <f t="shared" si="4"/>
        <v>UnderPerforming</v>
      </c>
      <c r="W275" s="3">
        <v>45778</v>
      </c>
    </row>
    <row r="276" spans="1:23">
      <c r="A276" t="s">
        <v>516</v>
      </c>
      <c r="B276" s="3">
        <v>45913</v>
      </c>
      <c r="C276" t="s">
        <v>50</v>
      </c>
      <c r="D276" t="str">
        <f>INDEX(Raw_product_master[Category],MATCH(Cleaned_Sales_data[[#This Row],[Product]],Raw_product_master[Product],0))</f>
        <v>Accessories</v>
      </c>
      <c r="E276" t="s">
        <v>63</v>
      </c>
      <c r="F276" t="s">
        <v>20</v>
      </c>
      <c r="G276" t="s">
        <v>21</v>
      </c>
      <c r="H276">
        <v>3</v>
      </c>
      <c r="I276">
        <v>2500</v>
      </c>
      <c r="J276" s="10">
        <v>0.05</v>
      </c>
      <c r="K276">
        <v>7500</v>
      </c>
      <c r="L276">
        <v>7125</v>
      </c>
      <c r="M276">
        <v>4650</v>
      </c>
      <c r="N276">
        <v>1097</v>
      </c>
      <c r="O276">
        <v>1185</v>
      </c>
      <c r="P276">
        <f>INDEX(Raw_product_master[Standard_Cost_Per_Unit],MATCH(Cleaned_Sales_data[[#This Row],[Product]],Raw_product_master[Product],0))</f>
        <v>1550</v>
      </c>
      <c r="Q276">
        <v>193</v>
      </c>
      <c r="R276" s="11">
        <v>2.7087719298245602E-2</v>
      </c>
      <c r="S276" s="11">
        <f>INDEX(Raw_product_master[Target_Margin], MATCH(Cleaned_Sales_data[[#This Row],[Product]],Raw_product_master[Product], 0 ))</f>
        <v>0.25</v>
      </c>
      <c r="T276" t="str">
        <f>IF(Cleaned_Sales_data[[#This Row],[Profit]]&gt;0, "Profitable", "Loss")</f>
        <v>Profitable</v>
      </c>
      <c r="U276" t="str">
        <f>_xlfn.IFS(Cleaned_Sales_data[[#This Row],[Profit]]&gt;=10000, "High", Cleaned_Sales_data[[#This Row],[Profit]]&gt;=5000, "Medium", Cleaned_Sales_data[[#This Row],[Profit]]&gt;=0, "Low", Cleaned_Sales_data[[#This Row],[Profit]] &lt;0, "Loss")</f>
        <v>Low</v>
      </c>
      <c r="V276" t="str">
        <f t="shared" si="4"/>
        <v>UnderPerforming</v>
      </c>
      <c r="W276" s="3">
        <v>45901</v>
      </c>
    </row>
    <row r="277" spans="1:23">
      <c r="A277" t="s">
        <v>518</v>
      </c>
      <c r="B277" s="3">
        <v>45701</v>
      </c>
      <c r="C277" t="s">
        <v>24</v>
      </c>
      <c r="D277" t="str">
        <f>INDEX(Raw_product_master[Category],MATCH(Cleaned_Sales_data[[#This Row],[Product]],Raw_product_master[Product],0))</f>
        <v>Accessories</v>
      </c>
      <c r="E277" t="s">
        <v>51</v>
      </c>
      <c r="F277" t="s">
        <v>20</v>
      </c>
      <c r="G277" t="s">
        <v>21</v>
      </c>
      <c r="H277">
        <v>6</v>
      </c>
      <c r="I277">
        <v>3500</v>
      </c>
      <c r="J277" s="10">
        <v>0.1</v>
      </c>
      <c r="K277">
        <v>21000</v>
      </c>
      <c r="L277">
        <v>18900</v>
      </c>
      <c r="M277">
        <v>14280</v>
      </c>
      <c r="N277">
        <v>1537</v>
      </c>
      <c r="O277">
        <v>1334</v>
      </c>
      <c r="P277">
        <f>INDEX(Raw_product_master[Standard_Cost_Per_Unit],MATCH(Cleaned_Sales_data[[#This Row],[Product]],Raw_product_master[Product],0))</f>
        <v>2380</v>
      </c>
      <c r="Q277">
        <v>1749</v>
      </c>
      <c r="R277" s="11">
        <v>9.2539682539682394E-2</v>
      </c>
      <c r="S277" s="11">
        <f>INDEX(Raw_product_master[Target_Margin], MATCH(Cleaned_Sales_data[[#This Row],[Product]],Raw_product_master[Product], 0 ))</f>
        <v>0.2</v>
      </c>
      <c r="T277" t="str">
        <f>IF(Cleaned_Sales_data[[#This Row],[Profit]]&gt;0, "Profitable", "Loss")</f>
        <v>Profitable</v>
      </c>
      <c r="U277" t="str">
        <f>_xlfn.IFS(Cleaned_Sales_data[[#This Row],[Profit]]&gt;=10000, "High", Cleaned_Sales_data[[#This Row],[Profit]]&gt;=5000, "Medium", Cleaned_Sales_data[[#This Row],[Profit]]&gt;=0, "Low", Cleaned_Sales_data[[#This Row],[Profit]] &lt;0, "Loss")</f>
        <v>Low</v>
      </c>
      <c r="V277" t="str">
        <f t="shared" si="4"/>
        <v>UnderPerforming</v>
      </c>
      <c r="W277" s="3">
        <v>45689</v>
      </c>
    </row>
    <row r="278" spans="1:23">
      <c r="A278" t="s">
        <v>520</v>
      </c>
      <c r="B278" s="3">
        <v>46185</v>
      </c>
      <c r="C278" t="s">
        <v>53</v>
      </c>
      <c r="D278" t="str">
        <f>INDEX(Raw_product_master[Category],MATCH(Cleaned_Sales_data[[#This Row],[Product]],Raw_product_master[Product],0))</f>
        <v>Accessories</v>
      </c>
      <c r="E278" t="s">
        <v>19</v>
      </c>
      <c r="F278" t="s">
        <v>20</v>
      </c>
      <c r="G278" t="s">
        <v>21</v>
      </c>
      <c r="H278">
        <v>2</v>
      </c>
      <c r="I278">
        <v>1500</v>
      </c>
      <c r="J278" s="10">
        <v>0.05</v>
      </c>
      <c r="K278">
        <v>3000</v>
      </c>
      <c r="L278">
        <v>2850</v>
      </c>
      <c r="M278">
        <v>1650</v>
      </c>
      <c r="N278">
        <v>466</v>
      </c>
      <c r="O278">
        <v>153</v>
      </c>
      <c r="P278">
        <f>INDEX(Raw_product_master[Standard_Cost_Per_Unit],MATCH(Cleaned_Sales_data[[#This Row],[Product]],Raw_product_master[Product],0))</f>
        <v>825</v>
      </c>
      <c r="Q278">
        <v>581</v>
      </c>
      <c r="R278" s="11">
        <v>0.20385964912280699</v>
      </c>
      <c r="S278" s="11">
        <f>INDEX(Raw_product_master[Target_Margin], MATCH(Cleaned_Sales_data[[#This Row],[Product]],Raw_product_master[Product], 0 ))</f>
        <v>0.3</v>
      </c>
      <c r="T278" t="str">
        <f>IF(Cleaned_Sales_data[[#This Row],[Profit]]&gt;0, "Profitable", "Loss")</f>
        <v>Profitable</v>
      </c>
      <c r="U278" t="str">
        <f>_xlfn.IFS(Cleaned_Sales_data[[#This Row],[Profit]]&gt;=10000, "High", Cleaned_Sales_data[[#This Row],[Profit]]&gt;=5000, "Medium", Cleaned_Sales_data[[#This Row],[Profit]]&gt;=0, "Low", Cleaned_Sales_data[[#This Row],[Profit]] &lt;0, "Loss")</f>
        <v>Low</v>
      </c>
      <c r="V278" t="str">
        <f t="shared" si="4"/>
        <v>UnderPerforming</v>
      </c>
      <c r="W278" s="3">
        <v>46174</v>
      </c>
    </row>
    <row r="279" spans="1:23">
      <c r="A279" t="s">
        <v>534</v>
      </c>
      <c r="B279" s="3">
        <v>46128</v>
      </c>
      <c r="C279" t="s">
        <v>50</v>
      </c>
      <c r="D279" t="str">
        <f>INDEX(Raw_product_master[Category],MATCH(Cleaned_Sales_data[[#This Row],[Product]],Raw_product_master[Product],0))</f>
        <v>Accessories</v>
      </c>
      <c r="E279" t="s">
        <v>19</v>
      </c>
      <c r="F279" t="s">
        <v>20</v>
      </c>
      <c r="G279" t="s">
        <v>21</v>
      </c>
      <c r="H279">
        <v>3</v>
      </c>
      <c r="I279">
        <v>2500</v>
      </c>
      <c r="J279" s="10">
        <v>0.1</v>
      </c>
      <c r="K279">
        <v>7500</v>
      </c>
      <c r="L279">
        <v>6750</v>
      </c>
      <c r="M279">
        <v>4650</v>
      </c>
      <c r="N279">
        <v>1378</v>
      </c>
      <c r="O279">
        <v>1690</v>
      </c>
      <c r="P279">
        <f>INDEX(Raw_product_master[Standard_Cost_Per_Unit],MATCH(Cleaned_Sales_data[[#This Row],[Product]],Raw_product_master[Product],0))</f>
        <v>1550</v>
      </c>
      <c r="Q279">
        <v>-968</v>
      </c>
      <c r="R279" s="11">
        <v>-0.14340740740740701</v>
      </c>
      <c r="S279" s="11">
        <f>INDEX(Raw_product_master[Target_Margin], MATCH(Cleaned_Sales_data[[#This Row],[Product]],Raw_product_master[Product], 0 ))</f>
        <v>0.25</v>
      </c>
      <c r="T279" t="str">
        <f>IF(Cleaned_Sales_data[[#This Row],[Profit]]&gt;0, "Profitable", "Loss")</f>
        <v>Loss</v>
      </c>
      <c r="U279" t="str">
        <f>_xlfn.IFS(Cleaned_Sales_data[[#This Row],[Profit]]&gt;=10000, "High", Cleaned_Sales_data[[#This Row],[Profit]]&gt;=5000, "Medium", Cleaned_Sales_data[[#This Row],[Profit]]&gt;=0, "Low", Cleaned_Sales_data[[#This Row],[Profit]] &lt;0, "Loss")</f>
        <v>Loss</v>
      </c>
      <c r="V279" t="str">
        <f t="shared" si="4"/>
        <v>UnderPerforming</v>
      </c>
      <c r="W279" s="3">
        <v>46113</v>
      </c>
    </row>
    <row r="280" spans="1:23">
      <c r="A280" t="s">
        <v>535</v>
      </c>
      <c r="B280" s="3">
        <v>46115</v>
      </c>
      <c r="C280" t="s">
        <v>75</v>
      </c>
      <c r="D280" t="str">
        <f>INDEX(Raw_product_master[Category],MATCH(Cleaned_Sales_data[[#This Row],[Product]],Raw_product_master[Product],0))</f>
        <v>Computers</v>
      </c>
      <c r="E280" t="s">
        <v>34</v>
      </c>
      <c r="F280" t="s">
        <v>20</v>
      </c>
      <c r="G280" t="s">
        <v>21</v>
      </c>
      <c r="H280">
        <v>3</v>
      </c>
      <c r="I280">
        <v>65000</v>
      </c>
      <c r="J280" s="10">
        <v>0.1</v>
      </c>
      <c r="K280">
        <v>195000</v>
      </c>
      <c r="L280">
        <v>175500</v>
      </c>
      <c r="M280">
        <v>163800</v>
      </c>
      <c r="N280">
        <v>1200</v>
      </c>
      <c r="O280">
        <v>1305</v>
      </c>
      <c r="P280">
        <f>INDEX(Raw_product_master[Standard_Cost_Per_Unit],MATCH(Cleaned_Sales_data[[#This Row],[Product]],Raw_product_master[Product],0))</f>
        <v>54600</v>
      </c>
      <c r="Q280">
        <v>9195</v>
      </c>
      <c r="R280" s="11">
        <v>5.2393162393162399E-2</v>
      </c>
      <c r="S280" s="11">
        <f>INDEX(Raw_product_master[Target_Margin], MATCH(Cleaned_Sales_data[[#This Row],[Product]],Raw_product_master[Product], 0 ))</f>
        <v>0.12</v>
      </c>
      <c r="T280" t="str">
        <f>IF(Cleaned_Sales_data[[#This Row],[Profit]]&gt;0, "Profitable", "Loss")</f>
        <v>Profitable</v>
      </c>
      <c r="U280" t="str">
        <f>_xlfn.IFS(Cleaned_Sales_data[[#This Row],[Profit]]&gt;=10000, "High", Cleaned_Sales_data[[#This Row],[Profit]]&gt;=5000, "Medium", Cleaned_Sales_data[[#This Row],[Profit]]&gt;=0, "Low", Cleaned_Sales_data[[#This Row],[Profit]] &lt;0, "Loss")</f>
        <v>Medium</v>
      </c>
      <c r="V280" t="str">
        <f t="shared" si="4"/>
        <v>UnderPerforming</v>
      </c>
      <c r="W280" s="3">
        <v>46113</v>
      </c>
    </row>
    <row r="281" spans="1:23">
      <c r="A281" t="s">
        <v>539</v>
      </c>
      <c r="B281" s="3">
        <v>45997</v>
      </c>
      <c r="C281" t="s">
        <v>50</v>
      </c>
      <c r="D281" t="str">
        <f>INDEX(Raw_product_master[Category],MATCH(Cleaned_Sales_data[[#This Row],[Product]],Raw_product_master[Product],0))</f>
        <v>Accessories</v>
      </c>
      <c r="E281" t="s">
        <v>31</v>
      </c>
      <c r="F281" t="s">
        <v>20</v>
      </c>
      <c r="G281" t="s">
        <v>21</v>
      </c>
      <c r="H281">
        <v>6</v>
      </c>
      <c r="I281">
        <v>2500</v>
      </c>
      <c r="J281" s="10">
        <v>0.1</v>
      </c>
      <c r="K281">
        <v>15000</v>
      </c>
      <c r="L281">
        <v>13500</v>
      </c>
      <c r="M281">
        <v>9300</v>
      </c>
      <c r="N281">
        <v>1252</v>
      </c>
      <c r="O281">
        <v>395</v>
      </c>
      <c r="P281">
        <f>INDEX(Raw_product_master[Standard_Cost_Per_Unit],MATCH(Cleaned_Sales_data[[#This Row],[Product]],Raw_product_master[Product],0))</f>
        <v>1550</v>
      </c>
      <c r="Q281">
        <v>2553</v>
      </c>
      <c r="R281" s="11">
        <v>0.18911111111111101</v>
      </c>
      <c r="S281" s="11">
        <f>INDEX(Raw_product_master[Target_Margin], MATCH(Cleaned_Sales_data[[#This Row],[Product]],Raw_product_master[Product], 0 ))</f>
        <v>0.25</v>
      </c>
      <c r="T281" t="str">
        <f>IF(Cleaned_Sales_data[[#This Row],[Profit]]&gt;0, "Profitable", "Loss")</f>
        <v>Profitable</v>
      </c>
      <c r="U281" t="str">
        <f>_xlfn.IFS(Cleaned_Sales_data[[#This Row],[Profit]]&gt;=10000, "High", Cleaned_Sales_data[[#This Row],[Profit]]&gt;=5000, "Medium", Cleaned_Sales_data[[#This Row],[Profit]]&gt;=0, "Low", Cleaned_Sales_data[[#This Row],[Profit]] &lt;0, "Loss")</f>
        <v>Low</v>
      </c>
      <c r="V281" t="str">
        <f t="shared" si="4"/>
        <v>UnderPerforming</v>
      </c>
      <c r="W281" s="3">
        <v>45992</v>
      </c>
    </row>
    <row r="282" spans="1:23">
      <c r="A282" t="s">
        <v>541</v>
      </c>
      <c r="B282" s="3">
        <v>45880</v>
      </c>
      <c r="C282" t="s">
        <v>75</v>
      </c>
      <c r="D282" t="str">
        <f>INDEX(Raw_product_master[Category],MATCH(Cleaned_Sales_data[[#This Row],[Product]],Raw_product_master[Product],0))</f>
        <v>Computers</v>
      </c>
      <c r="E282" t="s">
        <v>63</v>
      </c>
      <c r="F282" t="s">
        <v>20</v>
      </c>
      <c r="G282" t="s">
        <v>21</v>
      </c>
      <c r="H282">
        <v>3</v>
      </c>
      <c r="I282">
        <v>65000</v>
      </c>
      <c r="J282" s="10">
        <v>0.03</v>
      </c>
      <c r="K282">
        <v>195000</v>
      </c>
      <c r="L282">
        <v>189150</v>
      </c>
      <c r="M282">
        <v>163800</v>
      </c>
      <c r="N282">
        <v>1457</v>
      </c>
      <c r="O282">
        <v>564</v>
      </c>
      <c r="P282">
        <f>INDEX(Raw_product_master[Standard_Cost_Per_Unit],MATCH(Cleaned_Sales_data[[#This Row],[Product]],Raw_product_master[Product],0))</f>
        <v>54600</v>
      </c>
      <c r="Q282">
        <v>23329</v>
      </c>
      <c r="R282" s="11">
        <v>0.123335976738039</v>
      </c>
      <c r="S282" s="11">
        <f>INDEX(Raw_product_master[Target_Margin], MATCH(Cleaned_Sales_data[[#This Row],[Product]],Raw_product_master[Product], 0 ))</f>
        <v>0.12</v>
      </c>
      <c r="T282" t="str">
        <f>IF(Cleaned_Sales_data[[#This Row],[Profit]]&gt;0, "Profitable", "Loss")</f>
        <v>Profitable</v>
      </c>
      <c r="U282" t="str">
        <f>_xlfn.IFS(Cleaned_Sales_data[[#This Row],[Profit]]&gt;=10000, "High", Cleaned_Sales_data[[#This Row],[Profit]]&gt;=5000, "Medium", Cleaned_Sales_data[[#This Row],[Profit]]&gt;=0, "Low", Cleaned_Sales_data[[#This Row],[Profit]] &lt;0, "Loss")</f>
        <v>High</v>
      </c>
      <c r="V282" t="str">
        <f t="shared" si="4"/>
        <v>On Target</v>
      </c>
      <c r="W282" s="3">
        <v>45870</v>
      </c>
    </row>
    <row r="283" spans="1:23">
      <c r="A283" t="s">
        <v>543</v>
      </c>
      <c r="B283" s="3">
        <v>45728</v>
      </c>
      <c r="C283" t="s">
        <v>24</v>
      </c>
      <c r="D283" t="str">
        <f>INDEX(Raw_product_master[Category],MATCH(Cleaned_Sales_data[[#This Row],[Product]],Raw_product_master[Product],0))</f>
        <v>Accessories</v>
      </c>
      <c r="E283" t="s">
        <v>31</v>
      </c>
      <c r="F283" t="s">
        <v>20</v>
      </c>
      <c r="G283" t="s">
        <v>21</v>
      </c>
      <c r="H283">
        <v>3</v>
      </c>
      <c r="I283">
        <v>3500</v>
      </c>
      <c r="J283" s="10">
        <v>0.08</v>
      </c>
      <c r="K283">
        <v>10500</v>
      </c>
      <c r="L283">
        <v>9660</v>
      </c>
      <c r="M283">
        <v>7140</v>
      </c>
      <c r="N283">
        <v>1321</v>
      </c>
      <c r="O283">
        <v>2069</v>
      </c>
      <c r="P283">
        <f>INDEX(Raw_product_master[Standard_Cost_Per_Unit],MATCH(Cleaned_Sales_data[[#This Row],[Product]],Raw_product_master[Product],0))</f>
        <v>2380</v>
      </c>
      <c r="Q283">
        <v>-870</v>
      </c>
      <c r="R283" s="11">
        <v>-9.0062111801242406E-2</v>
      </c>
      <c r="S283" s="11">
        <f>INDEX(Raw_product_master[Target_Margin], MATCH(Cleaned_Sales_data[[#This Row],[Product]],Raw_product_master[Product], 0 ))</f>
        <v>0.2</v>
      </c>
      <c r="T283" t="str">
        <f>IF(Cleaned_Sales_data[[#This Row],[Profit]]&gt;0, "Profitable", "Loss")</f>
        <v>Loss</v>
      </c>
      <c r="U283" t="str">
        <f>_xlfn.IFS(Cleaned_Sales_data[[#This Row],[Profit]]&gt;=10000, "High", Cleaned_Sales_data[[#This Row],[Profit]]&gt;=5000, "Medium", Cleaned_Sales_data[[#This Row],[Profit]]&gt;=0, "Low", Cleaned_Sales_data[[#This Row],[Profit]] &lt;0, "Loss")</f>
        <v>Loss</v>
      </c>
      <c r="V283" t="str">
        <f t="shared" si="4"/>
        <v>UnderPerforming</v>
      </c>
      <c r="W283" s="3">
        <v>45717</v>
      </c>
    </row>
    <row r="284" spans="1:23">
      <c r="A284" t="s">
        <v>545</v>
      </c>
      <c r="B284" s="3">
        <v>45750</v>
      </c>
      <c r="C284" t="s">
        <v>46</v>
      </c>
      <c r="D284" t="str">
        <f>INDEX(Raw_product_master[Category],MATCH(Cleaned_Sales_data[[#This Row],[Product]],Raw_product_master[Product],0))</f>
        <v>Office Equipment</v>
      </c>
      <c r="E284" t="s">
        <v>34</v>
      </c>
      <c r="F284" t="s">
        <v>20</v>
      </c>
      <c r="G284" t="s">
        <v>21</v>
      </c>
      <c r="H284">
        <v>3</v>
      </c>
      <c r="I284">
        <v>18000</v>
      </c>
      <c r="J284" s="10">
        <v>0.1</v>
      </c>
      <c r="K284">
        <v>54000</v>
      </c>
      <c r="L284">
        <v>48600</v>
      </c>
      <c r="M284">
        <v>43200</v>
      </c>
      <c r="N284">
        <v>309</v>
      </c>
      <c r="O284">
        <v>291</v>
      </c>
      <c r="P284">
        <f>INDEX(Raw_product_master[Standard_Cost_Per_Unit],MATCH(Cleaned_Sales_data[[#This Row],[Product]],Raw_product_master[Product],0))</f>
        <v>14400</v>
      </c>
      <c r="Q284">
        <v>4800</v>
      </c>
      <c r="R284" s="11">
        <v>9.8765432098765399E-2</v>
      </c>
      <c r="S284" s="11">
        <f>INDEX(Raw_product_master[Target_Margin], MATCH(Cleaned_Sales_data[[#This Row],[Product]],Raw_product_master[Product], 0 ))</f>
        <v>0.15</v>
      </c>
      <c r="T284" t="str">
        <f>IF(Cleaned_Sales_data[[#This Row],[Profit]]&gt;0, "Profitable", "Loss")</f>
        <v>Profitable</v>
      </c>
      <c r="U284" t="str">
        <f>_xlfn.IFS(Cleaned_Sales_data[[#This Row],[Profit]]&gt;=10000, "High", Cleaned_Sales_data[[#This Row],[Profit]]&gt;=5000, "Medium", Cleaned_Sales_data[[#This Row],[Profit]]&gt;=0, "Low", Cleaned_Sales_data[[#This Row],[Profit]] &lt;0, "Loss")</f>
        <v>Low</v>
      </c>
      <c r="V284" t="str">
        <f t="shared" si="4"/>
        <v>UnderPerforming</v>
      </c>
      <c r="W284" s="3">
        <v>45748</v>
      </c>
    </row>
    <row r="285" spans="1:23">
      <c r="A285" t="s">
        <v>548</v>
      </c>
      <c r="B285" s="3">
        <v>46012</v>
      </c>
      <c r="C285" t="s">
        <v>24</v>
      </c>
      <c r="D285" t="str">
        <f>INDEX(Raw_product_master[Category],MATCH(Cleaned_Sales_data[[#This Row],[Product]],Raw_product_master[Product],0))</f>
        <v>Accessories</v>
      </c>
      <c r="E285" t="s">
        <v>31</v>
      </c>
      <c r="F285" t="s">
        <v>20</v>
      </c>
      <c r="G285" t="s">
        <v>21</v>
      </c>
      <c r="H285">
        <v>6</v>
      </c>
      <c r="I285">
        <v>3500</v>
      </c>
      <c r="J285" s="10">
        <v>0.1</v>
      </c>
      <c r="K285">
        <v>21000</v>
      </c>
      <c r="L285">
        <v>18900</v>
      </c>
      <c r="M285">
        <v>14280</v>
      </c>
      <c r="N285">
        <v>1351</v>
      </c>
      <c r="O285">
        <v>2385</v>
      </c>
      <c r="P285">
        <f>INDEX(Raw_product_master[Standard_Cost_Per_Unit],MATCH(Cleaned_Sales_data[[#This Row],[Product]],Raw_product_master[Product],0))</f>
        <v>2380</v>
      </c>
      <c r="Q285">
        <v>884</v>
      </c>
      <c r="R285" s="11">
        <v>4.6772486772486702E-2</v>
      </c>
      <c r="S285" s="11">
        <f>INDEX(Raw_product_master[Target_Margin], MATCH(Cleaned_Sales_data[[#This Row],[Product]],Raw_product_master[Product], 0 ))</f>
        <v>0.2</v>
      </c>
      <c r="T285" t="str">
        <f>IF(Cleaned_Sales_data[[#This Row],[Profit]]&gt;0, "Profitable", "Loss")</f>
        <v>Profitable</v>
      </c>
      <c r="U285" t="str">
        <f>_xlfn.IFS(Cleaned_Sales_data[[#This Row],[Profit]]&gt;=10000, "High", Cleaned_Sales_data[[#This Row],[Profit]]&gt;=5000, "Medium", Cleaned_Sales_data[[#This Row],[Profit]]&gt;=0, "Low", Cleaned_Sales_data[[#This Row],[Profit]] &lt;0, "Loss")</f>
        <v>Low</v>
      </c>
      <c r="V285" t="str">
        <f t="shared" si="4"/>
        <v>UnderPerforming</v>
      </c>
      <c r="W285" s="3">
        <v>45992</v>
      </c>
    </row>
    <row r="286" spans="1:23">
      <c r="A286" t="s">
        <v>550</v>
      </c>
      <c r="B286" s="3">
        <v>46056</v>
      </c>
      <c r="C286" t="s">
        <v>61</v>
      </c>
      <c r="D286" t="str">
        <f>INDEX(Raw_product_master[Category],MATCH(Cleaned_Sales_data[[#This Row],[Product]],Raw_product_master[Product],0))</f>
        <v>Accessories</v>
      </c>
      <c r="E286" t="s">
        <v>25</v>
      </c>
      <c r="F286" t="s">
        <v>20</v>
      </c>
      <c r="G286" t="s">
        <v>21</v>
      </c>
      <c r="H286">
        <v>5</v>
      </c>
      <c r="I286">
        <v>4500</v>
      </c>
      <c r="J286" s="10">
        <v>0.05</v>
      </c>
      <c r="K286">
        <v>22500</v>
      </c>
      <c r="L286">
        <v>21375</v>
      </c>
      <c r="M286">
        <v>14625</v>
      </c>
      <c r="N286">
        <v>729</v>
      </c>
      <c r="O286">
        <v>1071</v>
      </c>
      <c r="P286">
        <f>INDEX(Raw_product_master[Standard_Cost_Per_Unit],MATCH(Cleaned_Sales_data[[#This Row],[Product]],Raw_product_master[Product],0))</f>
        <v>2925</v>
      </c>
      <c r="Q286">
        <v>4950</v>
      </c>
      <c r="R286" s="11">
        <v>0.231578947368421</v>
      </c>
      <c r="S286" s="11">
        <f>INDEX(Raw_product_master[Target_Margin], MATCH(Cleaned_Sales_data[[#This Row],[Product]],Raw_product_master[Product], 0 ))</f>
        <v>0.22</v>
      </c>
      <c r="T286" t="str">
        <f>IF(Cleaned_Sales_data[[#This Row],[Profit]]&gt;0, "Profitable", "Loss")</f>
        <v>Profitable</v>
      </c>
      <c r="U286" t="str">
        <f>_xlfn.IFS(Cleaned_Sales_data[[#This Row],[Profit]]&gt;=10000, "High", Cleaned_Sales_data[[#This Row],[Profit]]&gt;=5000, "Medium", Cleaned_Sales_data[[#This Row],[Profit]]&gt;=0, "Low", Cleaned_Sales_data[[#This Row],[Profit]] &lt;0, "Loss")</f>
        <v>Low</v>
      </c>
      <c r="V286" t="str">
        <f t="shared" si="4"/>
        <v>On Target</v>
      </c>
      <c r="W286" s="3">
        <v>46054</v>
      </c>
    </row>
    <row r="287" spans="1:23">
      <c r="A287" t="s">
        <v>554</v>
      </c>
      <c r="B287" s="3">
        <v>45927</v>
      </c>
      <c r="C287" t="s">
        <v>61</v>
      </c>
      <c r="D287" t="str">
        <f>INDEX(Raw_product_master[Category],MATCH(Cleaned_Sales_data[[#This Row],[Product]],Raw_product_master[Product],0))</f>
        <v>Accessories</v>
      </c>
      <c r="E287" t="s">
        <v>34</v>
      </c>
      <c r="F287" t="s">
        <v>20</v>
      </c>
      <c r="G287" t="s">
        <v>21</v>
      </c>
      <c r="H287">
        <v>3</v>
      </c>
      <c r="I287">
        <v>4500</v>
      </c>
      <c r="J287" s="10">
        <v>0.1</v>
      </c>
      <c r="K287">
        <v>13500</v>
      </c>
      <c r="L287">
        <v>12150</v>
      </c>
      <c r="M287">
        <v>8775</v>
      </c>
      <c r="N287">
        <v>387</v>
      </c>
      <c r="O287">
        <v>1981</v>
      </c>
      <c r="P287">
        <f>INDEX(Raw_product_master[Standard_Cost_Per_Unit],MATCH(Cleaned_Sales_data[[#This Row],[Product]],Raw_product_master[Product],0))</f>
        <v>2925</v>
      </c>
      <c r="Q287">
        <v>1007</v>
      </c>
      <c r="R287" s="11">
        <v>8.2880658436214005E-2</v>
      </c>
      <c r="S287" s="11">
        <f>INDEX(Raw_product_master[Target_Margin], MATCH(Cleaned_Sales_data[[#This Row],[Product]],Raw_product_master[Product], 0 ))</f>
        <v>0.22</v>
      </c>
      <c r="T287" t="str">
        <f>IF(Cleaned_Sales_data[[#This Row],[Profit]]&gt;0, "Profitable", "Loss")</f>
        <v>Profitable</v>
      </c>
      <c r="U287" t="str">
        <f>_xlfn.IFS(Cleaned_Sales_data[[#This Row],[Profit]]&gt;=10000, "High", Cleaned_Sales_data[[#This Row],[Profit]]&gt;=5000, "Medium", Cleaned_Sales_data[[#This Row],[Profit]]&gt;=0, "Low", Cleaned_Sales_data[[#This Row],[Profit]] &lt;0, "Loss")</f>
        <v>Low</v>
      </c>
      <c r="V287" t="str">
        <f t="shared" si="4"/>
        <v>UnderPerforming</v>
      </c>
      <c r="W287" s="3">
        <v>45901</v>
      </c>
    </row>
    <row r="288" spans="1:23">
      <c r="A288" t="s">
        <v>557</v>
      </c>
      <c r="B288" s="3">
        <v>46006</v>
      </c>
      <c r="C288" t="s">
        <v>50</v>
      </c>
      <c r="D288" t="str">
        <f>INDEX(Raw_product_master[Category],MATCH(Cleaned_Sales_data[[#This Row],[Product]],Raw_product_master[Product],0))</f>
        <v>Accessories</v>
      </c>
      <c r="E288" t="s">
        <v>51</v>
      </c>
      <c r="F288" t="s">
        <v>20</v>
      </c>
      <c r="G288" t="s">
        <v>21</v>
      </c>
      <c r="H288">
        <v>2</v>
      </c>
      <c r="I288">
        <v>2500</v>
      </c>
      <c r="J288" s="10">
        <v>0.05</v>
      </c>
      <c r="K288">
        <v>5000</v>
      </c>
      <c r="L288">
        <v>4750</v>
      </c>
      <c r="M288">
        <v>3100</v>
      </c>
      <c r="N288">
        <v>898</v>
      </c>
      <c r="O288">
        <v>1300</v>
      </c>
      <c r="P288">
        <f>INDEX(Raw_product_master[Standard_Cost_Per_Unit],MATCH(Cleaned_Sales_data[[#This Row],[Product]],Raw_product_master[Product],0))</f>
        <v>1550</v>
      </c>
      <c r="Q288">
        <v>-548</v>
      </c>
      <c r="R288" s="11">
        <v>-0.11536842105263199</v>
      </c>
      <c r="S288" s="11">
        <f>INDEX(Raw_product_master[Target_Margin], MATCH(Cleaned_Sales_data[[#This Row],[Product]],Raw_product_master[Product], 0 ))</f>
        <v>0.25</v>
      </c>
      <c r="T288" t="str">
        <f>IF(Cleaned_Sales_data[[#This Row],[Profit]]&gt;0, "Profitable", "Loss")</f>
        <v>Loss</v>
      </c>
      <c r="U288" t="str">
        <f>_xlfn.IFS(Cleaned_Sales_data[[#This Row],[Profit]]&gt;=10000, "High", Cleaned_Sales_data[[#This Row],[Profit]]&gt;=5000, "Medium", Cleaned_Sales_data[[#This Row],[Profit]]&gt;=0, "Low", Cleaned_Sales_data[[#This Row],[Profit]] &lt;0, "Loss")</f>
        <v>Loss</v>
      </c>
      <c r="V288" t="str">
        <f t="shared" si="4"/>
        <v>UnderPerforming</v>
      </c>
      <c r="W288" s="3">
        <v>45992</v>
      </c>
    </row>
    <row r="289" spans="1:23">
      <c r="A289" t="s">
        <v>561</v>
      </c>
      <c r="B289" s="3">
        <v>45659</v>
      </c>
      <c r="C289" t="s">
        <v>24</v>
      </c>
      <c r="D289" t="str">
        <f>INDEX(Raw_product_master[Category],MATCH(Cleaned_Sales_data[[#This Row],[Product]],Raw_product_master[Product],0))</f>
        <v>Accessories</v>
      </c>
      <c r="E289" t="s">
        <v>34</v>
      </c>
      <c r="F289" t="s">
        <v>20</v>
      </c>
      <c r="G289" t="s">
        <v>21</v>
      </c>
      <c r="H289">
        <v>1</v>
      </c>
      <c r="I289">
        <v>3500</v>
      </c>
      <c r="J289" s="10">
        <v>0.1</v>
      </c>
      <c r="K289">
        <v>3500</v>
      </c>
      <c r="L289">
        <v>3150</v>
      </c>
      <c r="M289">
        <v>2380</v>
      </c>
      <c r="N289">
        <v>1495</v>
      </c>
      <c r="O289">
        <v>986</v>
      </c>
      <c r="P289">
        <f>INDEX(Raw_product_master[Standard_Cost_Per_Unit],MATCH(Cleaned_Sales_data[[#This Row],[Product]],Raw_product_master[Product],0))</f>
        <v>2380</v>
      </c>
      <c r="Q289">
        <v>-1711</v>
      </c>
      <c r="R289" s="11">
        <v>-0.54317460317460298</v>
      </c>
      <c r="S289" s="11">
        <f>INDEX(Raw_product_master[Target_Margin], MATCH(Cleaned_Sales_data[[#This Row],[Product]],Raw_product_master[Product], 0 ))</f>
        <v>0.2</v>
      </c>
      <c r="T289" t="str">
        <f>IF(Cleaned_Sales_data[[#This Row],[Profit]]&gt;0, "Profitable", "Loss")</f>
        <v>Loss</v>
      </c>
      <c r="U289" t="str">
        <f>_xlfn.IFS(Cleaned_Sales_data[[#This Row],[Profit]]&gt;=10000, "High", Cleaned_Sales_data[[#This Row],[Profit]]&gt;=5000, "Medium", Cleaned_Sales_data[[#This Row],[Profit]]&gt;=0, "Low", Cleaned_Sales_data[[#This Row],[Profit]] &lt;0, "Loss")</f>
        <v>Loss</v>
      </c>
      <c r="V289" t="str">
        <f t="shared" si="4"/>
        <v>UnderPerforming</v>
      </c>
      <c r="W289" s="3">
        <v>45658</v>
      </c>
    </row>
    <row r="290" spans="1:23">
      <c r="A290" t="s">
        <v>576</v>
      </c>
      <c r="B290" s="3">
        <v>46035</v>
      </c>
      <c r="C290" t="s">
        <v>18</v>
      </c>
      <c r="D290" t="str">
        <f>INDEX(Raw_product_master[Category],MATCH(Cleaned_Sales_data[[#This Row],[Product]],Raw_product_master[Product],0))</f>
        <v>Computers</v>
      </c>
      <c r="E290" t="s">
        <v>51</v>
      </c>
      <c r="F290" t="s">
        <v>20</v>
      </c>
      <c r="G290" t="s">
        <v>21</v>
      </c>
      <c r="H290">
        <v>3</v>
      </c>
      <c r="I290">
        <v>32000</v>
      </c>
      <c r="J290" s="10">
        <v>0</v>
      </c>
      <c r="K290">
        <v>96000</v>
      </c>
      <c r="L290">
        <v>96000</v>
      </c>
      <c r="M290">
        <v>78720</v>
      </c>
      <c r="N290">
        <v>1469</v>
      </c>
      <c r="O290">
        <v>1701</v>
      </c>
      <c r="P290">
        <f>INDEX(Raw_product_master[Standard_Cost_Per_Unit],MATCH(Cleaned_Sales_data[[#This Row],[Product]],Raw_product_master[Product],0))</f>
        <v>26240</v>
      </c>
      <c r="Q290">
        <v>14110</v>
      </c>
      <c r="R290" s="11">
        <v>0.14697916666666699</v>
      </c>
      <c r="S290" s="11">
        <f>INDEX(Raw_product_master[Target_Margin], MATCH(Cleaned_Sales_data[[#This Row],[Product]],Raw_product_master[Product], 0 ))</f>
        <v>0.12</v>
      </c>
      <c r="T290" t="str">
        <f>IF(Cleaned_Sales_data[[#This Row],[Profit]]&gt;0, "Profitable", "Loss")</f>
        <v>Profitable</v>
      </c>
      <c r="U290" t="str">
        <f>_xlfn.IFS(Cleaned_Sales_data[[#This Row],[Profit]]&gt;=10000, "High", Cleaned_Sales_data[[#This Row],[Profit]]&gt;=5000, "Medium", Cleaned_Sales_data[[#This Row],[Profit]]&gt;=0, "Low", Cleaned_Sales_data[[#This Row],[Profit]] &lt;0, "Loss")</f>
        <v>High</v>
      </c>
      <c r="V290" t="str">
        <f t="shared" si="4"/>
        <v>On Target</v>
      </c>
      <c r="W290" s="3">
        <v>46023</v>
      </c>
    </row>
    <row r="291" spans="1:23">
      <c r="A291" t="s">
        <v>579</v>
      </c>
      <c r="B291" s="3">
        <v>45849</v>
      </c>
      <c r="C291" t="s">
        <v>18</v>
      </c>
      <c r="D291" t="str">
        <f>INDEX(Raw_product_master[Category],MATCH(Cleaned_Sales_data[[#This Row],[Product]],Raw_product_master[Product],0))</f>
        <v>Computers</v>
      </c>
      <c r="E291" t="s">
        <v>19</v>
      </c>
      <c r="F291" t="s">
        <v>20</v>
      </c>
      <c r="G291" t="s">
        <v>21</v>
      </c>
      <c r="H291">
        <v>3</v>
      </c>
      <c r="I291">
        <v>32000</v>
      </c>
      <c r="J291" s="10">
        <v>0.15</v>
      </c>
      <c r="K291">
        <v>96000</v>
      </c>
      <c r="L291">
        <v>81600</v>
      </c>
      <c r="M291">
        <v>78720</v>
      </c>
      <c r="N291">
        <v>938</v>
      </c>
      <c r="O291">
        <v>971</v>
      </c>
      <c r="P291">
        <f>INDEX(Raw_product_master[Standard_Cost_Per_Unit],MATCH(Cleaned_Sales_data[[#This Row],[Product]],Raw_product_master[Product],0))</f>
        <v>26240</v>
      </c>
      <c r="Q291">
        <v>971</v>
      </c>
      <c r="R291" s="11">
        <v>1.18995098039216E-2</v>
      </c>
      <c r="S291" s="11">
        <f>INDEX(Raw_product_master[Target_Margin], MATCH(Cleaned_Sales_data[[#This Row],[Product]],Raw_product_master[Product], 0 ))</f>
        <v>0.12</v>
      </c>
      <c r="T291" t="str">
        <f>IF(Cleaned_Sales_data[[#This Row],[Profit]]&gt;0, "Profitable", "Loss")</f>
        <v>Profitable</v>
      </c>
      <c r="U291" t="str">
        <f>_xlfn.IFS(Cleaned_Sales_data[[#This Row],[Profit]]&gt;=10000, "High", Cleaned_Sales_data[[#This Row],[Profit]]&gt;=5000, "Medium", Cleaned_Sales_data[[#This Row],[Profit]]&gt;=0, "Low", Cleaned_Sales_data[[#This Row],[Profit]] &lt;0, "Loss")</f>
        <v>Low</v>
      </c>
      <c r="V291" t="str">
        <f t="shared" si="4"/>
        <v>UnderPerforming</v>
      </c>
      <c r="W291" s="3">
        <v>45839</v>
      </c>
    </row>
    <row r="292" spans="1:23">
      <c r="A292" t="s">
        <v>583</v>
      </c>
      <c r="B292" s="3">
        <v>45904</v>
      </c>
      <c r="C292" t="s">
        <v>75</v>
      </c>
      <c r="D292" t="str">
        <f>INDEX(Raw_product_master[Category],MATCH(Cleaned_Sales_data[[#This Row],[Product]],Raw_product_master[Product],0))</f>
        <v>Computers</v>
      </c>
      <c r="E292" t="s">
        <v>31</v>
      </c>
      <c r="F292" t="s">
        <v>20</v>
      </c>
      <c r="G292" t="s">
        <v>21</v>
      </c>
      <c r="H292">
        <v>3</v>
      </c>
      <c r="I292">
        <v>65000</v>
      </c>
      <c r="J292" s="10">
        <v>0.2</v>
      </c>
      <c r="K292">
        <v>195000</v>
      </c>
      <c r="L292">
        <v>156000</v>
      </c>
      <c r="M292">
        <v>163800</v>
      </c>
      <c r="N292">
        <v>1718</v>
      </c>
      <c r="O292">
        <v>773</v>
      </c>
      <c r="P292">
        <f>INDEX(Raw_product_master[Standard_Cost_Per_Unit],MATCH(Cleaned_Sales_data[[#This Row],[Product]],Raw_product_master[Product],0))</f>
        <v>54600</v>
      </c>
      <c r="Q292">
        <v>-10291</v>
      </c>
      <c r="R292" s="11">
        <v>-6.5967948717948699E-2</v>
      </c>
      <c r="S292" s="11">
        <f>INDEX(Raw_product_master[Target_Margin], MATCH(Cleaned_Sales_data[[#This Row],[Product]],Raw_product_master[Product], 0 ))</f>
        <v>0.12</v>
      </c>
      <c r="T292" t="str">
        <f>IF(Cleaned_Sales_data[[#This Row],[Profit]]&gt;0, "Profitable", "Loss")</f>
        <v>Loss</v>
      </c>
      <c r="U292" t="str">
        <f>_xlfn.IFS(Cleaned_Sales_data[[#This Row],[Profit]]&gt;=10000, "High", Cleaned_Sales_data[[#This Row],[Profit]]&gt;=5000, "Medium", Cleaned_Sales_data[[#This Row],[Profit]]&gt;=0, "Low", Cleaned_Sales_data[[#This Row],[Profit]] &lt;0, "Loss")</f>
        <v>Loss</v>
      </c>
      <c r="V292" t="str">
        <f t="shared" si="4"/>
        <v>UnderPerforming</v>
      </c>
      <c r="W292" s="3">
        <v>45901</v>
      </c>
    </row>
    <row r="293" spans="1:23">
      <c r="A293" t="s">
        <v>587</v>
      </c>
      <c r="B293" s="3">
        <v>45874</v>
      </c>
      <c r="C293" t="s">
        <v>46</v>
      </c>
      <c r="D293" t="str">
        <f>INDEX(Raw_product_master[Category],MATCH(Cleaned_Sales_data[[#This Row],[Product]],Raw_product_master[Product],0))</f>
        <v>Office Equipment</v>
      </c>
      <c r="E293" t="s">
        <v>25</v>
      </c>
      <c r="F293" t="s">
        <v>20</v>
      </c>
      <c r="G293" t="s">
        <v>21</v>
      </c>
      <c r="H293">
        <v>3</v>
      </c>
      <c r="I293">
        <v>18000</v>
      </c>
      <c r="J293" s="10">
        <v>0</v>
      </c>
      <c r="K293">
        <v>54000</v>
      </c>
      <c r="L293">
        <v>54000</v>
      </c>
      <c r="M293">
        <v>43200</v>
      </c>
      <c r="N293">
        <v>1181</v>
      </c>
      <c r="O293">
        <v>506</v>
      </c>
      <c r="P293">
        <f>INDEX(Raw_product_master[Standard_Cost_Per_Unit],MATCH(Cleaned_Sales_data[[#This Row],[Product]],Raw_product_master[Product],0))</f>
        <v>14400</v>
      </c>
      <c r="Q293">
        <v>9113</v>
      </c>
      <c r="R293" s="11">
        <v>0.168759259259259</v>
      </c>
      <c r="S293" s="11">
        <f>INDEX(Raw_product_master[Target_Margin], MATCH(Cleaned_Sales_data[[#This Row],[Product]],Raw_product_master[Product], 0 ))</f>
        <v>0.15</v>
      </c>
      <c r="T293" t="str">
        <f>IF(Cleaned_Sales_data[[#This Row],[Profit]]&gt;0, "Profitable", "Loss")</f>
        <v>Profitable</v>
      </c>
      <c r="U293" t="str">
        <f>_xlfn.IFS(Cleaned_Sales_data[[#This Row],[Profit]]&gt;=10000, "High", Cleaned_Sales_data[[#This Row],[Profit]]&gt;=5000, "Medium", Cleaned_Sales_data[[#This Row],[Profit]]&gt;=0, "Low", Cleaned_Sales_data[[#This Row],[Profit]] &lt;0, "Loss")</f>
        <v>Medium</v>
      </c>
      <c r="V293" t="str">
        <f t="shared" si="4"/>
        <v>On Target</v>
      </c>
      <c r="W293" s="3">
        <v>45870</v>
      </c>
    </row>
    <row r="294" spans="1:23">
      <c r="A294" t="s">
        <v>593</v>
      </c>
      <c r="B294" s="3">
        <v>45816</v>
      </c>
      <c r="C294" t="s">
        <v>18</v>
      </c>
      <c r="D294" t="str">
        <f>INDEX(Raw_product_master[Category],MATCH(Cleaned_Sales_data[[#This Row],[Product]],Raw_product_master[Product],0))</f>
        <v>Computers</v>
      </c>
      <c r="E294" t="s">
        <v>63</v>
      </c>
      <c r="F294" t="s">
        <v>20</v>
      </c>
      <c r="G294" t="s">
        <v>21</v>
      </c>
      <c r="H294">
        <v>3</v>
      </c>
      <c r="I294">
        <v>32000</v>
      </c>
      <c r="J294" s="10">
        <v>0.03</v>
      </c>
      <c r="K294">
        <v>96000</v>
      </c>
      <c r="L294">
        <v>93120</v>
      </c>
      <c r="M294">
        <v>78720</v>
      </c>
      <c r="N294">
        <v>991</v>
      </c>
      <c r="O294">
        <v>270</v>
      </c>
      <c r="P294">
        <f>INDEX(Raw_product_master[Standard_Cost_Per_Unit],MATCH(Cleaned_Sales_data[[#This Row],[Product]],Raw_product_master[Product],0))</f>
        <v>26240</v>
      </c>
      <c r="Q294">
        <v>13139</v>
      </c>
      <c r="R294" s="11">
        <v>0.14109750859106501</v>
      </c>
      <c r="S294" s="11">
        <f>INDEX(Raw_product_master[Target_Margin], MATCH(Cleaned_Sales_data[[#This Row],[Product]],Raw_product_master[Product], 0 ))</f>
        <v>0.12</v>
      </c>
      <c r="T294" t="str">
        <f>IF(Cleaned_Sales_data[[#This Row],[Profit]]&gt;0, "Profitable", "Loss")</f>
        <v>Profitable</v>
      </c>
      <c r="U294" t="str">
        <f>_xlfn.IFS(Cleaned_Sales_data[[#This Row],[Profit]]&gt;=10000, "High", Cleaned_Sales_data[[#This Row],[Profit]]&gt;=5000, "Medium", Cleaned_Sales_data[[#This Row],[Profit]]&gt;=0, "Low", Cleaned_Sales_data[[#This Row],[Profit]] &lt;0, "Loss")</f>
        <v>High</v>
      </c>
      <c r="V294" t="str">
        <f t="shared" si="4"/>
        <v>On Target</v>
      </c>
      <c r="W294" s="3">
        <v>45809</v>
      </c>
    </row>
    <row r="295" spans="1:23">
      <c r="A295" t="s">
        <v>594</v>
      </c>
      <c r="B295" s="3">
        <v>45887</v>
      </c>
      <c r="C295" t="s">
        <v>18</v>
      </c>
      <c r="D295" t="str">
        <f>INDEX(Raw_product_master[Category],MATCH(Cleaned_Sales_data[[#This Row],[Product]],Raw_product_master[Product],0))</f>
        <v>Computers</v>
      </c>
      <c r="E295" t="s">
        <v>25</v>
      </c>
      <c r="F295" t="s">
        <v>20</v>
      </c>
      <c r="G295" t="s">
        <v>21</v>
      </c>
      <c r="H295">
        <v>3</v>
      </c>
      <c r="I295">
        <v>32000</v>
      </c>
      <c r="J295" s="10">
        <v>0.05</v>
      </c>
      <c r="K295">
        <v>96000</v>
      </c>
      <c r="L295">
        <v>91200</v>
      </c>
      <c r="M295">
        <v>78720</v>
      </c>
      <c r="N295">
        <v>1348</v>
      </c>
      <c r="O295">
        <v>1581</v>
      </c>
      <c r="P295">
        <f>INDEX(Raw_product_master[Standard_Cost_Per_Unit],MATCH(Cleaned_Sales_data[[#This Row],[Product]],Raw_product_master[Product],0))</f>
        <v>26240</v>
      </c>
      <c r="Q295">
        <v>9551</v>
      </c>
      <c r="R295" s="11">
        <v>0.104725877192982</v>
      </c>
      <c r="S295" s="11">
        <f>INDEX(Raw_product_master[Target_Margin], MATCH(Cleaned_Sales_data[[#This Row],[Product]],Raw_product_master[Product], 0 ))</f>
        <v>0.12</v>
      </c>
      <c r="T295" t="str">
        <f>IF(Cleaned_Sales_data[[#This Row],[Profit]]&gt;0, "Profitable", "Loss")</f>
        <v>Profitable</v>
      </c>
      <c r="U295" t="str">
        <f>_xlfn.IFS(Cleaned_Sales_data[[#This Row],[Profit]]&gt;=10000, "High", Cleaned_Sales_data[[#This Row],[Profit]]&gt;=5000, "Medium", Cleaned_Sales_data[[#This Row],[Profit]]&gt;=0, "Low", Cleaned_Sales_data[[#This Row],[Profit]] &lt;0, "Loss")</f>
        <v>Medium</v>
      </c>
      <c r="V295" t="str">
        <f t="shared" si="4"/>
        <v>UnderPerforming</v>
      </c>
      <c r="W295" s="3">
        <v>45870</v>
      </c>
    </row>
    <row r="296" spans="1:23">
      <c r="A296" t="s">
        <v>599</v>
      </c>
      <c r="B296" s="3">
        <v>46050</v>
      </c>
      <c r="C296" t="s">
        <v>61</v>
      </c>
      <c r="D296" t="str">
        <f>INDEX(Raw_product_master[Category],MATCH(Cleaned_Sales_data[[#This Row],[Product]],Raw_product_master[Product],0))</f>
        <v>Accessories</v>
      </c>
      <c r="E296" t="s">
        <v>31</v>
      </c>
      <c r="F296" t="s">
        <v>20</v>
      </c>
      <c r="G296" t="s">
        <v>21</v>
      </c>
      <c r="H296">
        <v>7</v>
      </c>
      <c r="I296">
        <v>4500</v>
      </c>
      <c r="J296" s="10">
        <v>0.03</v>
      </c>
      <c r="K296">
        <v>31500</v>
      </c>
      <c r="L296">
        <v>30555</v>
      </c>
      <c r="M296">
        <v>20475</v>
      </c>
      <c r="N296">
        <v>962</v>
      </c>
      <c r="O296">
        <v>1638</v>
      </c>
      <c r="P296">
        <f>INDEX(Raw_product_master[Standard_Cost_Per_Unit],MATCH(Cleaned_Sales_data[[#This Row],[Product]],Raw_product_master[Product],0))</f>
        <v>2925</v>
      </c>
      <c r="Q296">
        <v>7480</v>
      </c>
      <c r="R296" s="11">
        <v>0.24480445099001799</v>
      </c>
      <c r="S296" s="11">
        <f>INDEX(Raw_product_master[Target_Margin], MATCH(Cleaned_Sales_data[[#This Row],[Product]],Raw_product_master[Product], 0 ))</f>
        <v>0.22</v>
      </c>
      <c r="T296" t="str">
        <f>IF(Cleaned_Sales_data[[#This Row],[Profit]]&gt;0, "Profitable", "Loss")</f>
        <v>Profitable</v>
      </c>
      <c r="U296" t="str">
        <f>_xlfn.IFS(Cleaned_Sales_data[[#This Row],[Profit]]&gt;=10000, "High", Cleaned_Sales_data[[#This Row],[Profit]]&gt;=5000, "Medium", Cleaned_Sales_data[[#This Row],[Profit]]&gt;=0, "Low", Cleaned_Sales_data[[#This Row],[Profit]] &lt;0, "Loss")</f>
        <v>Medium</v>
      </c>
      <c r="V296" t="str">
        <f t="shared" si="4"/>
        <v>On Target</v>
      </c>
      <c r="W296" s="3">
        <v>46023</v>
      </c>
    </row>
    <row r="297" spans="1:23">
      <c r="A297" t="s">
        <v>611</v>
      </c>
      <c r="B297" s="3">
        <v>46128</v>
      </c>
      <c r="C297" t="s">
        <v>46</v>
      </c>
      <c r="D297" t="str">
        <f>INDEX(Raw_product_master[Category],MATCH(Cleaned_Sales_data[[#This Row],[Product]],Raw_product_master[Product],0))</f>
        <v>Office Equipment</v>
      </c>
      <c r="E297" t="s">
        <v>25</v>
      </c>
      <c r="F297" t="s">
        <v>20</v>
      </c>
      <c r="G297" t="s">
        <v>21</v>
      </c>
      <c r="H297">
        <v>2</v>
      </c>
      <c r="I297">
        <v>18000</v>
      </c>
      <c r="J297" s="10">
        <v>0</v>
      </c>
      <c r="K297">
        <v>36000</v>
      </c>
      <c r="L297">
        <v>36000</v>
      </c>
      <c r="M297">
        <v>28800</v>
      </c>
      <c r="N297">
        <v>1253</v>
      </c>
      <c r="O297">
        <v>144</v>
      </c>
      <c r="P297">
        <f>INDEX(Raw_product_master[Standard_Cost_Per_Unit],MATCH(Cleaned_Sales_data[[#This Row],[Product]],Raw_product_master[Product],0))</f>
        <v>14400</v>
      </c>
      <c r="Q297">
        <v>5803</v>
      </c>
      <c r="R297" s="11">
        <v>0.161194444444444</v>
      </c>
      <c r="S297" s="11">
        <f>INDEX(Raw_product_master[Target_Margin], MATCH(Cleaned_Sales_data[[#This Row],[Product]],Raw_product_master[Product], 0 ))</f>
        <v>0.15</v>
      </c>
      <c r="T297" t="str">
        <f>IF(Cleaned_Sales_data[[#This Row],[Profit]]&gt;0, "Profitable", "Loss")</f>
        <v>Profitable</v>
      </c>
      <c r="U297" t="str">
        <f>_xlfn.IFS(Cleaned_Sales_data[[#This Row],[Profit]]&gt;=10000, "High", Cleaned_Sales_data[[#This Row],[Profit]]&gt;=5000, "Medium", Cleaned_Sales_data[[#This Row],[Profit]]&gt;=0, "Low", Cleaned_Sales_data[[#This Row],[Profit]] &lt;0, "Loss")</f>
        <v>Medium</v>
      </c>
      <c r="V297" t="str">
        <f t="shared" si="4"/>
        <v>On Target</v>
      </c>
      <c r="W297" s="3">
        <v>46113</v>
      </c>
    </row>
    <row r="298" spans="1:23">
      <c r="A298" t="s">
        <v>612</v>
      </c>
      <c r="B298" s="3">
        <v>45773</v>
      </c>
      <c r="C298" t="s">
        <v>24</v>
      </c>
      <c r="D298" t="str">
        <f>INDEX(Raw_product_master[Category],MATCH(Cleaned_Sales_data[[#This Row],[Product]],Raw_product_master[Product],0))</f>
        <v>Accessories</v>
      </c>
      <c r="E298" t="s">
        <v>63</v>
      </c>
      <c r="F298" t="s">
        <v>20</v>
      </c>
      <c r="G298" t="s">
        <v>21</v>
      </c>
      <c r="H298">
        <v>4</v>
      </c>
      <c r="I298">
        <v>3500</v>
      </c>
      <c r="J298" s="10">
        <v>0.15</v>
      </c>
      <c r="K298">
        <v>14000</v>
      </c>
      <c r="L298">
        <v>11900</v>
      </c>
      <c r="M298">
        <v>9520</v>
      </c>
      <c r="N298">
        <v>1590</v>
      </c>
      <c r="O298">
        <v>1031</v>
      </c>
      <c r="P298">
        <f>INDEX(Raw_product_master[Standard_Cost_Per_Unit],MATCH(Cleaned_Sales_data[[#This Row],[Product]],Raw_product_master[Product],0))</f>
        <v>2380</v>
      </c>
      <c r="Q298">
        <v>-241</v>
      </c>
      <c r="R298" s="11">
        <v>-2.0252100840336101E-2</v>
      </c>
      <c r="S298" s="11">
        <f>INDEX(Raw_product_master[Target_Margin], MATCH(Cleaned_Sales_data[[#This Row],[Product]],Raw_product_master[Product], 0 ))</f>
        <v>0.2</v>
      </c>
      <c r="T298" t="str">
        <f>IF(Cleaned_Sales_data[[#This Row],[Profit]]&gt;0, "Profitable", "Loss")</f>
        <v>Loss</v>
      </c>
      <c r="U298" t="str">
        <f>_xlfn.IFS(Cleaned_Sales_data[[#This Row],[Profit]]&gt;=10000, "High", Cleaned_Sales_data[[#This Row],[Profit]]&gt;=5000, "Medium", Cleaned_Sales_data[[#This Row],[Profit]]&gt;=0, "Low", Cleaned_Sales_data[[#This Row],[Profit]] &lt;0, "Loss")</f>
        <v>Loss</v>
      </c>
      <c r="V298" t="str">
        <f t="shared" si="4"/>
        <v>UnderPerforming</v>
      </c>
      <c r="W298" s="3">
        <v>45748</v>
      </c>
    </row>
    <row r="299" spans="1:23">
      <c r="A299" t="s">
        <v>621</v>
      </c>
      <c r="B299" s="3">
        <v>45993</v>
      </c>
      <c r="C299" t="s">
        <v>46</v>
      </c>
      <c r="D299" t="str">
        <f>INDEX(Raw_product_master[Category],MATCH(Cleaned_Sales_data[[#This Row],[Product]],Raw_product_master[Product],0))</f>
        <v>Office Equipment</v>
      </c>
      <c r="E299" t="s">
        <v>25</v>
      </c>
      <c r="F299" t="s">
        <v>20</v>
      </c>
      <c r="G299" t="s">
        <v>21</v>
      </c>
      <c r="H299">
        <v>1</v>
      </c>
      <c r="I299">
        <v>18000</v>
      </c>
      <c r="J299" s="10">
        <v>0.08</v>
      </c>
      <c r="K299">
        <v>18000</v>
      </c>
      <c r="L299">
        <v>16560</v>
      </c>
      <c r="M299">
        <v>14400</v>
      </c>
      <c r="N299">
        <v>667</v>
      </c>
      <c r="O299">
        <v>1406</v>
      </c>
      <c r="P299">
        <f>INDEX(Raw_product_master[Standard_Cost_Per_Unit],MATCH(Cleaned_Sales_data[[#This Row],[Product]],Raw_product_master[Product],0))</f>
        <v>14400</v>
      </c>
      <c r="Q299">
        <v>87</v>
      </c>
      <c r="R299" s="11">
        <v>5.2536231884058003E-3</v>
      </c>
      <c r="S299" s="11">
        <f>INDEX(Raw_product_master[Target_Margin], MATCH(Cleaned_Sales_data[[#This Row],[Product]],Raw_product_master[Product], 0 ))</f>
        <v>0.15</v>
      </c>
      <c r="T299" t="str">
        <f>IF(Cleaned_Sales_data[[#This Row],[Profit]]&gt;0, "Profitable", "Loss")</f>
        <v>Profitable</v>
      </c>
      <c r="U299" t="str">
        <f>_xlfn.IFS(Cleaned_Sales_data[[#This Row],[Profit]]&gt;=10000, "High", Cleaned_Sales_data[[#This Row],[Profit]]&gt;=5000, "Medium", Cleaned_Sales_data[[#This Row],[Profit]]&gt;=0, "Low", Cleaned_Sales_data[[#This Row],[Profit]] &lt;0, "Loss")</f>
        <v>Low</v>
      </c>
      <c r="V299" t="str">
        <f t="shared" si="4"/>
        <v>UnderPerforming</v>
      </c>
      <c r="W299" s="3">
        <v>45992</v>
      </c>
    </row>
    <row r="300" spans="1:23">
      <c r="A300" t="s">
        <v>629</v>
      </c>
      <c r="B300" s="3">
        <v>45766</v>
      </c>
      <c r="C300" t="s">
        <v>53</v>
      </c>
      <c r="D300" t="str">
        <f>INDEX(Raw_product_master[Category],MATCH(Cleaned_Sales_data[[#This Row],[Product]],Raw_product_master[Product],0))</f>
        <v>Accessories</v>
      </c>
      <c r="E300" t="s">
        <v>19</v>
      </c>
      <c r="F300" t="s">
        <v>20</v>
      </c>
      <c r="G300" t="s">
        <v>21</v>
      </c>
      <c r="H300">
        <v>1</v>
      </c>
      <c r="I300">
        <v>1500</v>
      </c>
      <c r="J300" s="10">
        <v>0.1</v>
      </c>
      <c r="K300">
        <v>1500</v>
      </c>
      <c r="L300">
        <v>1350</v>
      </c>
      <c r="M300">
        <v>825</v>
      </c>
      <c r="N300">
        <v>694</v>
      </c>
      <c r="O300">
        <v>655</v>
      </c>
      <c r="P300">
        <f>INDEX(Raw_product_master[Standard_Cost_Per_Unit],MATCH(Cleaned_Sales_data[[#This Row],[Product]],Raw_product_master[Product],0))</f>
        <v>825</v>
      </c>
      <c r="Q300">
        <v>-824</v>
      </c>
      <c r="R300" s="11">
        <v>-0.61037037037037001</v>
      </c>
      <c r="S300" s="11">
        <f>INDEX(Raw_product_master[Target_Margin], MATCH(Cleaned_Sales_data[[#This Row],[Product]],Raw_product_master[Product], 0 ))</f>
        <v>0.3</v>
      </c>
      <c r="T300" t="str">
        <f>IF(Cleaned_Sales_data[[#This Row],[Profit]]&gt;0, "Profitable", "Loss")</f>
        <v>Loss</v>
      </c>
      <c r="U300" t="str">
        <f>_xlfn.IFS(Cleaned_Sales_data[[#This Row],[Profit]]&gt;=10000, "High", Cleaned_Sales_data[[#This Row],[Profit]]&gt;=5000, "Medium", Cleaned_Sales_data[[#This Row],[Profit]]&gt;=0, "Low", Cleaned_Sales_data[[#This Row],[Profit]] &lt;0, "Loss")</f>
        <v>Loss</v>
      </c>
      <c r="V300" t="str">
        <f t="shared" si="4"/>
        <v>UnderPerforming</v>
      </c>
      <c r="W300" s="3">
        <v>45748</v>
      </c>
    </row>
    <row r="301" spans="1:23">
      <c r="A301" t="s">
        <v>639</v>
      </c>
      <c r="B301" s="3">
        <v>46068</v>
      </c>
      <c r="C301" t="s">
        <v>18</v>
      </c>
      <c r="D301" t="str">
        <f>INDEX(Raw_product_master[Category],MATCH(Cleaned_Sales_data[[#This Row],[Product]],Raw_product_master[Product],0))</f>
        <v>Computers</v>
      </c>
      <c r="E301" t="s">
        <v>19</v>
      </c>
      <c r="F301" t="s">
        <v>20</v>
      </c>
      <c r="G301" t="s">
        <v>21</v>
      </c>
      <c r="H301">
        <v>3</v>
      </c>
      <c r="I301">
        <v>32000</v>
      </c>
      <c r="J301" s="10">
        <v>0</v>
      </c>
      <c r="K301">
        <v>96000</v>
      </c>
      <c r="L301">
        <v>96000</v>
      </c>
      <c r="M301">
        <v>78720</v>
      </c>
      <c r="N301">
        <v>865</v>
      </c>
      <c r="O301">
        <v>1165</v>
      </c>
      <c r="P301">
        <f>INDEX(Raw_product_master[Standard_Cost_Per_Unit],MATCH(Cleaned_Sales_data[[#This Row],[Product]],Raw_product_master[Product],0))</f>
        <v>26240</v>
      </c>
      <c r="Q301">
        <v>15250</v>
      </c>
      <c r="R301" s="11">
        <v>0.15885416666666699</v>
      </c>
      <c r="S301" s="11">
        <f>INDEX(Raw_product_master[Target_Margin], MATCH(Cleaned_Sales_data[[#This Row],[Product]],Raw_product_master[Product], 0 ))</f>
        <v>0.12</v>
      </c>
      <c r="T301" t="str">
        <f>IF(Cleaned_Sales_data[[#This Row],[Profit]]&gt;0, "Profitable", "Loss")</f>
        <v>Profitable</v>
      </c>
      <c r="U301" t="str">
        <f>_xlfn.IFS(Cleaned_Sales_data[[#This Row],[Profit]]&gt;=10000, "High", Cleaned_Sales_data[[#This Row],[Profit]]&gt;=5000, "Medium", Cleaned_Sales_data[[#This Row],[Profit]]&gt;=0, "Low", Cleaned_Sales_data[[#This Row],[Profit]] &lt;0, "Loss")</f>
        <v>High</v>
      </c>
      <c r="V301" t="str">
        <f t="shared" si="4"/>
        <v>On Target</v>
      </c>
      <c r="W301" s="3">
        <v>46054</v>
      </c>
    </row>
    <row r="302" spans="1:23">
      <c r="A302" t="s">
        <v>646</v>
      </c>
      <c r="B302" s="3">
        <v>45874</v>
      </c>
      <c r="C302" t="s">
        <v>53</v>
      </c>
      <c r="D302" t="str">
        <f>INDEX(Raw_product_master[Category],MATCH(Cleaned_Sales_data[[#This Row],[Product]],Raw_product_master[Product],0))</f>
        <v>Accessories</v>
      </c>
      <c r="E302" t="s">
        <v>19</v>
      </c>
      <c r="F302" t="s">
        <v>20</v>
      </c>
      <c r="G302" t="s">
        <v>21</v>
      </c>
      <c r="H302">
        <v>5</v>
      </c>
      <c r="I302">
        <v>1500</v>
      </c>
      <c r="J302" s="10">
        <v>0.15</v>
      </c>
      <c r="K302">
        <v>7500</v>
      </c>
      <c r="L302">
        <v>6375</v>
      </c>
      <c r="M302">
        <v>4125</v>
      </c>
      <c r="N302">
        <v>821</v>
      </c>
      <c r="O302">
        <v>2139</v>
      </c>
      <c r="P302">
        <f>INDEX(Raw_product_master[Standard_Cost_Per_Unit],MATCH(Cleaned_Sales_data[[#This Row],[Product]],Raw_product_master[Product],0))</f>
        <v>825</v>
      </c>
      <c r="Q302">
        <v>-710</v>
      </c>
      <c r="R302" s="11">
        <v>-0.111372549019608</v>
      </c>
      <c r="S302" s="11">
        <f>INDEX(Raw_product_master[Target_Margin], MATCH(Cleaned_Sales_data[[#This Row],[Product]],Raw_product_master[Product], 0 ))</f>
        <v>0.3</v>
      </c>
      <c r="T302" t="str">
        <f>IF(Cleaned_Sales_data[[#This Row],[Profit]]&gt;0, "Profitable", "Loss")</f>
        <v>Loss</v>
      </c>
      <c r="U302" t="str">
        <f>_xlfn.IFS(Cleaned_Sales_data[[#This Row],[Profit]]&gt;=10000, "High", Cleaned_Sales_data[[#This Row],[Profit]]&gt;=5000, "Medium", Cleaned_Sales_data[[#This Row],[Profit]]&gt;=0, "Low", Cleaned_Sales_data[[#This Row],[Profit]] &lt;0, "Loss")</f>
        <v>Loss</v>
      </c>
      <c r="V302" t="str">
        <f t="shared" si="4"/>
        <v>UnderPerforming</v>
      </c>
      <c r="W302" s="3">
        <v>45870</v>
      </c>
    </row>
    <row r="303" spans="1:23">
      <c r="A303" t="s">
        <v>649</v>
      </c>
      <c r="B303" s="3">
        <v>46084</v>
      </c>
      <c r="C303" t="s">
        <v>53</v>
      </c>
      <c r="D303" t="str">
        <f>INDEX(Raw_product_master[Category],MATCH(Cleaned_Sales_data[[#This Row],[Product]],Raw_product_master[Product],0))</f>
        <v>Accessories</v>
      </c>
      <c r="E303" t="s">
        <v>34</v>
      </c>
      <c r="F303" t="s">
        <v>20</v>
      </c>
      <c r="G303" t="s">
        <v>21</v>
      </c>
      <c r="H303">
        <v>5</v>
      </c>
      <c r="I303">
        <v>1500</v>
      </c>
      <c r="J303" s="10">
        <v>0.08</v>
      </c>
      <c r="K303">
        <v>7500</v>
      </c>
      <c r="L303">
        <v>6900</v>
      </c>
      <c r="M303">
        <v>4125</v>
      </c>
      <c r="N303">
        <v>1739</v>
      </c>
      <c r="O303">
        <v>1012</v>
      </c>
      <c r="P303">
        <f>INDEX(Raw_product_master[Standard_Cost_Per_Unit],MATCH(Cleaned_Sales_data[[#This Row],[Product]],Raw_product_master[Product],0))</f>
        <v>825</v>
      </c>
      <c r="Q303">
        <v>24</v>
      </c>
      <c r="R303" s="11">
        <v>3.4782608695652201E-3</v>
      </c>
      <c r="S303" s="11">
        <f>INDEX(Raw_product_master[Target_Margin], MATCH(Cleaned_Sales_data[[#This Row],[Product]],Raw_product_master[Product], 0 ))</f>
        <v>0.3</v>
      </c>
      <c r="T303" t="str">
        <f>IF(Cleaned_Sales_data[[#This Row],[Profit]]&gt;0, "Profitable", "Loss")</f>
        <v>Profitable</v>
      </c>
      <c r="U303" t="str">
        <f>_xlfn.IFS(Cleaned_Sales_data[[#This Row],[Profit]]&gt;=10000, "High", Cleaned_Sales_data[[#This Row],[Profit]]&gt;=5000, "Medium", Cleaned_Sales_data[[#This Row],[Profit]]&gt;=0, "Low", Cleaned_Sales_data[[#This Row],[Profit]] &lt;0, "Loss")</f>
        <v>Low</v>
      </c>
      <c r="V303" t="str">
        <f t="shared" si="4"/>
        <v>UnderPerforming</v>
      </c>
      <c r="W303" s="3">
        <v>46082</v>
      </c>
    </row>
    <row r="304" spans="1:23">
      <c r="A304" t="s">
        <v>657</v>
      </c>
      <c r="B304" s="3">
        <v>45792</v>
      </c>
      <c r="C304" t="s">
        <v>30</v>
      </c>
      <c r="D304" t="str">
        <f>INDEX(Raw_product_master[Category],MATCH(Cleaned_Sales_data[[#This Row],[Product]],Raw_product_master[Product],0))</f>
        <v>Displays</v>
      </c>
      <c r="E304" t="s">
        <v>19</v>
      </c>
      <c r="F304" t="s">
        <v>20</v>
      </c>
      <c r="G304" t="s">
        <v>21</v>
      </c>
      <c r="H304">
        <v>3</v>
      </c>
      <c r="I304">
        <v>28000</v>
      </c>
      <c r="J304" s="10">
        <v>0.05</v>
      </c>
      <c r="K304">
        <v>84000</v>
      </c>
      <c r="L304">
        <v>79800</v>
      </c>
      <c r="M304">
        <v>65520</v>
      </c>
      <c r="N304">
        <v>473</v>
      </c>
      <c r="O304">
        <v>2406</v>
      </c>
      <c r="P304">
        <f>INDEX(Raw_product_master[Standard_Cost_Per_Unit],MATCH(Cleaned_Sales_data[[#This Row],[Product]],Raw_product_master[Product],0))</f>
        <v>21840</v>
      </c>
      <c r="Q304">
        <v>11401</v>
      </c>
      <c r="R304" s="11">
        <v>0.14286967418546401</v>
      </c>
      <c r="S304" s="11">
        <f>INDEX(Raw_product_master[Target_Margin], MATCH(Cleaned_Sales_data[[#This Row],[Product]],Raw_product_master[Product], 0 ))</f>
        <v>0.18</v>
      </c>
      <c r="T304" t="str">
        <f>IF(Cleaned_Sales_data[[#This Row],[Profit]]&gt;0, "Profitable", "Loss")</f>
        <v>Profitable</v>
      </c>
      <c r="U304" t="str">
        <f>_xlfn.IFS(Cleaned_Sales_data[[#This Row],[Profit]]&gt;=10000, "High", Cleaned_Sales_data[[#This Row],[Profit]]&gt;=5000, "Medium", Cleaned_Sales_data[[#This Row],[Profit]]&gt;=0, "Low", Cleaned_Sales_data[[#This Row],[Profit]] &lt;0, "Loss")</f>
        <v>High</v>
      </c>
      <c r="V304" t="str">
        <f t="shared" si="4"/>
        <v>UnderPerforming</v>
      </c>
      <c r="W304" s="3">
        <v>45778</v>
      </c>
    </row>
    <row r="305" spans="1:23">
      <c r="A305" t="s">
        <v>672</v>
      </c>
      <c r="B305" s="3">
        <v>45733</v>
      </c>
      <c r="C305" t="s">
        <v>61</v>
      </c>
      <c r="D305" t="str">
        <f>INDEX(Raw_product_master[Category],MATCH(Cleaned_Sales_data[[#This Row],[Product]],Raw_product_master[Product],0))</f>
        <v>Accessories</v>
      </c>
      <c r="E305" t="s">
        <v>31</v>
      </c>
      <c r="F305" t="s">
        <v>20</v>
      </c>
      <c r="G305" t="s">
        <v>21</v>
      </c>
      <c r="H305">
        <v>7</v>
      </c>
      <c r="I305">
        <v>4500</v>
      </c>
      <c r="J305" s="10">
        <v>0</v>
      </c>
      <c r="K305">
        <v>31500</v>
      </c>
      <c r="L305">
        <v>31500</v>
      </c>
      <c r="M305">
        <v>20475</v>
      </c>
      <c r="N305">
        <v>1498</v>
      </c>
      <c r="O305">
        <v>1973</v>
      </c>
      <c r="P305">
        <f>INDEX(Raw_product_master[Standard_Cost_Per_Unit],MATCH(Cleaned_Sales_data[[#This Row],[Product]],Raw_product_master[Product],0))</f>
        <v>2925</v>
      </c>
      <c r="Q305">
        <v>7554</v>
      </c>
      <c r="R305" s="11">
        <v>0.239809523809524</v>
      </c>
      <c r="S305" s="11">
        <f>INDEX(Raw_product_master[Target_Margin], MATCH(Cleaned_Sales_data[[#This Row],[Product]],Raw_product_master[Product], 0 ))</f>
        <v>0.22</v>
      </c>
      <c r="T305" t="str">
        <f>IF(Cleaned_Sales_data[[#This Row],[Profit]]&gt;0, "Profitable", "Loss")</f>
        <v>Profitable</v>
      </c>
      <c r="U305" t="str">
        <f>_xlfn.IFS(Cleaned_Sales_data[[#This Row],[Profit]]&gt;=10000, "High", Cleaned_Sales_data[[#This Row],[Profit]]&gt;=5000, "Medium", Cleaned_Sales_data[[#This Row],[Profit]]&gt;=0, "Low", Cleaned_Sales_data[[#This Row],[Profit]] &lt;0, "Loss")</f>
        <v>Medium</v>
      </c>
      <c r="V305" t="str">
        <f t="shared" si="4"/>
        <v>On Target</v>
      </c>
      <c r="W305" s="3">
        <v>45717</v>
      </c>
    </row>
    <row r="306" spans="1:23">
      <c r="A306" t="s">
        <v>674</v>
      </c>
      <c r="B306" s="3">
        <v>45967</v>
      </c>
      <c r="C306" t="s">
        <v>46</v>
      </c>
      <c r="D306" t="str">
        <f>INDEX(Raw_product_master[Category],MATCH(Cleaned_Sales_data[[#This Row],[Product]],Raw_product_master[Product],0))</f>
        <v>Office Equipment</v>
      </c>
      <c r="E306" t="s">
        <v>34</v>
      </c>
      <c r="F306" t="s">
        <v>20</v>
      </c>
      <c r="G306" t="s">
        <v>21</v>
      </c>
      <c r="H306">
        <v>2</v>
      </c>
      <c r="I306">
        <v>18000</v>
      </c>
      <c r="J306" s="10">
        <v>0.05</v>
      </c>
      <c r="K306">
        <v>36000</v>
      </c>
      <c r="L306">
        <v>34200</v>
      </c>
      <c r="M306">
        <v>28800</v>
      </c>
      <c r="N306">
        <v>1566</v>
      </c>
      <c r="O306">
        <v>1119</v>
      </c>
      <c r="P306">
        <f>INDEX(Raw_product_master[Standard_Cost_Per_Unit],MATCH(Cleaned_Sales_data[[#This Row],[Product]],Raw_product_master[Product],0))</f>
        <v>14400</v>
      </c>
      <c r="Q306">
        <v>2715</v>
      </c>
      <c r="R306" s="11">
        <v>7.9385964912280699E-2</v>
      </c>
      <c r="S306" s="11">
        <f>INDEX(Raw_product_master[Target_Margin], MATCH(Cleaned_Sales_data[[#This Row],[Product]],Raw_product_master[Product], 0 ))</f>
        <v>0.15</v>
      </c>
      <c r="T306" t="str">
        <f>IF(Cleaned_Sales_data[[#This Row],[Profit]]&gt;0, "Profitable", "Loss")</f>
        <v>Profitable</v>
      </c>
      <c r="U306" t="str">
        <f>_xlfn.IFS(Cleaned_Sales_data[[#This Row],[Profit]]&gt;=10000, "High", Cleaned_Sales_data[[#This Row],[Profit]]&gt;=5000, "Medium", Cleaned_Sales_data[[#This Row],[Profit]]&gt;=0, "Low", Cleaned_Sales_data[[#This Row],[Profit]] &lt;0, "Loss")</f>
        <v>Low</v>
      </c>
      <c r="V306" t="str">
        <f t="shared" si="4"/>
        <v>UnderPerforming</v>
      </c>
      <c r="W306" s="3">
        <v>45962</v>
      </c>
    </row>
    <row r="307" spans="1:23">
      <c r="A307" t="s">
        <v>680</v>
      </c>
      <c r="B307" s="3">
        <v>46194</v>
      </c>
      <c r="C307" t="s">
        <v>24</v>
      </c>
      <c r="D307" t="str">
        <f>INDEX(Raw_product_master[Category],MATCH(Cleaned_Sales_data[[#This Row],[Product]],Raw_product_master[Product],0))</f>
        <v>Accessories</v>
      </c>
      <c r="E307" t="s">
        <v>25</v>
      </c>
      <c r="F307" t="s">
        <v>20</v>
      </c>
      <c r="G307" t="s">
        <v>21</v>
      </c>
      <c r="H307">
        <v>6</v>
      </c>
      <c r="I307">
        <v>3500</v>
      </c>
      <c r="J307" s="10">
        <v>0.05</v>
      </c>
      <c r="K307">
        <v>21000</v>
      </c>
      <c r="L307">
        <v>19950</v>
      </c>
      <c r="M307">
        <v>14280</v>
      </c>
      <c r="N307">
        <v>1624</v>
      </c>
      <c r="O307">
        <v>127</v>
      </c>
      <c r="P307">
        <f>INDEX(Raw_product_master[Standard_Cost_Per_Unit],MATCH(Cleaned_Sales_data[[#This Row],[Product]],Raw_product_master[Product],0))</f>
        <v>2380</v>
      </c>
      <c r="Q307">
        <v>3919</v>
      </c>
      <c r="R307" s="11">
        <v>0.196441102756892</v>
      </c>
      <c r="S307" s="11">
        <f>INDEX(Raw_product_master[Target_Margin], MATCH(Cleaned_Sales_data[[#This Row],[Product]],Raw_product_master[Product], 0 ))</f>
        <v>0.2</v>
      </c>
      <c r="T307" t="str">
        <f>IF(Cleaned_Sales_data[[#This Row],[Profit]]&gt;0, "Profitable", "Loss")</f>
        <v>Profitable</v>
      </c>
      <c r="U307" t="str">
        <f>_xlfn.IFS(Cleaned_Sales_data[[#This Row],[Profit]]&gt;=10000, "High", Cleaned_Sales_data[[#This Row],[Profit]]&gt;=5000, "Medium", Cleaned_Sales_data[[#This Row],[Profit]]&gt;=0, "Low", Cleaned_Sales_data[[#This Row],[Profit]] &lt;0, "Loss")</f>
        <v>Low</v>
      </c>
      <c r="V307" t="str">
        <f t="shared" si="4"/>
        <v>UnderPerforming</v>
      </c>
      <c r="W307" s="3">
        <v>46174</v>
      </c>
    </row>
    <row r="308" spans="1:23">
      <c r="A308" t="s">
        <v>681</v>
      </c>
      <c r="B308" s="3">
        <v>45825</v>
      </c>
      <c r="C308" t="s">
        <v>75</v>
      </c>
      <c r="D308" t="str">
        <f>INDEX(Raw_product_master[Category],MATCH(Cleaned_Sales_data[[#This Row],[Product]],Raw_product_master[Product],0))</f>
        <v>Computers</v>
      </c>
      <c r="E308" t="s">
        <v>19</v>
      </c>
      <c r="F308" t="s">
        <v>20</v>
      </c>
      <c r="G308" t="s">
        <v>21</v>
      </c>
      <c r="H308">
        <v>1</v>
      </c>
      <c r="I308">
        <v>65000</v>
      </c>
      <c r="J308" s="10">
        <v>0.1</v>
      </c>
      <c r="K308">
        <v>65000</v>
      </c>
      <c r="L308">
        <v>58500</v>
      </c>
      <c r="M308">
        <v>54600</v>
      </c>
      <c r="N308">
        <v>1298</v>
      </c>
      <c r="O308">
        <v>1777</v>
      </c>
      <c r="P308">
        <f>INDEX(Raw_product_master[Standard_Cost_Per_Unit],MATCH(Cleaned_Sales_data[[#This Row],[Product]],Raw_product_master[Product],0))</f>
        <v>54600</v>
      </c>
      <c r="Q308">
        <v>825</v>
      </c>
      <c r="R308" s="11">
        <v>1.4102564102564099E-2</v>
      </c>
      <c r="S308" s="11">
        <f>INDEX(Raw_product_master[Target_Margin], MATCH(Cleaned_Sales_data[[#This Row],[Product]],Raw_product_master[Product], 0 ))</f>
        <v>0.12</v>
      </c>
      <c r="T308" t="str">
        <f>IF(Cleaned_Sales_data[[#This Row],[Profit]]&gt;0, "Profitable", "Loss")</f>
        <v>Profitable</v>
      </c>
      <c r="U308" t="str">
        <f>_xlfn.IFS(Cleaned_Sales_data[[#This Row],[Profit]]&gt;=10000, "High", Cleaned_Sales_data[[#This Row],[Profit]]&gt;=5000, "Medium", Cleaned_Sales_data[[#This Row],[Profit]]&gt;=0, "Low", Cleaned_Sales_data[[#This Row],[Profit]] &lt;0, "Loss")</f>
        <v>Low</v>
      </c>
      <c r="V308" t="str">
        <f t="shared" si="4"/>
        <v>UnderPerforming</v>
      </c>
      <c r="W308" s="3">
        <v>45809</v>
      </c>
    </row>
    <row r="309" spans="1:23">
      <c r="A309" t="s">
        <v>682</v>
      </c>
      <c r="B309" s="3">
        <v>46001</v>
      </c>
      <c r="C309" t="s">
        <v>46</v>
      </c>
      <c r="D309" t="str">
        <f>INDEX(Raw_product_master[Category],MATCH(Cleaned_Sales_data[[#This Row],[Product]],Raw_product_master[Product],0))</f>
        <v>Office Equipment</v>
      </c>
      <c r="E309" t="s">
        <v>51</v>
      </c>
      <c r="F309" t="s">
        <v>20</v>
      </c>
      <c r="G309" t="s">
        <v>21</v>
      </c>
      <c r="H309">
        <v>3</v>
      </c>
      <c r="I309">
        <v>18000</v>
      </c>
      <c r="J309" s="10">
        <v>0.08</v>
      </c>
      <c r="K309">
        <v>54000</v>
      </c>
      <c r="L309">
        <v>49680</v>
      </c>
      <c r="M309">
        <v>43200</v>
      </c>
      <c r="N309">
        <v>1464</v>
      </c>
      <c r="O309">
        <v>2007</v>
      </c>
      <c r="P309">
        <f>INDEX(Raw_product_master[Standard_Cost_Per_Unit],MATCH(Cleaned_Sales_data[[#This Row],[Product]],Raw_product_master[Product],0))</f>
        <v>14400</v>
      </c>
      <c r="Q309">
        <v>3009</v>
      </c>
      <c r="R309" s="11">
        <v>6.0567632850241603E-2</v>
      </c>
      <c r="S309" s="11">
        <f>INDEX(Raw_product_master[Target_Margin], MATCH(Cleaned_Sales_data[[#This Row],[Product]],Raw_product_master[Product], 0 ))</f>
        <v>0.15</v>
      </c>
      <c r="T309" t="str">
        <f>IF(Cleaned_Sales_data[[#This Row],[Profit]]&gt;0, "Profitable", "Loss")</f>
        <v>Profitable</v>
      </c>
      <c r="U309" t="str">
        <f>_xlfn.IFS(Cleaned_Sales_data[[#This Row],[Profit]]&gt;=10000, "High", Cleaned_Sales_data[[#This Row],[Profit]]&gt;=5000, "Medium", Cleaned_Sales_data[[#This Row],[Profit]]&gt;=0, "Low", Cleaned_Sales_data[[#This Row],[Profit]] &lt;0, "Loss")</f>
        <v>Low</v>
      </c>
      <c r="V309" t="str">
        <f t="shared" si="4"/>
        <v>UnderPerforming</v>
      </c>
      <c r="W309" s="3">
        <v>45992</v>
      </c>
    </row>
    <row r="310" spans="1:23">
      <c r="A310" t="s">
        <v>683</v>
      </c>
      <c r="B310" s="3">
        <v>46139</v>
      </c>
      <c r="C310" t="s">
        <v>75</v>
      </c>
      <c r="D310" t="str">
        <f>INDEX(Raw_product_master[Category],MATCH(Cleaned_Sales_data[[#This Row],[Product]],Raw_product_master[Product],0))</f>
        <v>Computers</v>
      </c>
      <c r="E310" t="s">
        <v>63</v>
      </c>
      <c r="F310" t="s">
        <v>20</v>
      </c>
      <c r="G310" t="s">
        <v>21</v>
      </c>
      <c r="H310">
        <v>1</v>
      </c>
      <c r="I310">
        <v>65000</v>
      </c>
      <c r="J310" s="10">
        <v>0.08</v>
      </c>
      <c r="K310">
        <v>65000</v>
      </c>
      <c r="L310">
        <v>59800</v>
      </c>
      <c r="M310">
        <v>54600</v>
      </c>
      <c r="N310">
        <v>1349</v>
      </c>
      <c r="O310">
        <v>590</v>
      </c>
      <c r="P310">
        <f>INDEX(Raw_product_master[Standard_Cost_Per_Unit],MATCH(Cleaned_Sales_data[[#This Row],[Product]],Raw_product_master[Product],0))</f>
        <v>54600</v>
      </c>
      <c r="Q310">
        <v>3261</v>
      </c>
      <c r="R310" s="11">
        <v>5.4531772575250798E-2</v>
      </c>
      <c r="S310" s="11">
        <f>INDEX(Raw_product_master[Target_Margin], MATCH(Cleaned_Sales_data[[#This Row],[Product]],Raw_product_master[Product], 0 ))</f>
        <v>0.12</v>
      </c>
      <c r="T310" t="str">
        <f>IF(Cleaned_Sales_data[[#This Row],[Profit]]&gt;0, "Profitable", "Loss")</f>
        <v>Profitable</v>
      </c>
      <c r="U310" t="str">
        <f>_xlfn.IFS(Cleaned_Sales_data[[#This Row],[Profit]]&gt;=10000, "High", Cleaned_Sales_data[[#This Row],[Profit]]&gt;=5000, "Medium", Cleaned_Sales_data[[#This Row],[Profit]]&gt;=0, "Low", Cleaned_Sales_data[[#This Row],[Profit]] &lt;0, "Loss")</f>
        <v>Low</v>
      </c>
      <c r="V310" t="str">
        <f t="shared" si="4"/>
        <v>UnderPerforming</v>
      </c>
      <c r="W310" s="3">
        <v>46113</v>
      </c>
    </row>
    <row r="311" spans="1:23">
      <c r="A311" t="s">
        <v>685</v>
      </c>
      <c r="B311" s="3">
        <v>45678</v>
      </c>
      <c r="C311" t="s">
        <v>46</v>
      </c>
      <c r="D311" t="str">
        <f>INDEX(Raw_product_master[Category],MATCH(Cleaned_Sales_data[[#This Row],[Product]],Raw_product_master[Product],0))</f>
        <v>Office Equipment</v>
      </c>
      <c r="E311" t="s">
        <v>25</v>
      </c>
      <c r="F311" t="s">
        <v>20</v>
      </c>
      <c r="G311" t="s">
        <v>21</v>
      </c>
      <c r="H311">
        <v>3</v>
      </c>
      <c r="I311">
        <v>18000</v>
      </c>
      <c r="J311" s="10">
        <v>0.05</v>
      </c>
      <c r="K311">
        <v>54000</v>
      </c>
      <c r="L311">
        <v>51300</v>
      </c>
      <c r="M311">
        <v>43200</v>
      </c>
      <c r="N311">
        <v>544</v>
      </c>
      <c r="O311">
        <v>144</v>
      </c>
      <c r="P311">
        <f>INDEX(Raw_product_master[Standard_Cost_Per_Unit],MATCH(Cleaned_Sales_data[[#This Row],[Product]],Raw_product_master[Product],0))</f>
        <v>14400</v>
      </c>
      <c r="Q311">
        <v>7412</v>
      </c>
      <c r="R311" s="11">
        <v>0.14448343079921999</v>
      </c>
      <c r="S311" s="11">
        <f>INDEX(Raw_product_master[Target_Margin], MATCH(Cleaned_Sales_data[[#This Row],[Product]],Raw_product_master[Product], 0 ))</f>
        <v>0.15</v>
      </c>
      <c r="T311" t="str">
        <f>IF(Cleaned_Sales_data[[#This Row],[Profit]]&gt;0, "Profitable", "Loss")</f>
        <v>Profitable</v>
      </c>
      <c r="U311" t="str">
        <f>_xlfn.IFS(Cleaned_Sales_data[[#This Row],[Profit]]&gt;=10000, "High", Cleaned_Sales_data[[#This Row],[Profit]]&gt;=5000, "Medium", Cleaned_Sales_data[[#This Row],[Profit]]&gt;=0, "Low", Cleaned_Sales_data[[#This Row],[Profit]] &lt;0, "Loss")</f>
        <v>Medium</v>
      </c>
      <c r="V311" t="str">
        <f t="shared" si="4"/>
        <v>UnderPerforming</v>
      </c>
      <c r="W311" s="3">
        <v>45658</v>
      </c>
    </row>
    <row r="312" spans="1:23">
      <c r="A312" t="s">
        <v>690</v>
      </c>
      <c r="B312" s="3">
        <v>45925</v>
      </c>
      <c r="C312" t="s">
        <v>24</v>
      </c>
      <c r="D312" t="str">
        <f>INDEX(Raw_product_master[Category],MATCH(Cleaned_Sales_data[[#This Row],[Product]],Raw_product_master[Product],0))</f>
        <v>Accessories</v>
      </c>
      <c r="E312" t="s">
        <v>51</v>
      </c>
      <c r="F312" t="s">
        <v>20</v>
      </c>
      <c r="G312" t="s">
        <v>21</v>
      </c>
      <c r="H312">
        <v>5</v>
      </c>
      <c r="I312">
        <v>3500</v>
      </c>
      <c r="J312" s="10">
        <v>0</v>
      </c>
      <c r="K312">
        <v>17500</v>
      </c>
      <c r="L312">
        <v>17500</v>
      </c>
      <c r="M312">
        <v>11900</v>
      </c>
      <c r="N312">
        <v>1387</v>
      </c>
      <c r="O312">
        <v>475</v>
      </c>
      <c r="P312">
        <f>INDEX(Raw_product_master[Standard_Cost_Per_Unit],MATCH(Cleaned_Sales_data[[#This Row],[Product]],Raw_product_master[Product],0))</f>
        <v>2380</v>
      </c>
      <c r="Q312">
        <v>3738</v>
      </c>
      <c r="R312" s="11">
        <v>0.21360000000000001</v>
      </c>
      <c r="S312" s="11">
        <f>INDEX(Raw_product_master[Target_Margin], MATCH(Cleaned_Sales_data[[#This Row],[Product]],Raw_product_master[Product], 0 ))</f>
        <v>0.2</v>
      </c>
      <c r="T312" t="str">
        <f>IF(Cleaned_Sales_data[[#This Row],[Profit]]&gt;0, "Profitable", "Loss")</f>
        <v>Profitable</v>
      </c>
      <c r="U312" t="str">
        <f>_xlfn.IFS(Cleaned_Sales_data[[#This Row],[Profit]]&gt;=10000, "High", Cleaned_Sales_data[[#This Row],[Profit]]&gt;=5000, "Medium", Cleaned_Sales_data[[#This Row],[Profit]]&gt;=0, "Low", Cleaned_Sales_data[[#This Row],[Profit]] &lt;0, "Loss")</f>
        <v>Low</v>
      </c>
      <c r="V312" t="str">
        <f t="shared" si="4"/>
        <v>On Target</v>
      </c>
      <c r="W312" s="3">
        <v>45901</v>
      </c>
    </row>
    <row r="313" spans="1:23">
      <c r="A313" t="s">
        <v>694</v>
      </c>
      <c r="B313" s="3">
        <v>46124</v>
      </c>
      <c r="C313" t="s">
        <v>50</v>
      </c>
      <c r="D313" t="str">
        <f>INDEX(Raw_product_master[Category],MATCH(Cleaned_Sales_data[[#This Row],[Product]],Raw_product_master[Product],0))</f>
        <v>Accessories</v>
      </c>
      <c r="E313" t="s">
        <v>34</v>
      </c>
      <c r="F313" t="s">
        <v>20</v>
      </c>
      <c r="G313" t="s">
        <v>21</v>
      </c>
      <c r="H313">
        <v>6</v>
      </c>
      <c r="I313">
        <v>2500</v>
      </c>
      <c r="J313" s="10">
        <v>0.05</v>
      </c>
      <c r="K313">
        <v>15000</v>
      </c>
      <c r="L313">
        <v>14250</v>
      </c>
      <c r="M313">
        <v>9300</v>
      </c>
      <c r="N313">
        <v>524</v>
      </c>
      <c r="O313">
        <v>1078</v>
      </c>
      <c r="P313">
        <f>INDEX(Raw_product_master[Standard_Cost_Per_Unit],MATCH(Cleaned_Sales_data[[#This Row],[Product]],Raw_product_master[Product],0))</f>
        <v>1550</v>
      </c>
      <c r="Q313">
        <v>3348</v>
      </c>
      <c r="R313" s="11">
        <v>0.23494736842105299</v>
      </c>
      <c r="S313" s="11">
        <f>INDEX(Raw_product_master[Target_Margin], MATCH(Cleaned_Sales_data[[#This Row],[Product]],Raw_product_master[Product], 0 ))</f>
        <v>0.25</v>
      </c>
      <c r="T313" t="str">
        <f>IF(Cleaned_Sales_data[[#This Row],[Profit]]&gt;0, "Profitable", "Loss")</f>
        <v>Profitable</v>
      </c>
      <c r="U313" t="str">
        <f>_xlfn.IFS(Cleaned_Sales_data[[#This Row],[Profit]]&gt;=10000, "High", Cleaned_Sales_data[[#This Row],[Profit]]&gt;=5000, "Medium", Cleaned_Sales_data[[#This Row],[Profit]]&gt;=0, "Low", Cleaned_Sales_data[[#This Row],[Profit]] &lt;0, "Loss")</f>
        <v>Low</v>
      </c>
      <c r="V313" t="str">
        <f t="shared" si="4"/>
        <v>UnderPerforming</v>
      </c>
      <c r="W313" s="3">
        <v>46113</v>
      </c>
    </row>
    <row r="314" spans="1:23">
      <c r="A314" t="s">
        <v>703</v>
      </c>
      <c r="B314" s="3">
        <v>45822</v>
      </c>
      <c r="C314" t="s">
        <v>50</v>
      </c>
      <c r="D314" t="str">
        <f>INDEX(Raw_product_master[Category],MATCH(Cleaned_Sales_data[[#This Row],[Product]],Raw_product_master[Product],0))</f>
        <v>Accessories</v>
      </c>
      <c r="E314" t="s">
        <v>63</v>
      </c>
      <c r="F314" t="s">
        <v>20</v>
      </c>
      <c r="G314" t="s">
        <v>21</v>
      </c>
      <c r="H314">
        <v>3</v>
      </c>
      <c r="I314">
        <v>2500</v>
      </c>
      <c r="J314" s="10">
        <v>0.08</v>
      </c>
      <c r="K314">
        <v>7500</v>
      </c>
      <c r="L314">
        <v>6900</v>
      </c>
      <c r="M314">
        <v>4650</v>
      </c>
      <c r="N314">
        <v>889</v>
      </c>
      <c r="O314">
        <v>1607</v>
      </c>
      <c r="P314">
        <f>INDEX(Raw_product_master[Standard_Cost_Per_Unit],MATCH(Cleaned_Sales_data[[#This Row],[Product]],Raw_product_master[Product],0))</f>
        <v>1550</v>
      </c>
      <c r="Q314">
        <v>-246</v>
      </c>
      <c r="R314" s="11">
        <v>-3.5652173913043497E-2</v>
      </c>
      <c r="S314" s="11">
        <f>INDEX(Raw_product_master[Target_Margin], MATCH(Cleaned_Sales_data[[#This Row],[Product]],Raw_product_master[Product], 0 ))</f>
        <v>0.25</v>
      </c>
      <c r="T314" t="str">
        <f>IF(Cleaned_Sales_data[[#This Row],[Profit]]&gt;0, "Profitable", "Loss")</f>
        <v>Loss</v>
      </c>
      <c r="U314" t="str">
        <f>_xlfn.IFS(Cleaned_Sales_data[[#This Row],[Profit]]&gt;=10000, "High", Cleaned_Sales_data[[#This Row],[Profit]]&gt;=5000, "Medium", Cleaned_Sales_data[[#This Row],[Profit]]&gt;=0, "Low", Cleaned_Sales_data[[#This Row],[Profit]] &lt;0, "Loss")</f>
        <v>Loss</v>
      </c>
      <c r="V314" t="str">
        <f t="shared" si="4"/>
        <v>UnderPerforming</v>
      </c>
      <c r="W314" s="3">
        <v>45809</v>
      </c>
    </row>
    <row r="315" spans="1:23">
      <c r="A315" t="s">
        <v>713</v>
      </c>
      <c r="B315" s="3">
        <v>46187</v>
      </c>
      <c r="C315" t="s">
        <v>61</v>
      </c>
      <c r="D315" t="str">
        <f>INDEX(Raw_product_master[Category],MATCH(Cleaned_Sales_data[[#This Row],[Product]],Raw_product_master[Product],0))</f>
        <v>Accessories</v>
      </c>
      <c r="E315" t="s">
        <v>63</v>
      </c>
      <c r="F315" t="s">
        <v>20</v>
      </c>
      <c r="G315" t="s">
        <v>21</v>
      </c>
      <c r="H315">
        <v>2</v>
      </c>
      <c r="I315">
        <v>4500</v>
      </c>
      <c r="J315" s="10">
        <v>0.03</v>
      </c>
      <c r="K315">
        <v>9000</v>
      </c>
      <c r="L315">
        <v>8730</v>
      </c>
      <c r="M315">
        <v>5850</v>
      </c>
      <c r="N315">
        <v>1645</v>
      </c>
      <c r="O315">
        <v>2398</v>
      </c>
      <c r="P315">
        <f>INDEX(Raw_product_master[Standard_Cost_Per_Unit],MATCH(Cleaned_Sales_data[[#This Row],[Product]],Raw_product_master[Product],0))</f>
        <v>2925</v>
      </c>
      <c r="Q315">
        <v>-1163</v>
      </c>
      <c r="R315" s="11">
        <v>-0.13321878579610499</v>
      </c>
      <c r="S315" s="11">
        <f>INDEX(Raw_product_master[Target_Margin], MATCH(Cleaned_Sales_data[[#This Row],[Product]],Raw_product_master[Product], 0 ))</f>
        <v>0.22</v>
      </c>
      <c r="T315" t="str">
        <f>IF(Cleaned_Sales_data[[#This Row],[Profit]]&gt;0, "Profitable", "Loss")</f>
        <v>Loss</v>
      </c>
      <c r="U315" t="str">
        <f>_xlfn.IFS(Cleaned_Sales_data[[#This Row],[Profit]]&gt;=10000, "High", Cleaned_Sales_data[[#This Row],[Profit]]&gt;=5000, "Medium", Cleaned_Sales_data[[#This Row],[Profit]]&gt;=0, "Low", Cleaned_Sales_data[[#This Row],[Profit]] &lt;0, "Loss")</f>
        <v>Loss</v>
      </c>
      <c r="V315" t="str">
        <f t="shared" si="4"/>
        <v>UnderPerforming</v>
      </c>
      <c r="W315" s="3">
        <v>46174</v>
      </c>
    </row>
    <row r="316" spans="1:23">
      <c r="A316" t="s">
        <v>715</v>
      </c>
      <c r="B316" s="3">
        <v>46129</v>
      </c>
      <c r="C316" t="s">
        <v>53</v>
      </c>
      <c r="D316" t="str">
        <f>INDEX(Raw_product_master[Category],MATCH(Cleaned_Sales_data[[#This Row],[Product]],Raw_product_master[Product],0))</f>
        <v>Accessories</v>
      </c>
      <c r="E316" t="s">
        <v>63</v>
      </c>
      <c r="F316" t="s">
        <v>20</v>
      </c>
      <c r="G316" t="s">
        <v>21</v>
      </c>
      <c r="H316">
        <v>4</v>
      </c>
      <c r="I316">
        <v>1500</v>
      </c>
      <c r="J316" s="10">
        <v>0.2</v>
      </c>
      <c r="K316">
        <v>6000</v>
      </c>
      <c r="L316">
        <v>4800</v>
      </c>
      <c r="M316">
        <v>3300</v>
      </c>
      <c r="N316">
        <v>1687</v>
      </c>
      <c r="O316">
        <v>901</v>
      </c>
      <c r="P316">
        <f>INDEX(Raw_product_master[Standard_Cost_Per_Unit],MATCH(Cleaned_Sales_data[[#This Row],[Product]],Raw_product_master[Product],0))</f>
        <v>825</v>
      </c>
      <c r="Q316">
        <v>-1088</v>
      </c>
      <c r="R316" s="11">
        <v>-0.22666666666666699</v>
      </c>
      <c r="S316" s="11">
        <f>INDEX(Raw_product_master[Target_Margin], MATCH(Cleaned_Sales_data[[#This Row],[Product]],Raw_product_master[Product], 0 ))</f>
        <v>0.3</v>
      </c>
      <c r="T316" t="str">
        <f>IF(Cleaned_Sales_data[[#This Row],[Profit]]&gt;0, "Profitable", "Loss")</f>
        <v>Loss</v>
      </c>
      <c r="U316" t="str">
        <f>_xlfn.IFS(Cleaned_Sales_data[[#This Row],[Profit]]&gt;=10000, "High", Cleaned_Sales_data[[#This Row],[Profit]]&gt;=5000, "Medium", Cleaned_Sales_data[[#This Row],[Profit]]&gt;=0, "Low", Cleaned_Sales_data[[#This Row],[Profit]] &lt;0, "Loss")</f>
        <v>Loss</v>
      </c>
      <c r="V316" t="str">
        <f t="shared" si="4"/>
        <v>UnderPerforming</v>
      </c>
      <c r="W316" s="3">
        <v>46113</v>
      </c>
    </row>
    <row r="317" spans="1:23">
      <c r="A317" t="s">
        <v>726</v>
      </c>
      <c r="B317" s="3">
        <v>46091</v>
      </c>
      <c r="C317" t="s">
        <v>46</v>
      </c>
      <c r="D317" t="str">
        <f>INDEX(Raw_product_master[Category],MATCH(Cleaned_Sales_data[[#This Row],[Product]],Raw_product_master[Product],0))</f>
        <v>Office Equipment</v>
      </c>
      <c r="E317" t="s">
        <v>51</v>
      </c>
      <c r="F317" t="s">
        <v>20</v>
      </c>
      <c r="G317" t="s">
        <v>21</v>
      </c>
      <c r="H317">
        <v>3</v>
      </c>
      <c r="I317">
        <v>18000</v>
      </c>
      <c r="J317" s="10">
        <v>0.08</v>
      </c>
      <c r="K317">
        <v>54000</v>
      </c>
      <c r="L317">
        <v>49680</v>
      </c>
      <c r="M317">
        <v>43200</v>
      </c>
      <c r="N317">
        <v>201</v>
      </c>
      <c r="O317">
        <v>1133</v>
      </c>
      <c r="P317">
        <f>INDEX(Raw_product_master[Standard_Cost_Per_Unit],MATCH(Cleaned_Sales_data[[#This Row],[Product]],Raw_product_master[Product],0))</f>
        <v>14400</v>
      </c>
      <c r="Q317">
        <v>5146</v>
      </c>
      <c r="R317" s="11">
        <v>0.10358293075684399</v>
      </c>
      <c r="S317" s="11">
        <f>INDEX(Raw_product_master[Target_Margin], MATCH(Cleaned_Sales_data[[#This Row],[Product]],Raw_product_master[Product], 0 ))</f>
        <v>0.15</v>
      </c>
      <c r="T317" t="str">
        <f>IF(Cleaned_Sales_data[[#This Row],[Profit]]&gt;0, "Profitable", "Loss")</f>
        <v>Profitable</v>
      </c>
      <c r="U317" t="str">
        <f>_xlfn.IFS(Cleaned_Sales_data[[#This Row],[Profit]]&gt;=10000, "High", Cleaned_Sales_data[[#This Row],[Profit]]&gt;=5000, "Medium", Cleaned_Sales_data[[#This Row],[Profit]]&gt;=0, "Low", Cleaned_Sales_data[[#This Row],[Profit]] &lt;0, "Loss")</f>
        <v>Medium</v>
      </c>
      <c r="V317" t="str">
        <f t="shared" si="4"/>
        <v>UnderPerforming</v>
      </c>
      <c r="W317" s="3">
        <v>46082</v>
      </c>
    </row>
    <row r="318" spans="1:23">
      <c r="A318" t="s">
        <v>729</v>
      </c>
      <c r="B318" s="3">
        <v>45991</v>
      </c>
      <c r="C318" t="s">
        <v>24</v>
      </c>
      <c r="D318" t="str">
        <f>INDEX(Raw_product_master[Category],MATCH(Cleaned_Sales_data[[#This Row],[Product]],Raw_product_master[Product],0))</f>
        <v>Accessories</v>
      </c>
      <c r="E318" t="s">
        <v>51</v>
      </c>
      <c r="F318" t="s">
        <v>20</v>
      </c>
      <c r="G318" t="s">
        <v>21</v>
      </c>
      <c r="H318">
        <v>7</v>
      </c>
      <c r="I318">
        <v>3500</v>
      </c>
      <c r="J318" s="10">
        <v>0.05</v>
      </c>
      <c r="K318">
        <v>24500</v>
      </c>
      <c r="L318">
        <v>23275</v>
      </c>
      <c r="M318">
        <v>16660</v>
      </c>
      <c r="N318">
        <v>384</v>
      </c>
      <c r="O318">
        <v>1690</v>
      </c>
      <c r="P318">
        <f>INDEX(Raw_product_master[Standard_Cost_Per_Unit],MATCH(Cleaned_Sales_data[[#This Row],[Product]],Raw_product_master[Product],0))</f>
        <v>2380</v>
      </c>
      <c r="Q318">
        <v>4541</v>
      </c>
      <c r="R318" s="11">
        <v>0.19510204081632601</v>
      </c>
      <c r="S318" s="11">
        <f>INDEX(Raw_product_master[Target_Margin], MATCH(Cleaned_Sales_data[[#This Row],[Product]],Raw_product_master[Product], 0 ))</f>
        <v>0.2</v>
      </c>
      <c r="T318" t="str">
        <f>IF(Cleaned_Sales_data[[#This Row],[Profit]]&gt;0, "Profitable", "Loss")</f>
        <v>Profitable</v>
      </c>
      <c r="U318" t="str">
        <f>_xlfn.IFS(Cleaned_Sales_data[[#This Row],[Profit]]&gt;=10000, "High", Cleaned_Sales_data[[#This Row],[Profit]]&gt;=5000, "Medium", Cleaned_Sales_data[[#This Row],[Profit]]&gt;=0, "Low", Cleaned_Sales_data[[#This Row],[Profit]] &lt;0, "Loss")</f>
        <v>Low</v>
      </c>
      <c r="V318" t="str">
        <f t="shared" si="4"/>
        <v>UnderPerforming</v>
      </c>
      <c r="W318" s="3">
        <v>45962</v>
      </c>
    </row>
    <row r="319" spans="1:23">
      <c r="A319" t="s">
        <v>739</v>
      </c>
      <c r="B319" s="3">
        <v>45922</v>
      </c>
      <c r="C319" t="s">
        <v>50</v>
      </c>
      <c r="D319" t="str">
        <f>INDEX(Raw_product_master[Category],MATCH(Cleaned_Sales_data[[#This Row],[Product]],Raw_product_master[Product],0))</f>
        <v>Accessories</v>
      </c>
      <c r="E319" t="s">
        <v>51</v>
      </c>
      <c r="F319" t="s">
        <v>20</v>
      </c>
      <c r="G319" t="s">
        <v>21</v>
      </c>
      <c r="H319">
        <v>4</v>
      </c>
      <c r="I319">
        <v>2500</v>
      </c>
      <c r="J319" s="10">
        <v>0.08</v>
      </c>
      <c r="K319">
        <v>10000</v>
      </c>
      <c r="L319">
        <v>9200</v>
      </c>
      <c r="M319">
        <v>6200</v>
      </c>
      <c r="N319">
        <v>758</v>
      </c>
      <c r="O319">
        <v>2254</v>
      </c>
      <c r="P319">
        <f>INDEX(Raw_product_master[Standard_Cost_Per_Unit],MATCH(Cleaned_Sales_data[[#This Row],[Product]],Raw_product_master[Product],0))</f>
        <v>1550</v>
      </c>
      <c r="Q319">
        <v>-12</v>
      </c>
      <c r="R319" s="11">
        <v>-1.3043478260869601E-3</v>
      </c>
      <c r="S319" s="11">
        <f>INDEX(Raw_product_master[Target_Margin], MATCH(Cleaned_Sales_data[[#This Row],[Product]],Raw_product_master[Product], 0 ))</f>
        <v>0.25</v>
      </c>
      <c r="T319" t="str">
        <f>IF(Cleaned_Sales_data[[#This Row],[Profit]]&gt;0, "Profitable", "Loss")</f>
        <v>Loss</v>
      </c>
      <c r="U319" t="str">
        <f>_xlfn.IFS(Cleaned_Sales_data[[#This Row],[Profit]]&gt;=10000, "High", Cleaned_Sales_data[[#This Row],[Profit]]&gt;=5000, "Medium", Cleaned_Sales_data[[#This Row],[Profit]]&gt;=0, "Low", Cleaned_Sales_data[[#This Row],[Profit]] &lt;0, "Loss")</f>
        <v>Loss</v>
      </c>
      <c r="V319" t="str">
        <f t="shared" si="4"/>
        <v>UnderPerforming</v>
      </c>
      <c r="W319" s="3">
        <v>45901</v>
      </c>
    </row>
    <row r="320" spans="1:23">
      <c r="A320" t="s">
        <v>740</v>
      </c>
      <c r="B320" s="3">
        <v>45811</v>
      </c>
      <c r="C320" t="s">
        <v>24</v>
      </c>
      <c r="D320" t="str">
        <f>INDEX(Raw_product_master[Category],MATCH(Cleaned_Sales_data[[#This Row],[Product]],Raw_product_master[Product],0))</f>
        <v>Accessories</v>
      </c>
      <c r="E320" t="s">
        <v>25</v>
      </c>
      <c r="F320" t="s">
        <v>20</v>
      </c>
      <c r="G320" t="s">
        <v>21</v>
      </c>
      <c r="H320">
        <v>7</v>
      </c>
      <c r="I320">
        <v>3500</v>
      </c>
      <c r="J320" s="10">
        <v>0.1</v>
      </c>
      <c r="K320">
        <v>24500</v>
      </c>
      <c r="L320">
        <v>22050</v>
      </c>
      <c r="M320">
        <v>16660</v>
      </c>
      <c r="N320">
        <v>737</v>
      </c>
      <c r="O320">
        <v>828</v>
      </c>
      <c r="P320">
        <f>INDEX(Raw_product_master[Standard_Cost_Per_Unit],MATCH(Cleaned_Sales_data[[#This Row],[Product]],Raw_product_master[Product],0))</f>
        <v>2380</v>
      </c>
      <c r="Q320">
        <v>3825</v>
      </c>
      <c r="R320" s="11">
        <v>0.17346938775510201</v>
      </c>
      <c r="S320" s="11">
        <f>INDEX(Raw_product_master[Target_Margin], MATCH(Cleaned_Sales_data[[#This Row],[Product]],Raw_product_master[Product], 0 ))</f>
        <v>0.2</v>
      </c>
      <c r="T320" t="str">
        <f>IF(Cleaned_Sales_data[[#This Row],[Profit]]&gt;0, "Profitable", "Loss")</f>
        <v>Profitable</v>
      </c>
      <c r="U320" t="str">
        <f>_xlfn.IFS(Cleaned_Sales_data[[#This Row],[Profit]]&gt;=10000, "High", Cleaned_Sales_data[[#This Row],[Profit]]&gt;=5000, "Medium", Cleaned_Sales_data[[#This Row],[Profit]]&gt;=0, "Low", Cleaned_Sales_data[[#This Row],[Profit]] &lt;0, "Loss")</f>
        <v>Low</v>
      </c>
      <c r="V320" t="str">
        <f t="shared" si="4"/>
        <v>UnderPerforming</v>
      </c>
      <c r="W320" s="3">
        <v>45809</v>
      </c>
    </row>
    <row r="321" spans="1:23">
      <c r="A321" t="s">
        <v>744</v>
      </c>
      <c r="B321" s="3">
        <v>45791</v>
      </c>
      <c r="C321" t="s">
        <v>46</v>
      </c>
      <c r="D321" t="str">
        <f>INDEX(Raw_product_master[Category],MATCH(Cleaned_Sales_data[[#This Row],[Product]],Raw_product_master[Product],0))</f>
        <v>Office Equipment</v>
      </c>
      <c r="E321" t="s">
        <v>31</v>
      </c>
      <c r="F321" t="s">
        <v>20</v>
      </c>
      <c r="G321" t="s">
        <v>21</v>
      </c>
      <c r="H321">
        <v>2</v>
      </c>
      <c r="I321">
        <v>18000</v>
      </c>
      <c r="J321" s="10">
        <v>0.08</v>
      </c>
      <c r="K321">
        <v>36000</v>
      </c>
      <c r="L321">
        <v>33120</v>
      </c>
      <c r="M321">
        <v>28800</v>
      </c>
      <c r="N321">
        <v>686</v>
      </c>
      <c r="O321">
        <v>959</v>
      </c>
      <c r="P321">
        <f>INDEX(Raw_product_master[Standard_Cost_Per_Unit],MATCH(Cleaned_Sales_data[[#This Row],[Product]],Raw_product_master[Product],0))</f>
        <v>14400</v>
      </c>
      <c r="Q321">
        <v>2675</v>
      </c>
      <c r="R321" s="11">
        <v>8.0766908212560398E-2</v>
      </c>
      <c r="S321" s="11">
        <f>INDEX(Raw_product_master[Target_Margin], MATCH(Cleaned_Sales_data[[#This Row],[Product]],Raw_product_master[Product], 0 ))</f>
        <v>0.15</v>
      </c>
      <c r="T321" t="str">
        <f>IF(Cleaned_Sales_data[[#This Row],[Profit]]&gt;0, "Profitable", "Loss")</f>
        <v>Profitable</v>
      </c>
      <c r="U321" t="str">
        <f>_xlfn.IFS(Cleaned_Sales_data[[#This Row],[Profit]]&gt;=10000, "High", Cleaned_Sales_data[[#This Row],[Profit]]&gt;=5000, "Medium", Cleaned_Sales_data[[#This Row],[Profit]]&gt;=0, "Low", Cleaned_Sales_data[[#This Row],[Profit]] &lt;0, "Loss")</f>
        <v>Low</v>
      </c>
      <c r="V321" t="str">
        <f t="shared" si="4"/>
        <v>UnderPerforming</v>
      </c>
      <c r="W321" s="3">
        <v>45778</v>
      </c>
    </row>
    <row r="322" spans="1:23">
      <c r="A322" t="s">
        <v>751</v>
      </c>
      <c r="B322" s="3">
        <v>45849</v>
      </c>
      <c r="C322" t="s">
        <v>50</v>
      </c>
      <c r="D322" t="str">
        <f>INDEX(Raw_product_master[Category],MATCH(Cleaned_Sales_data[[#This Row],[Product]],Raw_product_master[Product],0))</f>
        <v>Accessories</v>
      </c>
      <c r="E322" t="s">
        <v>19</v>
      </c>
      <c r="F322" t="s">
        <v>20</v>
      </c>
      <c r="G322" t="s">
        <v>21</v>
      </c>
      <c r="H322">
        <v>5</v>
      </c>
      <c r="I322">
        <v>2500</v>
      </c>
      <c r="J322" s="10">
        <v>0.1</v>
      </c>
      <c r="K322">
        <v>12500</v>
      </c>
      <c r="L322">
        <v>11250</v>
      </c>
      <c r="M322">
        <v>7750</v>
      </c>
      <c r="N322">
        <v>642</v>
      </c>
      <c r="O322">
        <v>242</v>
      </c>
      <c r="P322">
        <f>INDEX(Raw_product_master[Standard_Cost_Per_Unit],MATCH(Cleaned_Sales_data[[#This Row],[Product]],Raw_product_master[Product],0))</f>
        <v>1550</v>
      </c>
      <c r="Q322">
        <v>2616</v>
      </c>
      <c r="R322" s="11">
        <v>0.23253333333333301</v>
      </c>
      <c r="S322" s="11">
        <f>INDEX(Raw_product_master[Target_Margin], MATCH(Cleaned_Sales_data[[#This Row],[Product]],Raw_product_master[Product], 0 ))</f>
        <v>0.25</v>
      </c>
      <c r="T322" t="str">
        <f>IF(Cleaned_Sales_data[[#This Row],[Profit]]&gt;0, "Profitable", "Loss")</f>
        <v>Profitable</v>
      </c>
      <c r="U322" t="str">
        <f>_xlfn.IFS(Cleaned_Sales_data[[#This Row],[Profit]]&gt;=10000, "High", Cleaned_Sales_data[[#This Row],[Profit]]&gt;=5000, "Medium", Cleaned_Sales_data[[#This Row],[Profit]]&gt;=0, "Low", Cleaned_Sales_data[[#This Row],[Profit]] &lt;0, "Loss")</f>
        <v>Low</v>
      </c>
      <c r="V322" t="str">
        <f t="shared" ref="V322:V385" si="5">IF(R322&lt;S322, "UnderPerforming", "On Target")</f>
        <v>UnderPerforming</v>
      </c>
      <c r="W322" s="3">
        <v>45839</v>
      </c>
    </row>
    <row r="323" spans="1:23">
      <c r="A323" t="s">
        <v>756</v>
      </c>
      <c r="B323" s="3">
        <v>46177</v>
      </c>
      <c r="C323" t="s">
        <v>24</v>
      </c>
      <c r="D323" t="str">
        <f>INDEX(Raw_product_master[Category],MATCH(Cleaned_Sales_data[[#This Row],[Product]],Raw_product_master[Product],0))</f>
        <v>Accessories</v>
      </c>
      <c r="E323" t="s">
        <v>25</v>
      </c>
      <c r="F323" t="s">
        <v>20</v>
      </c>
      <c r="G323" t="s">
        <v>21</v>
      </c>
      <c r="H323">
        <v>3</v>
      </c>
      <c r="I323">
        <v>3500</v>
      </c>
      <c r="J323" s="10">
        <v>0.05</v>
      </c>
      <c r="K323">
        <v>10500</v>
      </c>
      <c r="L323">
        <v>9975</v>
      </c>
      <c r="M323">
        <v>7140</v>
      </c>
      <c r="N323">
        <v>1664</v>
      </c>
      <c r="O323">
        <v>1125</v>
      </c>
      <c r="P323">
        <f>INDEX(Raw_product_master[Standard_Cost_Per_Unit],MATCH(Cleaned_Sales_data[[#This Row],[Product]],Raw_product_master[Product],0))</f>
        <v>2380</v>
      </c>
      <c r="Q323">
        <v>46</v>
      </c>
      <c r="R323" s="11">
        <v>4.6115288220550501E-3</v>
      </c>
      <c r="S323" s="11">
        <f>INDEX(Raw_product_master[Target_Margin], MATCH(Cleaned_Sales_data[[#This Row],[Product]],Raw_product_master[Product], 0 ))</f>
        <v>0.2</v>
      </c>
      <c r="T323" t="str">
        <f>IF(Cleaned_Sales_data[[#This Row],[Profit]]&gt;0, "Profitable", "Loss")</f>
        <v>Profitable</v>
      </c>
      <c r="U323" t="str">
        <f>_xlfn.IFS(Cleaned_Sales_data[[#This Row],[Profit]]&gt;=10000, "High", Cleaned_Sales_data[[#This Row],[Profit]]&gt;=5000, "Medium", Cleaned_Sales_data[[#This Row],[Profit]]&gt;=0, "Low", Cleaned_Sales_data[[#This Row],[Profit]] &lt;0, "Loss")</f>
        <v>Low</v>
      </c>
      <c r="V323" t="str">
        <f t="shared" si="5"/>
        <v>UnderPerforming</v>
      </c>
      <c r="W323" s="3">
        <v>46174</v>
      </c>
    </row>
    <row r="324" spans="1:23">
      <c r="A324" t="s">
        <v>758</v>
      </c>
      <c r="B324" s="3">
        <v>45677</v>
      </c>
      <c r="C324" t="s">
        <v>24</v>
      </c>
      <c r="D324" t="str">
        <f>INDEX(Raw_product_master[Category],MATCH(Cleaned_Sales_data[[#This Row],[Product]],Raw_product_master[Product],0))</f>
        <v>Accessories</v>
      </c>
      <c r="E324" t="s">
        <v>63</v>
      </c>
      <c r="F324" t="s">
        <v>20</v>
      </c>
      <c r="G324" t="s">
        <v>21</v>
      </c>
      <c r="H324">
        <v>6</v>
      </c>
      <c r="I324">
        <v>3500</v>
      </c>
      <c r="J324" s="10">
        <v>0.08</v>
      </c>
      <c r="K324">
        <v>21000</v>
      </c>
      <c r="L324">
        <v>19320</v>
      </c>
      <c r="M324">
        <v>14280</v>
      </c>
      <c r="N324">
        <v>1529</v>
      </c>
      <c r="O324">
        <v>577</v>
      </c>
      <c r="P324">
        <f>INDEX(Raw_product_master[Standard_Cost_Per_Unit],MATCH(Cleaned_Sales_data[[#This Row],[Product]],Raw_product_master[Product],0))</f>
        <v>2380</v>
      </c>
      <c r="Q324">
        <v>2934</v>
      </c>
      <c r="R324" s="11">
        <v>0.151863354037267</v>
      </c>
      <c r="S324" s="11">
        <f>INDEX(Raw_product_master[Target_Margin], MATCH(Cleaned_Sales_data[[#This Row],[Product]],Raw_product_master[Product], 0 ))</f>
        <v>0.2</v>
      </c>
      <c r="T324" t="str">
        <f>IF(Cleaned_Sales_data[[#This Row],[Profit]]&gt;0, "Profitable", "Loss")</f>
        <v>Profitable</v>
      </c>
      <c r="U324" t="str">
        <f>_xlfn.IFS(Cleaned_Sales_data[[#This Row],[Profit]]&gt;=10000, "High", Cleaned_Sales_data[[#This Row],[Profit]]&gt;=5000, "Medium", Cleaned_Sales_data[[#This Row],[Profit]]&gt;=0, "Low", Cleaned_Sales_data[[#This Row],[Profit]] &lt;0, "Loss")</f>
        <v>Low</v>
      </c>
      <c r="V324" t="str">
        <f t="shared" si="5"/>
        <v>UnderPerforming</v>
      </c>
      <c r="W324" s="3">
        <v>45658</v>
      </c>
    </row>
    <row r="325" spans="1:23">
      <c r="A325" t="s">
        <v>759</v>
      </c>
      <c r="B325" s="3">
        <v>46032</v>
      </c>
      <c r="C325" t="s">
        <v>61</v>
      </c>
      <c r="D325" t="str">
        <f>INDEX(Raw_product_master[Category],MATCH(Cleaned_Sales_data[[#This Row],[Product]],Raw_product_master[Product],0))</f>
        <v>Accessories</v>
      </c>
      <c r="E325" t="s">
        <v>34</v>
      </c>
      <c r="F325" t="s">
        <v>20</v>
      </c>
      <c r="G325" t="s">
        <v>21</v>
      </c>
      <c r="H325">
        <v>5</v>
      </c>
      <c r="I325">
        <v>4500</v>
      </c>
      <c r="J325" s="10">
        <v>0.05</v>
      </c>
      <c r="K325">
        <v>22500</v>
      </c>
      <c r="L325">
        <v>21375</v>
      </c>
      <c r="M325">
        <v>14625</v>
      </c>
      <c r="N325">
        <v>755</v>
      </c>
      <c r="O325">
        <v>1965</v>
      </c>
      <c r="P325">
        <f>INDEX(Raw_product_master[Standard_Cost_Per_Unit],MATCH(Cleaned_Sales_data[[#This Row],[Product]],Raw_product_master[Product],0))</f>
        <v>2925</v>
      </c>
      <c r="Q325">
        <v>4030</v>
      </c>
      <c r="R325" s="11">
        <v>0.188538011695906</v>
      </c>
      <c r="S325" s="11">
        <f>INDEX(Raw_product_master[Target_Margin], MATCH(Cleaned_Sales_data[[#This Row],[Product]],Raw_product_master[Product], 0 ))</f>
        <v>0.22</v>
      </c>
      <c r="T325" t="str">
        <f>IF(Cleaned_Sales_data[[#This Row],[Profit]]&gt;0, "Profitable", "Loss")</f>
        <v>Profitable</v>
      </c>
      <c r="U325" t="str">
        <f>_xlfn.IFS(Cleaned_Sales_data[[#This Row],[Profit]]&gt;=10000, "High", Cleaned_Sales_data[[#This Row],[Profit]]&gt;=5000, "Medium", Cleaned_Sales_data[[#This Row],[Profit]]&gt;=0, "Low", Cleaned_Sales_data[[#This Row],[Profit]] &lt;0, "Loss")</f>
        <v>Low</v>
      </c>
      <c r="V325" t="str">
        <f t="shared" si="5"/>
        <v>UnderPerforming</v>
      </c>
      <c r="W325" s="3">
        <v>46023</v>
      </c>
    </row>
    <row r="326" spans="1:23">
      <c r="A326" t="s">
        <v>760</v>
      </c>
      <c r="B326" s="3">
        <v>45727</v>
      </c>
      <c r="C326" t="s">
        <v>30</v>
      </c>
      <c r="D326" t="str">
        <f>INDEX(Raw_product_master[Category],MATCH(Cleaned_Sales_data[[#This Row],[Product]],Raw_product_master[Product],0))</f>
        <v>Displays</v>
      </c>
      <c r="E326" t="s">
        <v>51</v>
      </c>
      <c r="F326" t="s">
        <v>20</v>
      </c>
      <c r="G326" t="s">
        <v>21</v>
      </c>
      <c r="H326">
        <v>2</v>
      </c>
      <c r="I326">
        <v>28000</v>
      </c>
      <c r="J326" s="10">
        <v>0.05</v>
      </c>
      <c r="K326">
        <v>56000</v>
      </c>
      <c r="L326">
        <v>53200</v>
      </c>
      <c r="M326">
        <v>43680</v>
      </c>
      <c r="N326">
        <v>465</v>
      </c>
      <c r="O326">
        <v>1371</v>
      </c>
      <c r="P326">
        <f>INDEX(Raw_product_master[Standard_Cost_Per_Unit],MATCH(Cleaned_Sales_data[[#This Row],[Product]],Raw_product_master[Product],0))</f>
        <v>21840</v>
      </c>
      <c r="Q326">
        <v>7684</v>
      </c>
      <c r="R326" s="11">
        <v>0.144436090225564</v>
      </c>
      <c r="S326" s="11">
        <f>INDEX(Raw_product_master[Target_Margin], MATCH(Cleaned_Sales_data[[#This Row],[Product]],Raw_product_master[Product], 0 ))</f>
        <v>0.18</v>
      </c>
      <c r="T326" t="str">
        <f>IF(Cleaned_Sales_data[[#This Row],[Profit]]&gt;0, "Profitable", "Loss")</f>
        <v>Profitable</v>
      </c>
      <c r="U326" t="str">
        <f>_xlfn.IFS(Cleaned_Sales_data[[#This Row],[Profit]]&gt;=10000, "High", Cleaned_Sales_data[[#This Row],[Profit]]&gt;=5000, "Medium", Cleaned_Sales_data[[#This Row],[Profit]]&gt;=0, "Low", Cleaned_Sales_data[[#This Row],[Profit]] &lt;0, "Loss")</f>
        <v>Medium</v>
      </c>
      <c r="V326" t="str">
        <f t="shared" si="5"/>
        <v>UnderPerforming</v>
      </c>
      <c r="W326" s="3">
        <v>45717</v>
      </c>
    </row>
    <row r="327" spans="1:23">
      <c r="A327" t="s">
        <v>764</v>
      </c>
      <c r="B327" s="3">
        <v>46059</v>
      </c>
      <c r="C327" t="s">
        <v>75</v>
      </c>
      <c r="D327" t="str">
        <f>INDEX(Raw_product_master[Category],MATCH(Cleaned_Sales_data[[#This Row],[Product]],Raw_product_master[Product],0))</f>
        <v>Computers</v>
      </c>
      <c r="E327" t="s">
        <v>34</v>
      </c>
      <c r="F327" t="s">
        <v>20</v>
      </c>
      <c r="G327" t="s">
        <v>21</v>
      </c>
      <c r="H327">
        <v>1</v>
      </c>
      <c r="I327">
        <v>65000</v>
      </c>
      <c r="J327" s="10">
        <v>0</v>
      </c>
      <c r="K327">
        <v>65000</v>
      </c>
      <c r="L327">
        <v>65000</v>
      </c>
      <c r="M327">
        <v>54600</v>
      </c>
      <c r="N327">
        <v>634</v>
      </c>
      <c r="O327">
        <v>981</v>
      </c>
      <c r="P327">
        <f>INDEX(Raw_product_master[Standard_Cost_Per_Unit],MATCH(Cleaned_Sales_data[[#This Row],[Product]],Raw_product_master[Product],0))</f>
        <v>54600</v>
      </c>
      <c r="Q327">
        <v>8785</v>
      </c>
      <c r="R327" s="11">
        <v>0.13515384615384601</v>
      </c>
      <c r="S327" s="11">
        <f>INDEX(Raw_product_master[Target_Margin], MATCH(Cleaned_Sales_data[[#This Row],[Product]],Raw_product_master[Product], 0 ))</f>
        <v>0.12</v>
      </c>
      <c r="T327" t="str">
        <f>IF(Cleaned_Sales_data[[#This Row],[Profit]]&gt;0, "Profitable", "Loss")</f>
        <v>Profitable</v>
      </c>
      <c r="U327" t="str">
        <f>_xlfn.IFS(Cleaned_Sales_data[[#This Row],[Profit]]&gt;=10000, "High", Cleaned_Sales_data[[#This Row],[Profit]]&gt;=5000, "Medium", Cleaned_Sales_data[[#This Row],[Profit]]&gt;=0, "Low", Cleaned_Sales_data[[#This Row],[Profit]] &lt;0, "Loss")</f>
        <v>Medium</v>
      </c>
      <c r="V327" t="str">
        <f t="shared" si="5"/>
        <v>On Target</v>
      </c>
      <c r="W327" s="3">
        <v>46054</v>
      </c>
    </row>
    <row r="328" spans="1:23">
      <c r="A328" t="s">
        <v>773</v>
      </c>
      <c r="B328" s="3">
        <v>46118</v>
      </c>
      <c r="C328" t="s">
        <v>46</v>
      </c>
      <c r="D328" t="str">
        <f>INDEX(Raw_product_master[Category],MATCH(Cleaned_Sales_data[[#This Row],[Product]],Raw_product_master[Product],0))</f>
        <v>Office Equipment</v>
      </c>
      <c r="E328" t="s">
        <v>19</v>
      </c>
      <c r="F328" t="s">
        <v>20</v>
      </c>
      <c r="G328" t="s">
        <v>21</v>
      </c>
      <c r="H328">
        <v>1</v>
      </c>
      <c r="I328">
        <v>18000</v>
      </c>
      <c r="J328" s="10">
        <v>0</v>
      </c>
      <c r="K328">
        <v>18000</v>
      </c>
      <c r="L328">
        <v>18000</v>
      </c>
      <c r="M328">
        <v>14400</v>
      </c>
      <c r="N328">
        <v>418</v>
      </c>
      <c r="O328">
        <v>1610</v>
      </c>
      <c r="P328">
        <f>INDEX(Raw_product_master[Standard_Cost_Per_Unit],MATCH(Cleaned_Sales_data[[#This Row],[Product]],Raw_product_master[Product],0))</f>
        <v>14400</v>
      </c>
      <c r="Q328">
        <v>1572</v>
      </c>
      <c r="R328" s="11">
        <v>8.7333333333333305E-2</v>
      </c>
      <c r="S328" s="11">
        <f>INDEX(Raw_product_master[Target_Margin], MATCH(Cleaned_Sales_data[[#This Row],[Product]],Raw_product_master[Product], 0 ))</f>
        <v>0.15</v>
      </c>
      <c r="T328" t="str">
        <f>IF(Cleaned_Sales_data[[#This Row],[Profit]]&gt;0, "Profitable", "Loss")</f>
        <v>Profitable</v>
      </c>
      <c r="U328" t="str">
        <f>_xlfn.IFS(Cleaned_Sales_data[[#This Row],[Profit]]&gt;=10000, "High", Cleaned_Sales_data[[#This Row],[Profit]]&gt;=5000, "Medium", Cleaned_Sales_data[[#This Row],[Profit]]&gt;=0, "Low", Cleaned_Sales_data[[#This Row],[Profit]] &lt;0, "Loss")</f>
        <v>Low</v>
      </c>
      <c r="V328" t="str">
        <f t="shared" si="5"/>
        <v>UnderPerforming</v>
      </c>
      <c r="W328" s="3">
        <v>46113</v>
      </c>
    </row>
    <row r="329" spans="1:23">
      <c r="A329" t="s">
        <v>774</v>
      </c>
      <c r="B329" s="3">
        <v>46014</v>
      </c>
      <c r="C329" t="s">
        <v>53</v>
      </c>
      <c r="D329" t="str">
        <f>INDEX(Raw_product_master[Category],MATCH(Cleaned_Sales_data[[#This Row],[Product]],Raw_product_master[Product],0))</f>
        <v>Accessories</v>
      </c>
      <c r="E329" t="s">
        <v>63</v>
      </c>
      <c r="F329" t="s">
        <v>20</v>
      </c>
      <c r="G329" t="s">
        <v>21</v>
      </c>
      <c r="H329">
        <v>7</v>
      </c>
      <c r="I329">
        <v>1500</v>
      </c>
      <c r="J329" s="10">
        <v>0</v>
      </c>
      <c r="K329">
        <v>10500</v>
      </c>
      <c r="L329">
        <v>10500</v>
      </c>
      <c r="M329">
        <v>5775</v>
      </c>
      <c r="N329">
        <v>1632</v>
      </c>
      <c r="O329">
        <v>2447</v>
      </c>
      <c r="P329">
        <f>INDEX(Raw_product_master[Standard_Cost_Per_Unit],MATCH(Cleaned_Sales_data[[#This Row],[Product]],Raw_product_master[Product],0))</f>
        <v>825</v>
      </c>
      <c r="Q329">
        <v>646</v>
      </c>
      <c r="R329" s="11">
        <v>6.1523809523809397E-2</v>
      </c>
      <c r="S329" s="11">
        <f>INDEX(Raw_product_master[Target_Margin], MATCH(Cleaned_Sales_data[[#This Row],[Product]],Raw_product_master[Product], 0 ))</f>
        <v>0.3</v>
      </c>
      <c r="T329" t="str">
        <f>IF(Cleaned_Sales_data[[#This Row],[Profit]]&gt;0, "Profitable", "Loss")</f>
        <v>Profitable</v>
      </c>
      <c r="U329" t="str">
        <f>_xlfn.IFS(Cleaned_Sales_data[[#This Row],[Profit]]&gt;=10000, "High", Cleaned_Sales_data[[#This Row],[Profit]]&gt;=5000, "Medium", Cleaned_Sales_data[[#This Row],[Profit]]&gt;=0, "Low", Cleaned_Sales_data[[#This Row],[Profit]] &lt;0, "Loss")</f>
        <v>Low</v>
      </c>
      <c r="V329" t="str">
        <f t="shared" si="5"/>
        <v>UnderPerforming</v>
      </c>
      <c r="W329" s="3">
        <v>45992</v>
      </c>
    </row>
    <row r="330" spans="1:23">
      <c r="A330" t="s">
        <v>778</v>
      </c>
      <c r="B330" s="3">
        <v>45938</v>
      </c>
      <c r="C330" t="s">
        <v>30</v>
      </c>
      <c r="D330" t="str">
        <f>INDEX(Raw_product_master[Category],MATCH(Cleaned_Sales_data[[#This Row],[Product]],Raw_product_master[Product],0))</f>
        <v>Displays</v>
      </c>
      <c r="E330" t="s">
        <v>31</v>
      </c>
      <c r="F330" t="s">
        <v>20</v>
      </c>
      <c r="G330" t="s">
        <v>21</v>
      </c>
      <c r="H330">
        <v>2</v>
      </c>
      <c r="I330">
        <v>28000</v>
      </c>
      <c r="J330" s="10">
        <v>0.2</v>
      </c>
      <c r="K330">
        <v>56000</v>
      </c>
      <c r="L330">
        <v>44800</v>
      </c>
      <c r="M330">
        <v>43680</v>
      </c>
      <c r="N330">
        <v>1047</v>
      </c>
      <c r="O330">
        <v>903</v>
      </c>
      <c r="P330">
        <f>INDEX(Raw_product_master[Standard_Cost_Per_Unit],MATCH(Cleaned_Sales_data[[#This Row],[Product]],Raw_product_master[Product],0))</f>
        <v>21840</v>
      </c>
      <c r="Q330">
        <v>-830</v>
      </c>
      <c r="R330" s="11">
        <v>-1.8526785714285701E-2</v>
      </c>
      <c r="S330" s="11">
        <f>INDEX(Raw_product_master[Target_Margin], MATCH(Cleaned_Sales_data[[#This Row],[Product]],Raw_product_master[Product], 0 ))</f>
        <v>0.18</v>
      </c>
      <c r="T330" t="str">
        <f>IF(Cleaned_Sales_data[[#This Row],[Profit]]&gt;0, "Profitable", "Loss")</f>
        <v>Loss</v>
      </c>
      <c r="U330" t="str">
        <f>_xlfn.IFS(Cleaned_Sales_data[[#This Row],[Profit]]&gt;=10000, "High", Cleaned_Sales_data[[#This Row],[Profit]]&gt;=5000, "Medium", Cleaned_Sales_data[[#This Row],[Profit]]&gt;=0, "Low", Cleaned_Sales_data[[#This Row],[Profit]] &lt;0, "Loss")</f>
        <v>Loss</v>
      </c>
      <c r="V330" t="str">
        <f t="shared" si="5"/>
        <v>UnderPerforming</v>
      </c>
      <c r="W330" s="3">
        <v>45931</v>
      </c>
    </row>
    <row r="331" spans="1:23">
      <c r="A331" t="s">
        <v>779</v>
      </c>
      <c r="B331" s="3">
        <v>45720</v>
      </c>
      <c r="C331" t="s">
        <v>75</v>
      </c>
      <c r="D331" t="str">
        <f>INDEX(Raw_product_master[Category],MATCH(Cleaned_Sales_data[[#This Row],[Product]],Raw_product_master[Product],0))</f>
        <v>Computers</v>
      </c>
      <c r="E331" t="s">
        <v>63</v>
      </c>
      <c r="F331" t="s">
        <v>20</v>
      </c>
      <c r="G331" t="s">
        <v>21</v>
      </c>
      <c r="H331">
        <v>1</v>
      </c>
      <c r="I331">
        <v>65000</v>
      </c>
      <c r="J331" s="10">
        <v>0.15</v>
      </c>
      <c r="K331">
        <v>65000</v>
      </c>
      <c r="L331">
        <v>55250</v>
      </c>
      <c r="M331">
        <v>54600</v>
      </c>
      <c r="N331">
        <v>1138</v>
      </c>
      <c r="O331">
        <v>1633</v>
      </c>
      <c r="P331">
        <f>INDEX(Raw_product_master[Standard_Cost_Per_Unit],MATCH(Cleaned_Sales_data[[#This Row],[Product]],Raw_product_master[Product],0))</f>
        <v>54600</v>
      </c>
      <c r="Q331">
        <v>-2121</v>
      </c>
      <c r="R331" s="11">
        <v>-3.8389140271493198E-2</v>
      </c>
      <c r="S331" s="11">
        <f>INDEX(Raw_product_master[Target_Margin], MATCH(Cleaned_Sales_data[[#This Row],[Product]],Raw_product_master[Product], 0 ))</f>
        <v>0.12</v>
      </c>
      <c r="T331" t="str">
        <f>IF(Cleaned_Sales_data[[#This Row],[Profit]]&gt;0, "Profitable", "Loss")</f>
        <v>Loss</v>
      </c>
      <c r="U331" t="str">
        <f>_xlfn.IFS(Cleaned_Sales_data[[#This Row],[Profit]]&gt;=10000, "High", Cleaned_Sales_data[[#This Row],[Profit]]&gt;=5000, "Medium", Cleaned_Sales_data[[#This Row],[Profit]]&gt;=0, "Low", Cleaned_Sales_data[[#This Row],[Profit]] &lt;0, "Loss")</f>
        <v>Loss</v>
      </c>
      <c r="V331" t="str">
        <f t="shared" si="5"/>
        <v>UnderPerforming</v>
      </c>
      <c r="W331" s="3">
        <v>45717</v>
      </c>
    </row>
    <row r="332" spans="1:23">
      <c r="A332" t="s">
        <v>781</v>
      </c>
      <c r="B332" s="3">
        <v>45827</v>
      </c>
      <c r="C332" t="s">
        <v>24</v>
      </c>
      <c r="D332" t="str">
        <f>INDEX(Raw_product_master[Category],MATCH(Cleaned_Sales_data[[#This Row],[Product]],Raw_product_master[Product],0))</f>
        <v>Accessories</v>
      </c>
      <c r="E332" t="s">
        <v>34</v>
      </c>
      <c r="F332" t="s">
        <v>20</v>
      </c>
      <c r="G332" t="s">
        <v>21</v>
      </c>
      <c r="H332">
        <v>2</v>
      </c>
      <c r="I332">
        <v>3500</v>
      </c>
      <c r="J332" s="10">
        <v>0.05</v>
      </c>
      <c r="K332">
        <v>7000</v>
      </c>
      <c r="L332">
        <v>6650</v>
      </c>
      <c r="M332">
        <v>4760</v>
      </c>
      <c r="N332">
        <v>1390</v>
      </c>
      <c r="O332">
        <v>350</v>
      </c>
      <c r="P332">
        <f>INDEX(Raw_product_master[Standard_Cost_Per_Unit],MATCH(Cleaned_Sales_data[[#This Row],[Product]],Raw_product_master[Product],0))</f>
        <v>2380</v>
      </c>
      <c r="Q332">
        <v>150</v>
      </c>
      <c r="R332" s="11">
        <v>2.2556390977443601E-2</v>
      </c>
      <c r="S332" s="11">
        <f>INDEX(Raw_product_master[Target_Margin], MATCH(Cleaned_Sales_data[[#This Row],[Product]],Raw_product_master[Product], 0 ))</f>
        <v>0.2</v>
      </c>
      <c r="T332" t="str">
        <f>IF(Cleaned_Sales_data[[#This Row],[Profit]]&gt;0, "Profitable", "Loss")</f>
        <v>Profitable</v>
      </c>
      <c r="U332" t="str">
        <f>_xlfn.IFS(Cleaned_Sales_data[[#This Row],[Profit]]&gt;=10000, "High", Cleaned_Sales_data[[#This Row],[Profit]]&gt;=5000, "Medium", Cleaned_Sales_data[[#This Row],[Profit]]&gt;=0, "Low", Cleaned_Sales_data[[#This Row],[Profit]] &lt;0, "Loss")</f>
        <v>Low</v>
      </c>
      <c r="V332" t="str">
        <f t="shared" si="5"/>
        <v>UnderPerforming</v>
      </c>
      <c r="W332" s="3">
        <v>45809</v>
      </c>
    </row>
    <row r="333" spans="1:23">
      <c r="A333" t="s">
        <v>785</v>
      </c>
      <c r="B333" s="3">
        <v>46160</v>
      </c>
      <c r="C333" t="s">
        <v>61</v>
      </c>
      <c r="D333" t="str">
        <f>INDEX(Raw_product_master[Category],MATCH(Cleaned_Sales_data[[#This Row],[Product]],Raw_product_master[Product],0))</f>
        <v>Accessories</v>
      </c>
      <c r="E333" t="s">
        <v>31</v>
      </c>
      <c r="F333" t="s">
        <v>20</v>
      </c>
      <c r="G333" t="s">
        <v>21</v>
      </c>
      <c r="H333">
        <v>4</v>
      </c>
      <c r="I333">
        <v>4500</v>
      </c>
      <c r="J333" s="10">
        <v>0.1</v>
      </c>
      <c r="K333">
        <v>18000</v>
      </c>
      <c r="L333">
        <v>16200</v>
      </c>
      <c r="M333">
        <v>11700</v>
      </c>
      <c r="N333">
        <v>1592</v>
      </c>
      <c r="O333">
        <v>1237</v>
      </c>
      <c r="P333">
        <f>INDEX(Raw_product_master[Standard_Cost_Per_Unit],MATCH(Cleaned_Sales_data[[#This Row],[Product]],Raw_product_master[Product],0))</f>
        <v>2925</v>
      </c>
      <c r="Q333">
        <v>1671</v>
      </c>
      <c r="R333" s="11">
        <v>0.103148148148148</v>
      </c>
      <c r="S333" s="11">
        <f>INDEX(Raw_product_master[Target_Margin], MATCH(Cleaned_Sales_data[[#This Row],[Product]],Raw_product_master[Product], 0 ))</f>
        <v>0.22</v>
      </c>
      <c r="T333" t="str">
        <f>IF(Cleaned_Sales_data[[#This Row],[Profit]]&gt;0, "Profitable", "Loss")</f>
        <v>Profitable</v>
      </c>
      <c r="U333" t="str">
        <f>_xlfn.IFS(Cleaned_Sales_data[[#This Row],[Profit]]&gt;=10000, "High", Cleaned_Sales_data[[#This Row],[Profit]]&gt;=5000, "Medium", Cleaned_Sales_data[[#This Row],[Profit]]&gt;=0, "Low", Cleaned_Sales_data[[#This Row],[Profit]] &lt;0, "Loss")</f>
        <v>Low</v>
      </c>
      <c r="V333" t="str">
        <f t="shared" si="5"/>
        <v>UnderPerforming</v>
      </c>
      <c r="W333" s="3">
        <v>46143</v>
      </c>
    </row>
    <row r="334" spans="1:23">
      <c r="A334" t="s">
        <v>787</v>
      </c>
      <c r="B334" s="3">
        <v>45702</v>
      </c>
      <c r="C334" t="s">
        <v>75</v>
      </c>
      <c r="D334" t="str">
        <f>INDEX(Raw_product_master[Category],MATCH(Cleaned_Sales_data[[#This Row],[Product]],Raw_product_master[Product],0))</f>
        <v>Computers</v>
      </c>
      <c r="E334" t="s">
        <v>25</v>
      </c>
      <c r="F334" t="s">
        <v>20</v>
      </c>
      <c r="G334" t="s">
        <v>21</v>
      </c>
      <c r="H334">
        <v>2</v>
      </c>
      <c r="I334">
        <v>65000</v>
      </c>
      <c r="J334" s="10">
        <v>0.1</v>
      </c>
      <c r="K334">
        <v>130000</v>
      </c>
      <c r="L334">
        <v>117000</v>
      </c>
      <c r="M334">
        <v>109200</v>
      </c>
      <c r="N334">
        <v>602</v>
      </c>
      <c r="O334">
        <v>513</v>
      </c>
      <c r="P334">
        <f>INDEX(Raw_product_master[Standard_Cost_Per_Unit],MATCH(Cleaned_Sales_data[[#This Row],[Product]],Raw_product_master[Product],0))</f>
        <v>54600</v>
      </c>
      <c r="Q334">
        <v>6685</v>
      </c>
      <c r="R334" s="11">
        <v>5.7136752136752102E-2</v>
      </c>
      <c r="S334" s="11">
        <f>INDEX(Raw_product_master[Target_Margin], MATCH(Cleaned_Sales_data[[#This Row],[Product]],Raw_product_master[Product], 0 ))</f>
        <v>0.12</v>
      </c>
      <c r="T334" t="str">
        <f>IF(Cleaned_Sales_data[[#This Row],[Profit]]&gt;0, "Profitable", "Loss")</f>
        <v>Profitable</v>
      </c>
      <c r="U334" t="str">
        <f>_xlfn.IFS(Cleaned_Sales_data[[#This Row],[Profit]]&gt;=10000, "High", Cleaned_Sales_data[[#This Row],[Profit]]&gt;=5000, "Medium", Cleaned_Sales_data[[#This Row],[Profit]]&gt;=0, "Low", Cleaned_Sales_data[[#This Row],[Profit]] &lt;0, "Loss")</f>
        <v>Medium</v>
      </c>
      <c r="V334" t="str">
        <f t="shared" si="5"/>
        <v>UnderPerforming</v>
      </c>
      <c r="W334" s="3">
        <v>45689</v>
      </c>
    </row>
    <row r="335" spans="1:23">
      <c r="A335" t="s">
        <v>795</v>
      </c>
      <c r="B335" s="3">
        <v>45980</v>
      </c>
      <c r="C335" t="s">
        <v>24</v>
      </c>
      <c r="D335" t="str">
        <f>INDEX(Raw_product_master[Category],MATCH(Cleaned_Sales_data[[#This Row],[Product]],Raw_product_master[Product],0))</f>
        <v>Accessories</v>
      </c>
      <c r="E335" t="s">
        <v>63</v>
      </c>
      <c r="F335" t="s">
        <v>20</v>
      </c>
      <c r="G335" t="s">
        <v>21</v>
      </c>
      <c r="H335">
        <v>3</v>
      </c>
      <c r="I335">
        <v>3500</v>
      </c>
      <c r="J335" s="10">
        <v>0.1</v>
      </c>
      <c r="K335">
        <v>10500</v>
      </c>
      <c r="L335">
        <v>9450</v>
      </c>
      <c r="M335">
        <v>7140</v>
      </c>
      <c r="N335">
        <v>1450</v>
      </c>
      <c r="O335">
        <v>844</v>
      </c>
      <c r="P335">
        <f>INDEX(Raw_product_master[Standard_Cost_Per_Unit],MATCH(Cleaned_Sales_data[[#This Row],[Product]],Raw_product_master[Product],0))</f>
        <v>2380</v>
      </c>
      <c r="Q335">
        <v>16</v>
      </c>
      <c r="R335" s="11">
        <v>1.6931216931216E-3</v>
      </c>
      <c r="S335" s="11">
        <f>INDEX(Raw_product_master[Target_Margin], MATCH(Cleaned_Sales_data[[#This Row],[Product]],Raw_product_master[Product], 0 ))</f>
        <v>0.2</v>
      </c>
      <c r="T335" t="str">
        <f>IF(Cleaned_Sales_data[[#This Row],[Profit]]&gt;0, "Profitable", "Loss")</f>
        <v>Profitable</v>
      </c>
      <c r="U335" t="str">
        <f>_xlfn.IFS(Cleaned_Sales_data[[#This Row],[Profit]]&gt;=10000, "High", Cleaned_Sales_data[[#This Row],[Profit]]&gt;=5000, "Medium", Cleaned_Sales_data[[#This Row],[Profit]]&gt;=0, "Low", Cleaned_Sales_data[[#This Row],[Profit]] &lt;0, "Loss")</f>
        <v>Low</v>
      </c>
      <c r="V335" t="str">
        <f t="shared" si="5"/>
        <v>UnderPerforming</v>
      </c>
      <c r="W335" s="3">
        <v>45962</v>
      </c>
    </row>
    <row r="336" spans="1:23">
      <c r="A336" t="s">
        <v>60</v>
      </c>
      <c r="B336" s="3">
        <v>45685</v>
      </c>
      <c r="C336" t="s">
        <v>61</v>
      </c>
      <c r="D336" t="str">
        <f>INDEX(Raw_product_master[Category],MATCH(Cleaned_Sales_data[[#This Row],[Product]],Raw_product_master[Product],0))</f>
        <v>Accessories</v>
      </c>
      <c r="E336" t="s">
        <v>31</v>
      </c>
      <c r="F336" t="s">
        <v>20</v>
      </c>
      <c r="G336" t="s">
        <v>27</v>
      </c>
      <c r="H336">
        <v>4</v>
      </c>
      <c r="I336">
        <v>4500</v>
      </c>
      <c r="J336" s="10">
        <v>0.15</v>
      </c>
      <c r="K336">
        <v>18000</v>
      </c>
      <c r="L336">
        <v>15300</v>
      </c>
      <c r="M336">
        <v>11700</v>
      </c>
      <c r="N336">
        <v>756</v>
      </c>
      <c r="O336">
        <v>1697</v>
      </c>
      <c r="P336">
        <f>INDEX(Raw_product_master[Standard_Cost_Per_Unit],MATCH(Cleaned_Sales_data[[#This Row],[Product]],Raw_product_master[Product],0))</f>
        <v>2925</v>
      </c>
      <c r="Q336">
        <v>1147</v>
      </c>
      <c r="R336" s="11">
        <v>7.4967320261437903E-2</v>
      </c>
      <c r="S336" s="11">
        <f>INDEX(Raw_product_master[Target_Margin], MATCH(Cleaned_Sales_data[[#This Row],[Product]],Raw_product_master[Product], 0 ))</f>
        <v>0.22</v>
      </c>
      <c r="T336" t="str">
        <f>IF(Cleaned_Sales_data[[#This Row],[Profit]]&gt;0, "Profitable", "Loss")</f>
        <v>Profitable</v>
      </c>
      <c r="U336" t="str">
        <f>_xlfn.IFS(Cleaned_Sales_data[[#This Row],[Profit]]&gt;=10000, "High", Cleaned_Sales_data[[#This Row],[Profit]]&gt;=5000, "Medium", Cleaned_Sales_data[[#This Row],[Profit]]&gt;=0, "Low", Cleaned_Sales_data[[#This Row],[Profit]] &lt;0, "Loss")</f>
        <v>Low</v>
      </c>
      <c r="V336" t="str">
        <f t="shared" si="5"/>
        <v>UnderPerforming</v>
      </c>
      <c r="W336" s="3">
        <v>45658</v>
      </c>
    </row>
    <row r="337" spans="1:23">
      <c r="A337" t="s">
        <v>69</v>
      </c>
      <c r="B337" s="3">
        <v>45787</v>
      </c>
      <c r="C337" t="s">
        <v>61</v>
      </c>
      <c r="D337" t="str">
        <f>INDEX(Raw_product_master[Category],MATCH(Cleaned_Sales_data[[#This Row],[Product]],Raw_product_master[Product],0))</f>
        <v>Accessories</v>
      </c>
      <c r="E337" t="s">
        <v>51</v>
      </c>
      <c r="F337" t="s">
        <v>20</v>
      </c>
      <c r="G337" t="s">
        <v>27</v>
      </c>
      <c r="H337">
        <v>7</v>
      </c>
      <c r="I337">
        <v>4500</v>
      </c>
      <c r="J337" s="10">
        <v>0.05</v>
      </c>
      <c r="K337">
        <v>31500</v>
      </c>
      <c r="L337">
        <v>29925</v>
      </c>
      <c r="M337">
        <v>20475</v>
      </c>
      <c r="N337">
        <v>1448</v>
      </c>
      <c r="O337">
        <v>1761</v>
      </c>
      <c r="P337">
        <f>INDEX(Raw_product_master[Standard_Cost_Per_Unit],MATCH(Cleaned_Sales_data[[#This Row],[Product]],Raw_product_master[Product],0))</f>
        <v>2925</v>
      </c>
      <c r="Q337">
        <v>6241</v>
      </c>
      <c r="R337" s="11">
        <v>0.20855472013366799</v>
      </c>
      <c r="S337" s="11">
        <f>INDEX(Raw_product_master[Target_Margin], MATCH(Cleaned_Sales_data[[#This Row],[Product]],Raw_product_master[Product], 0 ))</f>
        <v>0.22</v>
      </c>
      <c r="T337" t="str">
        <f>IF(Cleaned_Sales_data[[#This Row],[Profit]]&gt;0, "Profitable", "Loss")</f>
        <v>Profitable</v>
      </c>
      <c r="U337" t="str">
        <f>_xlfn.IFS(Cleaned_Sales_data[[#This Row],[Profit]]&gt;=10000, "High", Cleaned_Sales_data[[#This Row],[Profit]]&gt;=5000, "Medium", Cleaned_Sales_data[[#This Row],[Profit]]&gt;=0, "Low", Cleaned_Sales_data[[#This Row],[Profit]] &lt;0, "Loss")</f>
        <v>Medium</v>
      </c>
      <c r="V337" t="str">
        <f t="shared" si="5"/>
        <v>UnderPerforming</v>
      </c>
      <c r="W337" s="3">
        <v>45778</v>
      </c>
    </row>
    <row r="338" spans="1:23">
      <c r="A338" t="s">
        <v>76</v>
      </c>
      <c r="B338" s="3">
        <v>45659</v>
      </c>
      <c r="C338" t="s">
        <v>50</v>
      </c>
      <c r="D338" t="str">
        <f>INDEX(Raw_product_master[Category],MATCH(Cleaned_Sales_data[[#This Row],[Product]],Raw_product_master[Product],0))</f>
        <v>Accessories</v>
      </c>
      <c r="E338" t="s">
        <v>63</v>
      </c>
      <c r="F338" t="s">
        <v>20</v>
      </c>
      <c r="G338" t="s">
        <v>27</v>
      </c>
      <c r="H338">
        <v>7</v>
      </c>
      <c r="I338">
        <v>2500</v>
      </c>
      <c r="J338" s="10">
        <v>0.08</v>
      </c>
      <c r="K338">
        <v>17500</v>
      </c>
      <c r="L338">
        <v>16100</v>
      </c>
      <c r="M338">
        <v>10850</v>
      </c>
      <c r="N338">
        <v>545</v>
      </c>
      <c r="O338">
        <v>723</v>
      </c>
      <c r="P338">
        <f>INDEX(Raw_product_master[Standard_Cost_Per_Unit],MATCH(Cleaned_Sales_data[[#This Row],[Product]],Raw_product_master[Product],0))</f>
        <v>1550</v>
      </c>
      <c r="Q338">
        <v>3982</v>
      </c>
      <c r="R338" s="11">
        <v>0.247329192546584</v>
      </c>
      <c r="S338" s="11">
        <f>INDEX(Raw_product_master[Target_Margin], MATCH(Cleaned_Sales_data[[#This Row],[Product]],Raw_product_master[Product], 0 ))</f>
        <v>0.25</v>
      </c>
      <c r="T338" t="str">
        <f>IF(Cleaned_Sales_data[[#This Row],[Profit]]&gt;0, "Profitable", "Loss")</f>
        <v>Profitable</v>
      </c>
      <c r="U338" t="str">
        <f>_xlfn.IFS(Cleaned_Sales_data[[#This Row],[Profit]]&gt;=10000, "High", Cleaned_Sales_data[[#This Row],[Profit]]&gt;=5000, "Medium", Cleaned_Sales_data[[#This Row],[Profit]]&gt;=0, "Low", Cleaned_Sales_data[[#This Row],[Profit]] &lt;0, "Loss")</f>
        <v>Low</v>
      </c>
      <c r="V338" t="str">
        <f t="shared" si="5"/>
        <v>UnderPerforming</v>
      </c>
      <c r="W338" s="3">
        <v>45658</v>
      </c>
    </row>
    <row r="339" spans="1:23">
      <c r="A339" t="s">
        <v>82</v>
      </c>
      <c r="B339" s="3">
        <v>45695</v>
      </c>
      <c r="C339" t="s">
        <v>53</v>
      </c>
      <c r="D339" t="str">
        <f>INDEX(Raw_product_master[Category],MATCH(Cleaned_Sales_data[[#This Row],[Product]],Raw_product_master[Product],0))</f>
        <v>Accessories</v>
      </c>
      <c r="E339" t="s">
        <v>34</v>
      </c>
      <c r="F339" t="s">
        <v>20</v>
      </c>
      <c r="G339" t="s">
        <v>27</v>
      </c>
      <c r="H339">
        <v>3</v>
      </c>
      <c r="I339">
        <v>1500</v>
      </c>
      <c r="J339" s="10">
        <v>0.05</v>
      </c>
      <c r="K339">
        <v>4500</v>
      </c>
      <c r="L339">
        <v>4275</v>
      </c>
      <c r="M339">
        <v>2475</v>
      </c>
      <c r="N339">
        <v>1598</v>
      </c>
      <c r="O339">
        <v>1145</v>
      </c>
      <c r="P339">
        <f>INDEX(Raw_product_master[Standard_Cost_Per_Unit],MATCH(Cleaned_Sales_data[[#This Row],[Product]],Raw_product_master[Product],0))</f>
        <v>825</v>
      </c>
      <c r="Q339">
        <v>-943</v>
      </c>
      <c r="R339" s="11">
        <v>-0.22058479532163699</v>
      </c>
      <c r="S339" s="11">
        <f>INDEX(Raw_product_master[Target_Margin], MATCH(Cleaned_Sales_data[[#This Row],[Product]],Raw_product_master[Product], 0 ))</f>
        <v>0.3</v>
      </c>
      <c r="T339" t="str">
        <f>IF(Cleaned_Sales_data[[#This Row],[Profit]]&gt;0, "Profitable", "Loss")</f>
        <v>Loss</v>
      </c>
      <c r="U339" t="str">
        <f>_xlfn.IFS(Cleaned_Sales_data[[#This Row],[Profit]]&gt;=10000, "High", Cleaned_Sales_data[[#This Row],[Profit]]&gt;=5000, "Medium", Cleaned_Sales_data[[#This Row],[Profit]]&gt;=0, "Low", Cleaned_Sales_data[[#This Row],[Profit]] &lt;0, "Loss")</f>
        <v>Loss</v>
      </c>
      <c r="V339" t="str">
        <f t="shared" si="5"/>
        <v>UnderPerforming</v>
      </c>
      <c r="W339" s="3">
        <v>45689</v>
      </c>
    </row>
    <row r="340" spans="1:23">
      <c r="A340" t="s">
        <v>99</v>
      </c>
      <c r="B340" s="3">
        <v>45726</v>
      </c>
      <c r="C340" t="s">
        <v>53</v>
      </c>
      <c r="D340" t="str">
        <f>INDEX(Raw_product_master[Category],MATCH(Cleaned_Sales_data[[#This Row],[Product]],Raw_product_master[Product],0))</f>
        <v>Accessories</v>
      </c>
      <c r="E340" t="s">
        <v>63</v>
      </c>
      <c r="F340" t="s">
        <v>20</v>
      </c>
      <c r="G340" t="s">
        <v>27</v>
      </c>
      <c r="H340">
        <v>2</v>
      </c>
      <c r="I340">
        <v>1500</v>
      </c>
      <c r="J340" s="10">
        <v>0.05</v>
      </c>
      <c r="K340">
        <v>3000</v>
      </c>
      <c r="L340">
        <v>2850</v>
      </c>
      <c r="M340">
        <v>1650</v>
      </c>
      <c r="N340">
        <v>1196</v>
      </c>
      <c r="O340">
        <v>1343</v>
      </c>
      <c r="P340">
        <f>INDEX(Raw_product_master[Standard_Cost_Per_Unit],MATCH(Cleaned_Sales_data[[#This Row],[Product]],Raw_product_master[Product],0))</f>
        <v>825</v>
      </c>
      <c r="Q340">
        <v>-1339</v>
      </c>
      <c r="R340" s="11">
        <v>-0.46982456140350898</v>
      </c>
      <c r="S340" s="11">
        <f>INDEX(Raw_product_master[Target_Margin], MATCH(Cleaned_Sales_data[[#This Row],[Product]],Raw_product_master[Product], 0 ))</f>
        <v>0.3</v>
      </c>
      <c r="T340" t="str">
        <f>IF(Cleaned_Sales_data[[#This Row],[Profit]]&gt;0, "Profitable", "Loss")</f>
        <v>Loss</v>
      </c>
      <c r="U340" t="str">
        <f>_xlfn.IFS(Cleaned_Sales_data[[#This Row],[Profit]]&gt;=10000, "High", Cleaned_Sales_data[[#This Row],[Profit]]&gt;=5000, "Medium", Cleaned_Sales_data[[#This Row],[Profit]]&gt;=0, "Low", Cleaned_Sales_data[[#This Row],[Profit]] &lt;0, "Loss")</f>
        <v>Loss</v>
      </c>
      <c r="V340" t="str">
        <f t="shared" si="5"/>
        <v>UnderPerforming</v>
      </c>
      <c r="W340" s="3">
        <v>45717</v>
      </c>
    </row>
    <row r="341" spans="1:23">
      <c r="A341" t="s">
        <v>133</v>
      </c>
      <c r="B341" s="3">
        <v>45790</v>
      </c>
      <c r="C341" t="s">
        <v>46</v>
      </c>
      <c r="D341" t="str">
        <f>INDEX(Raw_product_master[Category],MATCH(Cleaned_Sales_data[[#This Row],[Product]],Raw_product_master[Product],0))</f>
        <v>Office Equipment</v>
      </c>
      <c r="E341" t="s">
        <v>51</v>
      </c>
      <c r="F341" t="s">
        <v>20</v>
      </c>
      <c r="G341" t="s">
        <v>27</v>
      </c>
      <c r="H341">
        <v>3</v>
      </c>
      <c r="I341">
        <v>18000</v>
      </c>
      <c r="J341" s="10">
        <v>0.05</v>
      </c>
      <c r="K341">
        <v>54000</v>
      </c>
      <c r="L341">
        <v>51300</v>
      </c>
      <c r="M341">
        <v>43200</v>
      </c>
      <c r="N341">
        <v>958</v>
      </c>
      <c r="O341">
        <v>2228</v>
      </c>
      <c r="P341">
        <f>INDEX(Raw_product_master[Standard_Cost_Per_Unit],MATCH(Cleaned_Sales_data[[#This Row],[Product]],Raw_product_master[Product],0))</f>
        <v>14400</v>
      </c>
      <c r="Q341">
        <v>4914</v>
      </c>
      <c r="R341" s="11">
        <v>9.5789473684210494E-2</v>
      </c>
      <c r="S341" s="11">
        <f>INDEX(Raw_product_master[Target_Margin], MATCH(Cleaned_Sales_data[[#This Row],[Product]],Raw_product_master[Product], 0 ))</f>
        <v>0.15</v>
      </c>
      <c r="T341" t="str">
        <f>IF(Cleaned_Sales_data[[#This Row],[Profit]]&gt;0, "Profitable", "Loss")</f>
        <v>Profitable</v>
      </c>
      <c r="U341" t="str">
        <f>_xlfn.IFS(Cleaned_Sales_data[[#This Row],[Profit]]&gt;=10000, "High", Cleaned_Sales_data[[#This Row],[Profit]]&gt;=5000, "Medium", Cleaned_Sales_data[[#This Row],[Profit]]&gt;=0, "Low", Cleaned_Sales_data[[#This Row],[Profit]] &lt;0, "Loss")</f>
        <v>Low</v>
      </c>
      <c r="V341" t="str">
        <f t="shared" si="5"/>
        <v>UnderPerforming</v>
      </c>
      <c r="W341" s="3">
        <v>45778</v>
      </c>
    </row>
    <row r="342" spans="1:23">
      <c r="A342" t="s">
        <v>153</v>
      </c>
      <c r="B342" s="3">
        <v>46076</v>
      </c>
      <c r="C342" t="s">
        <v>75</v>
      </c>
      <c r="D342" t="str">
        <f>INDEX(Raw_product_master[Category],MATCH(Cleaned_Sales_data[[#This Row],[Product]],Raw_product_master[Product],0))</f>
        <v>Computers</v>
      </c>
      <c r="E342" t="s">
        <v>34</v>
      </c>
      <c r="F342" t="s">
        <v>20</v>
      </c>
      <c r="G342" t="s">
        <v>27</v>
      </c>
      <c r="H342">
        <v>1</v>
      </c>
      <c r="I342">
        <v>65000</v>
      </c>
      <c r="J342" s="10">
        <v>0</v>
      </c>
      <c r="K342">
        <v>65000</v>
      </c>
      <c r="L342">
        <v>65000</v>
      </c>
      <c r="M342">
        <v>54600</v>
      </c>
      <c r="N342">
        <v>1110</v>
      </c>
      <c r="O342">
        <v>2043</v>
      </c>
      <c r="P342">
        <f>INDEX(Raw_product_master[Standard_Cost_Per_Unit],MATCH(Cleaned_Sales_data[[#This Row],[Product]],Raw_product_master[Product],0))</f>
        <v>54600</v>
      </c>
      <c r="Q342">
        <v>7247</v>
      </c>
      <c r="R342" s="11">
        <v>0.111492307692308</v>
      </c>
      <c r="S342" s="11">
        <f>INDEX(Raw_product_master[Target_Margin], MATCH(Cleaned_Sales_data[[#This Row],[Product]],Raw_product_master[Product], 0 ))</f>
        <v>0.12</v>
      </c>
      <c r="T342" t="str">
        <f>IF(Cleaned_Sales_data[[#This Row],[Profit]]&gt;0, "Profitable", "Loss")</f>
        <v>Profitable</v>
      </c>
      <c r="U342" t="str">
        <f>_xlfn.IFS(Cleaned_Sales_data[[#This Row],[Profit]]&gt;=10000, "High", Cleaned_Sales_data[[#This Row],[Profit]]&gt;=5000, "Medium", Cleaned_Sales_data[[#This Row],[Profit]]&gt;=0, "Low", Cleaned_Sales_data[[#This Row],[Profit]] &lt;0, "Loss")</f>
        <v>Medium</v>
      </c>
      <c r="V342" t="str">
        <f t="shared" si="5"/>
        <v>UnderPerforming</v>
      </c>
      <c r="W342" s="3">
        <v>46054</v>
      </c>
    </row>
    <row r="343" spans="1:23">
      <c r="A343" t="s">
        <v>172</v>
      </c>
      <c r="B343" s="3">
        <v>45872</v>
      </c>
      <c r="C343" t="s">
        <v>46</v>
      </c>
      <c r="D343" t="str">
        <f>INDEX(Raw_product_master[Category],MATCH(Cleaned_Sales_data[[#This Row],[Product]],Raw_product_master[Product],0))</f>
        <v>Office Equipment</v>
      </c>
      <c r="E343" t="s">
        <v>19</v>
      </c>
      <c r="F343" t="s">
        <v>20</v>
      </c>
      <c r="G343" t="s">
        <v>27</v>
      </c>
      <c r="H343">
        <v>1</v>
      </c>
      <c r="I343">
        <v>18000</v>
      </c>
      <c r="J343" s="10">
        <v>0.05</v>
      </c>
      <c r="K343">
        <v>18000</v>
      </c>
      <c r="L343">
        <v>17100</v>
      </c>
      <c r="M343">
        <v>14400</v>
      </c>
      <c r="N343">
        <v>1364</v>
      </c>
      <c r="O343">
        <v>1089</v>
      </c>
      <c r="P343">
        <f>INDEX(Raw_product_master[Standard_Cost_Per_Unit],MATCH(Cleaned_Sales_data[[#This Row],[Product]],Raw_product_master[Product],0))</f>
        <v>14400</v>
      </c>
      <c r="Q343">
        <v>247</v>
      </c>
      <c r="R343" s="11">
        <v>1.44444444444444E-2</v>
      </c>
      <c r="S343" s="11">
        <f>INDEX(Raw_product_master[Target_Margin], MATCH(Cleaned_Sales_data[[#This Row],[Product]],Raw_product_master[Product], 0 ))</f>
        <v>0.15</v>
      </c>
      <c r="T343" t="str">
        <f>IF(Cleaned_Sales_data[[#This Row],[Profit]]&gt;0, "Profitable", "Loss")</f>
        <v>Profitable</v>
      </c>
      <c r="U343" t="str">
        <f>_xlfn.IFS(Cleaned_Sales_data[[#This Row],[Profit]]&gt;=10000, "High", Cleaned_Sales_data[[#This Row],[Profit]]&gt;=5000, "Medium", Cleaned_Sales_data[[#This Row],[Profit]]&gt;=0, "Low", Cleaned_Sales_data[[#This Row],[Profit]] &lt;0, "Loss")</f>
        <v>Low</v>
      </c>
      <c r="V343" t="str">
        <f t="shared" si="5"/>
        <v>UnderPerforming</v>
      </c>
      <c r="W343" s="3">
        <v>45870</v>
      </c>
    </row>
    <row r="344" spans="1:23">
      <c r="A344" t="s">
        <v>179</v>
      </c>
      <c r="B344" s="3">
        <v>45742</v>
      </c>
      <c r="C344" t="s">
        <v>46</v>
      </c>
      <c r="D344" t="str">
        <f>INDEX(Raw_product_master[Category],MATCH(Cleaned_Sales_data[[#This Row],[Product]],Raw_product_master[Product],0))</f>
        <v>Office Equipment</v>
      </c>
      <c r="E344" t="s">
        <v>19</v>
      </c>
      <c r="F344" t="s">
        <v>20</v>
      </c>
      <c r="G344" t="s">
        <v>27</v>
      </c>
      <c r="H344">
        <v>2</v>
      </c>
      <c r="I344">
        <v>18000</v>
      </c>
      <c r="J344" s="10">
        <v>0</v>
      </c>
      <c r="K344">
        <v>36000</v>
      </c>
      <c r="L344">
        <v>36000</v>
      </c>
      <c r="M344">
        <v>28800</v>
      </c>
      <c r="N344">
        <v>974</v>
      </c>
      <c r="O344">
        <v>2298</v>
      </c>
      <c r="P344">
        <f>INDEX(Raw_product_master[Standard_Cost_Per_Unit],MATCH(Cleaned_Sales_data[[#This Row],[Product]],Raw_product_master[Product],0))</f>
        <v>14400</v>
      </c>
      <c r="Q344">
        <v>3928</v>
      </c>
      <c r="R344" s="11">
        <v>0.10911111111111101</v>
      </c>
      <c r="S344" s="11">
        <f>INDEX(Raw_product_master[Target_Margin], MATCH(Cleaned_Sales_data[[#This Row],[Product]],Raw_product_master[Product], 0 ))</f>
        <v>0.15</v>
      </c>
      <c r="T344" t="str">
        <f>IF(Cleaned_Sales_data[[#This Row],[Profit]]&gt;0, "Profitable", "Loss")</f>
        <v>Profitable</v>
      </c>
      <c r="U344" t="str">
        <f>_xlfn.IFS(Cleaned_Sales_data[[#This Row],[Profit]]&gt;=10000, "High", Cleaned_Sales_data[[#This Row],[Profit]]&gt;=5000, "Medium", Cleaned_Sales_data[[#This Row],[Profit]]&gt;=0, "Low", Cleaned_Sales_data[[#This Row],[Profit]] &lt;0, "Loss")</f>
        <v>Low</v>
      </c>
      <c r="V344" t="str">
        <f t="shared" si="5"/>
        <v>UnderPerforming</v>
      </c>
      <c r="W344" s="3">
        <v>45717</v>
      </c>
    </row>
    <row r="345" spans="1:23">
      <c r="A345" t="s">
        <v>181</v>
      </c>
      <c r="B345" s="3">
        <v>45883</v>
      </c>
      <c r="C345" t="s">
        <v>18</v>
      </c>
      <c r="D345" t="str">
        <f>INDEX(Raw_product_master[Category],MATCH(Cleaned_Sales_data[[#This Row],[Product]],Raw_product_master[Product],0))</f>
        <v>Computers</v>
      </c>
      <c r="E345" t="s">
        <v>51</v>
      </c>
      <c r="F345" t="s">
        <v>20</v>
      </c>
      <c r="G345" t="s">
        <v>27</v>
      </c>
      <c r="H345">
        <v>1</v>
      </c>
      <c r="I345">
        <v>32000</v>
      </c>
      <c r="J345" s="10">
        <v>0.05</v>
      </c>
      <c r="K345">
        <v>32000</v>
      </c>
      <c r="L345">
        <v>30400</v>
      </c>
      <c r="M345">
        <v>26240</v>
      </c>
      <c r="N345">
        <v>1479</v>
      </c>
      <c r="O345">
        <v>1857</v>
      </c>
      <c r="P345">
        <f>INDEX(Raw_product_master[Standard_Cost_Per_Unit],MATCH(Cleaned_Sales_data[[#This Row],[Product]],Raw_product_master[Product],0))</f>
        <v>26240</v>
      </c>
      <c r="Q345">
        <v>824</v>
      </c>
      <c r="R345" s="11">
        <v>2.7105263157894698E-2</v>
      </c>
      <c r="S345" s="11">
        <f>INDEX(Raw_product_master[Target_Margin], MATCH(Cleaned_Sales_data[[#This Row],[Product]],Raw_product_master[Product], 0 ))</f>
        <v>0.12</v>
      </c>
      <c r="T345" t="str">
        <f>IF(Cleaned_Sales_data[[#This Row],[Profit]]&gt;0, "Profitable", "Loss")</f>
        <v>Profitable</v>
      </c>
      <c r="U345" t="str">
        <f>_xlfn.IFS(Cleaned_Sales_data[[#This Row],[Profit]]&gt;=10000, "High", Cleaned_Sales_data[[#This Row],[Profit]]&gt;=5000, "Medium", Cleaned_Sales_data[[#This Row],[Profit]]&gt;=0, "Low", Cleaned_Sales_data[[#This Row],[Profit]] &lt;0, "Loss")</f>
        <v>Low</v>
      </c>
      <c r="V345" t="str">
        <f t="shared" si="5"/>
        <v>UnderPerforming</v>
      </c>
      <c r="W345" s="3">
        <v>45870</v>
      </c>
    </row>
    <row r="346" spans="1:23">
      <c r="A346" t="s">
        <v>203</v>
      </c>
      <c r="B346" s="3">
        <v>45950</v>
      </c>
      <c r="C346" t="s">
        <v>50</v>
      </c>
      <c r="D346" t="str">
        <f>INDEX(Raw_product_master[Category],MATCH(Cleaned_Sales_data[[#This Row],[Product]],Raw_product_master[Product],0))</f>
        <v>Accessories</v>
      </c>
      <c r="E346" t="s">
        <v>63</v>
      </c>
      <c r="F346" t="s">
        <v>20</v>
      </c>
      <c r="G346" t="s">
        <v>27</v>
      </c>
      <c r="H346">
        <v>5</v>
      </c>
      <c r="I346">
        <v>2500</v>
      </c>
      <c r="J346" s="10">
        <v>0.05</v>
      </c>
      <c r="K346">
        <v>12500</v>
      </c>
      <c r="L346">
        <v>11875</v>
      </c>
      <c r="M346">
        <v>7750</v>
      </c>
      <c r="N346">
        <v>523</v>
      </c>
      <c r="O346">
        <v>245</v>
      </c>
      <c r="P346">
        <f>INDEX(Raw_product_master[Standard_Cost_Per_Unit],MATCH(Cleaned_Sales_data[[#This Row],[Product]],Raw_product_master[Product],0))</f>
        <v>1550</v>
      </c>
      <c r="Q346">
        <v>3357</v>
      </c>
      <c r="R346" s="11">
        <v>0.282694736842105</v>
      </c>
      <c r="S346" s="11">
        <f>INDEX(Raw_product_master[Target_Margin], MATCH(Cleaned_Sales_data[[#This Row],[Product]],Raw_product_master[Product], 0 ))</f>
        <v>0.25</v>
      </c>
      <c r="T346" t="str">
        <f>IF(Cleaned_Sales_data[[#This Row],[Profit]]&gt;0, "Profitable", "Loss")</f>
        <v>Profitable</v>
      </c>
      <c r="U346" t="str">
        <f>_xlfn.IFS(Cleaned_Sales_data[[#This Row],[Profit]]&gt;=10000, "High", Cleaned_Sales_data[[#This Row],[Profit]]&gt;=5000, "Medium", Cleaned_Sales_data[[#This Row],[Profit]]&gt;=0, "Low", Cleaned_Sales_data[[#This Row],[Profit]] &lt;0, "Loss")</f>
        <v>Low</v>
      </c>
      <c r="V346" t="str">
        <f t="shared" si="5"/>
        <v>On Target</v>
      </c>
      <c r="W346" s="3">
        <v>45931</v>
      </c>
    </row>
    <row r="347" spans="1:23">
      <c r="A347" t="s">
        <v>210</v>
      </c>
      <c r="B347" s="3">
        <v>46198</v>
      </c>
      <c r="C347" t="s">
        <v>50</v>
      </c>
      <c r="D347" t="str">
        <f>INDEX(Raw_product_master[Category],MATCH(Cleaned_Sales_data[[#This Row],[Product]],Raw_product_master[Product],0))</f>
        <v>Accessories</v>
      </c>
      <c r="E347" t="s">
        <v>63</v>
      </c>
      <c r="F347" t="s">
        <v>20</v>
      </c>
      <c r="G347" t="s">
        <v>27</v>
      </c>
      <c r="H347">
        <v>1</v>
      </c>
      <c r="I347">
        <v>2500</v>
      </c>
      <c r="J347" s="10">
        <v>0.05</v>
      </c>
      <c r="K347">
        <v>2500</v>
      </c>
      <c r="L347">
        <v>2375</v>
      </c>
      <c r="M347">
        <v>1550</v>
      </c>
      <c r="N347">
        <v>834</v>
      </c>
      <c r="O347">
        <v>1087</v>
      </c>
      <c r="P347">
        <f>INDEX(Raw_product_master[Standard_Cost_Per_Unit],MATCH(Cleaned_Sales_data[[#This Row],[Product]],Raw_product_master[Product],0))</f>
        <v>1550</v>
      </c>
      <c r="Q347">
        <v>-1096</v>
      </c>
      <c r="R347" s="11">
        <v>-0.46147368421052598</v>
      </c>
      <c r="S347" s="11">
        <f>INDEX(Raw_product_master[Target_Margin], MATCH(Cleaned_Sales_data[[#This Row],[Product]],Raw_product_master[Product], 0 ))</f>
        <v>0.25</v>
      </c>
      <c r="T347" t="str">
        <f>IF(Cleaned_Sales_data[[#This Row],[Profit]]&gt;0, "Profitable", "Loss")</f>
        <v>Loss</v>
      </c>
      <c r="U347" t="str">
        <f>_xlfn.IFS(Cleaned_Sales_data[[#This Row],[Profit]]&gt;=10000, "High", Cleaned_Sales_data[[#This Row],[Profit]]&gt;=5000, "Medium", Cleaned_Sales_data[[#This Row],[Profit]]&gt;=0, "Low", Cleaned_Sales_data[[#This Row],[Profit]] &lt;0, "Loss")</f>
        <v>Loss</v>
      </c>
      <c r="V347" t="str">
        <f t="shared" si="5"/>
        <v>UnderPerforming</v>
      </c>
      <c r="W347" s="3">
        <v>46174</v>
      </c>
    </row>
    <row r="348" spans="1:23">
      <c r="A348" t="s">
        <v>222</v>
      </c>
      <c r="B348" s="3">
        <v>46195</v>
      </c>
      <c r="C348" t="s">
        <v>61</v>
      </c>
      <c r="D348" t="str">
        <f>INDEX(Raw_product_master[Category],MATCH(Cleaned_Sales_data[[#This Row],[Product]],Raw_product_master[Product],0))</f>
        <v>Accessories</v>
      </c>
      <c r="E348" t="s">
        <v>25</v>
      </c>
      <c r="F348" t="s">
        <v>20</v>
      </c>
      <c r="G348" t="s">
        <v>27</v>
      </c>
      <c r="H348">
        <v>7</v>
      </c>
      <c r="I348">
        <v>4500</v>
      </c>
      <c r="J348" s="10">
        <v>0.05</v>
      </c>
      <c r="K348">
        <v>31500</v>
      </c>
      <c r="L348">
        <v>29925</v>
      </c>
      <c r="M348">
        <v>20475</v>
      </c>
      <c r="N348">
        <v>1146</v>
      </c>
      <c r="O348">
        <v>669</v>
      </c>
      <c r="P348">
        <f>INDEX(Raw_product_master[Standard_Cost_Per_Unit],MATCH(Cleaned_Sales_data[[#This Row],[Product]],Raw_product_master[Product],0))</f>
        <v>2925</v>
      </c>
      <c r="Q348">
        <v>7635</v>
      </c>
      <c r="R348" s="11">
        <v>0.255137844611529</v>
      </c>
      <c r="S348" s="11">
        <f>INDEX(Raw_product_master[Target_Margin], MATCH(Cleaned_Sales_data[[#This Row],[Product]],Raw_product_master[Product], 0 ))</f>
        <v>0.22</v>
      </c>
      <c r="T348" t="str">
        <f>IF(Cleaned_Sales_data[[#This Row],[Profit]]&gt;0, "Profitable", "Loss")</f>
        <v>Profitable</v>
      </c>
      <c r="U348" t="str">
        <f>_xlfn.IFS(Cleaned_Sales_data[[#This Row],[Profit]]&gt;=10000, "High", Cleaned_Sales_data[[#This Row],[Profit]]&gt;=5000, "Medium", Cleaned_Sales_data[[#This Row],[Profit]]&gt;=0, "Low", Cleaned_Sales_data[[#This Row],[Profit]] &lt;0, "Loss")</f>
        <v>Medium</v>
      </c>
      <c r="V348" t="str">
        <f t="shared" si="5"/>
        <v>On Target</v>
      </c>
      <c r="W348" s="3">
        <v>46174</v>
      </c>
    </row>
    <row r="349" spans="1:23">
      <c r="A349" t="s">
        <v>251</v>
      </c>
      <c r="B349" s="3">
        <v>45863</v>
      </c>
      <c r="C349" t="s">
        <v>61</v>
      </c>
      <c r="D349" t="str">
        <f>INDEX(Raw_product_master[Category],MATCH(Cleaned_Sales_data[[#This Row],[Product]],Raw_product_master[Product],0))</f>
        <v>Accessories</v>
      </c>
      <c r="E349" t="s">
        <v>31</v>
      </c>
      <c r="F349" t="s">
        <v>20</v>
      </c>
      <c r="G349" t="s">
        <v>27</v>
      </c>
      <c r="H349">
        <v>5</v>
      </c>
      <c r="I349">
        <v>4500</v>
      </c>
      <c r="J349" s="10">
        <v>0.15</v>
      </c>
      <c r="K349">
        <v>22500</v>
      </c>
      <c r="L349">
        <v>19125</v>
      </c>
      <c r="M349">
        <v>14625</v>
      </c>
      <c r="N349">
        <v>1036</v>
      </c>
      <c r="O349">
        <v>1284</v>
      </c>
      <c r="P349">
        <f>INDEX(Raw_product_master[Standard_Cost_Per_Unit],MATCH(Cleaned_Sales_data[[#This Row],[Product]],Raw_product_master[Product],0))</f>
        <v>2925</v>
      </c>
      <c r="Q349">
        <v>2180</v>
      </c>
      <c r="R349" s="11">
        <v>0.113986928104575</v>
      </c>
      <c r="S349" s="11">
        <f>INDEX(Raw_product_master[Target_Margin], MATCH(Cleaned_Sales_data[[#This Row],[Product]],Raw_product_master[Product], 0 ))</f>
        <v>0.22</v>
      </c>
      <c r="T349" t="str">
        <f>IF(Cleaned_Sales_data[[#This Row],[Profit]]&gt;0, "Profitable", "Loss")</f>
        <v>Profitable</v>
      </c>
      <c r="U349" t="str">
        <f>_xlfn.IFS(Cleaned_Sales_data[[#This Row],[Profit]]&gt;=10000, "High", Cleaned_Sales_data[[#This Row],[Profit]]&gt;=5000, "Medium", Cleaned_Sales_data[[#This Row],[Profit]]&gt;=0, "Low", Cleaned_Sales_data[[#This Row],[Profit]] &lt;0, "Loss")</f>
        <v>Low</v>
      </c>
      <c r="V349" t="str">
        <f t="shared" si="5"/>
        <v>UnderPerforming</v>
      </c>
      <c r="W349" s="3">
        <v>45839</v>
      </c>
    </row>
    <row r="350" spans="1:23">
      <c r="A350" t="s">
        <v>267</v>
      </c>
      <c r="B350" s="3">
        <v>45898</v>
      </c>
      <c r="C350" t="s">
        <v>30</v>
      </c>
      <c r="D350" t="str">
        <f>INDEX(Raw_product_master[Category],MATCH(Cleaned_Sales_data[[#This Row],[Product]],Raw_product_master[Product],0))</f>
        <v>Displays</v>
      </c>
      <c r="E350" t="s">
        <v>25</v>
      </c>
      <c r="F350" t="s">
        <v>20</v>
      </c>
      <c r="G350" t="s">
        <v>27</v>
      </c>
      <c r="H350">
        <v>3</v>
      </c>
      <c r="I350">
        <v>28000</v>
      </c>
      <c r="J350" s="10">
        <v>0.08</v>
      </c>
      <c r="K350">
        <v>84000</v>
      </c>
      <c r="L350">
        <v>77280</v>
      </c>
      <c r="M350">
        <v>65520</v>
      </c>
      <c r="N350">
        <v>1158</v>
      </c>
      <c r="O350">
        <v>2459</v>
      </c>
      <c r="P350">
        <f>INDEX(Raw_product_master[Standard_Cost_Per_Unit],MATCH(Cleaned_Sales_data[[#This Row],[Product]],Raw_product_master[Product],0))</f>
        <v>21840</v>
      </c>
      <c r="Q350">
        <v>8143</v>
      </c>
      <c r="R350" s="11">
        <v>0.105370082815735</v>
      </c>
      <c r="S350" s="11">
        <f>INDEX(Raw_product_master[Target_Margin], MATCH(Cleaned_Sales_data[[#This Row],[Product]],Raw_product_master[Product], 0 ))</f>
        <v>0.18</v>
      </c>
      <c r="T350" t="str">
        <f>IF(Cleaned_Sales_data[[#This Row],[Profit]]&gt;0, "Profitable", "Loss")</f>
        <v>Profitable</v>
      </c>
      <c r="U350" t="str">
        <f>_xlfn.IFS(Cleaned_Sales_data[[#This Row],[Profit]]&gt;=10000, "High", Cleaned_Sales_data[[#This Row],[Profit]]&gt;=5000, "Medium", Cleaned_Sales_data[[#This Row],[Profit]]&gt;=0, "Low", Cleaned_Sales_data[[#This Row],[Profit]] &lt;0, "Loss")</f>
        <v>Medium</v>
      </c>
      <c r="V350" t="str">
        <f t="shared" si="5"/>
        <v>UnderPerforming</v>
      </c>
      <c r="W350" s="3">
        <v>45870</v>
      </c>
    </row>
    <row r="351" spans="1:23">
      <c r="A351" t="s">
        <v>273</v>
      </c>
      <c r="B351" s="3">
        <v>46166</v>
      </c>
      <c r="C351" t="s">
        <v>46</v>
      </c>
      <c r="D351" t="str">
        <f>INDEX(Raw_product_master[Category],MATCH(Cleaned_Sales_data[[#This Row],[Product]],Raw_product_master[Product],0))</f>
        <v>Office Equipment</v>
      </c>
      <c r="E351" t="s">
        <v>63</v>
      </c>
      <c r="F351" t="s">
        <v>20</v>
      </c>
      <c r="G351" t="s">
        <v>27</v>
      </c>
      <c r="H351">
        <v>3</v>
      </c>
      <c r="I351">
        <v>18000</v>
      </c>
      <c r="J351" s="10">
        <v>0.03</v>
      </c>
      <c r="K351">
        <v>54000</v>
      </c>
      <c r="L351">
        <v>52380</v>
      </c>
      <c r="M351">
        <v>43200</v>
      </c>
      <c r="N351">
        <v>789</v>
      </c>
      <c r="O351">
        <v>1200</v>
      </c>
      <c r="P351">
        <f>INDEX(Raw_product_master[Standard_Cost_Per_Unit],MATCH(Cleaned_Sales_data[[#This Row],[Product]],Raw_product_master[Product],0))</f>
        <v>14400</v>
      </c>
      <c r="Q351">
        <v>7191</v>
      </c>
      <c r="R351" s="11">
        <v>0.13728522336769799</v>
      </c>
      <c r="S351" s="11">
        <f>INDEX(Raw_product_master[Target_Margin], MATCH(Cleaned_Sales_data[[#This Row],[Product]],Raw_product_master[Product], 0 ))</f>
        <v>0.15</v>
      </c>
      <c r="T351" t="str">
        <f>IF(Cleaned_Sales_data[[#This Row],[Profit]]&gt;0, "Profitable", "Loss")</f>
        <v>Profitable</v>
      </c>
      <c r="U351" t="str">
        <f>_xlfn.IFS(Cleaned_Sales_data[[#This Row],[Profit]]&gt;=10000, "High", Cleaned_Sales_data[[#This Row],[Profit]]&gt;=5000, "Medium", Cleaned_Sales_data[[#This Row],[Profit]]&gt;=0, "Low", Cleaned_Sales_data[[#This Row],[Profit]] &lt;0, "Loss")</f>
        <v>Medium</v>
      </c>
      <c r="V351" t="str">
        <f t="shared" si="5"/>
        <v>UnderPerforming</v>
      </c>
      <c r="W351" s="3">
        <v>46143</v>
      </c>
    </row>
    <row r="352" spans="1:23">
      <c r="A352" t="s">
        <v>280</v>
      </c>
      <c r="B352" s="3">
        <v>46199</v>
      </c>
      <c r="C352" t="s">
        <v>46</v>
      </c>
      <c r="D352" t="str">
        <f>INDEX(Raw_product_master[Category],MATCH(Cleaned_Sales_data[[#This Row],[Product]],Raw_product_master[Product],0))</f>
        <v>Office Equipment</v>
      </c>
      <c r="E352" t="s">
        <v>51</v>
      </c>
      <c r="F352" t="s">
        <v>20</v>
      </c>
      <c r="G352" t="s">
        <v>27</v>
      </c>
      <c r="H352">
        <v>1</v>
      </c>
      <c r="I352">
        <v>18000</v>
      </c>
      <c r="J352" s="10">
        <v>0.05</v>
      </c>
      <c r="K352">
        <v>18000</v>
      </c>
      <c r="L352">
        <v>17100</v>
      </c>
      <c r="M352">
        <v>14400</v>
      </c>
      <c r="N352">
        <v>1179</v>
      </c>
      <c r="O352">
        <v>1779</v>
      </c>
      <c r="P352">
        <f>INDEX(Raw_product_master[Standard_Cost_Per_Unit],MATCH(Cleaned_Sales_data[[#This Row],[Product]],Raw_product_master[Product],0))</f>
        <v>14400</v>
      </c>
      <c r="Q352">
        <v>-258</v>
      </c>
      <c r="R352" s="11">
        <v>-1.50877192982456E-2</v>
      </c>
      <c r="S352" s="11">
        <f>INDEX(Raw_product_master[Target_Margin], MATCH(Cleaned_Sales_data[[#This Row],[Product]],Raw_product_master[Product], 0 ))</f>
        <v>0.15</v>
      </c>
      <c r="T352" t="str">
        <f>IF(Cleaned_Sales_data[[#This Row],[Profit]]&gt;0, "Profitable", "Loss")</f>
        <v>Loss</v>
      </c>
      <c r="U352" t="str">
        <f>_xlfn.IFS(Cleaned_Sales_data[[#This Row],[Profit]]&gt;=10000, "High", Cleaned_Sales_data[[#This Row],[Profit]]&gt;=5000, "Medium", Cleaned_Sales_data[[#This Row],[Profit]]&gt;=0, "Low", Cleaned_Sales_data[[#This Row],[Profit]] &lt;0, "Loss")</f>
        <v>Loss</v>
      </c>
      <c r="V352" t="str">
        <f t="shared" si="5"/>
        <v>UnderPerforming</v>
      </c>
      <c r="W352" s="3">
        <v>46174</v>
      </c>
    </row>
    <row r="353" spans="1:23">
      <c r="A353" t="s">
        <v>288</v>
      </c>
      <c r="B353" s="3">
        <v>45821</v>
      </c>
      <c r="C353" t="s">
        <v>75</v>
      </c>
      <c r="D353" t="str">
        <f>INDEX(Raw_product_master[Category],MATCH(Cleaned_Sales_data[[#This Row],[Product]],Raw_product_master[Product],0))</f>
        <v>Computers</v>
      </c>
      <c r="E353" t="s">
        <v>34</v>
      </c>
      <c r="F353" t="s">
        <v>20</v>
      </c>
      <c r="G353" t="s">
        <v>27</v>
      </c>
      <c r="H353">
        <v>2</v>
      </c>
      <c r="I353">
        <v>65000</v>
      </c>
      <c r="J353" s="10">
        <v>0</v>
      </c>
      <c r="K353">
        <v>130000</v>
      </c>
      <c r="L353">
        <v>130000</v>
      </c>
      <c r="M353">
        <v>109200</v>
      </c>
      <c r="N353">
        <v>1021</v>
      </c>
      <c r="O353">
        <v>1412</v>
      </c>
      <c r="P353">
        <f>INDEX(Raw_product_master[Standard_Cost_Per_Unit],MATCH(Cleaned_Sales_data[[#This Row],[Product]],Raw_product_master[Product],0))</f>
        <v>54600</v>
      </c>
      <c r="Q353">
        <v>18367</v>
      </c>
      <c r="R353" s="11">
        <v>0.14128461538461501</v>
      </c>
      <c r="S353" s="11">
        <f>INDEX(Raw_product_master[Target_Margin], MATCH(Cleaned_Sales_data[[#This Row],[Product]],Raw_product_master[Product], 0 ))</f>
        <v>0.12</v>
      </c>
      <c r="T353" t="str">
        <f>IF(Cleaned_Sales_data[[#This Row],[Profit]]&gt;0, "Profitable", "Loss")</f>
        <v>Profitable</v>
      </c>
      <c r="U353" t="str">
        <f>_xlfn.IFS(Cleaned_Sales_data[[#This Row],[Profit]]&gt;=10000, "High", Cleaned_Sales_data[[#This Row],[Profit]]&gt;=5000, "Medium", Cleaned_Sales_data[[#This Row],[Profit]]&gt;=0, "Low", Cleaned_Sales_data[[#This Row],[Profit]] &lt;0, "Loss")</f>
        <v>High</v>
      </c>
      <c r="V353" t="str">
        <f t="shared" si="5"/>
        <v>On Target</v>
      </c>
      <c r="W353" s="3">
        <v>45809</v>
      </c>
    </row>
    <row r="354" spans="1:23">
      <c r="A354" t="s">
        <v>303</v>
      </c>
      <c r="B354" s="3">
        <v>45830</v>
      </c>
      <c r="C354" t="s">
        <v>61</v>
      </c>
      <c r="D354" t="str">
        <f>INDEX(Raw_product_master[Category],MATCH(Cleaned_Sales_data[[#This Row],[Product]],Raw_product_master[Product],0))</f>
        <v>Accessories</v>
      </c>
      <c r="E354" t="s">
        <v>19</v>
      </c>
      <c r="F354" t="s">
        <v>20</v>
      </c>
      <c r="G354" t="s">
        <v>27</v>
      </c>
      <c r="H354">
        <v>1</v>
      </c>
      <c r="I354">
        <v>4500</v>
      </c>
      <c r="J354" s="10">
        <v>0.08</v>
      </c>
      <c r="K354">
        <v>4500</v>
      </c>
      <c r="L354">
        <v>4140</v>
      </c>
      <c r="M354">
        <v>2925</v>
      </c>
      <c r="N354">
        <v>1155</v>
      </c>
      <c r="O354">
        <v>955</v>
      </c>
      <c r="P354">
        <f>INDEX(Raw_product_master[Standard_Cost_Per_Unit],MATCH(Cleaned_Sales_data[[#This Row],[Product]],Raw_product_master[Product],0))</f>
        <v>2925</v>
      </c>
      <c r="Q354">
        <v>-895</v>
      </c>
      <c r="R354" s="11">
        <v>-0.21618357487922699</v>
      </c>
      <c r="S354" s="11">
        <f>INDEX(Raw_product_master[Target_Margin], MATCH(Cleaned_Sales_data[[#This Row],[Product]],Raw_product_master[Product], 0 ))</f>
        <v>0.22</v>
      </c>
      <c r="T354" t="str">
        <f>IF(Cleaned_Sales_data[[#This Row],[Profit]]&gt;0, "Profitable", "Loss")</f>
        <v>Loss</v>
      </c>
      <c r="U354" t="str">
        <f>_xlfn.IFS(Cleaned_Sales_data[[#This Row],[Profit]]&gt;=10000, "High", Cleaned_Sales_data[[#This Row],[Profit]]&gt;=5000, "Medium", Cleaned_Sales_data[[#This Row],[Profit]]&gt;=0, "Low", Cleaned_Sales_data[[#This Row],[Profit]] &lt;0, "Loss")</f>
        <v>Loss</v>
      </c>
      <c r="V354" t="str">
        <f t="shared" si="5"/>
        <v>UnderPerforming</v>
      </c>
      <c r="W354" s="3">
        <v>45809</v>
      </c>
    </row>
    <row r="355" spans="1:23">
      <c r="A355" t="s">
        <v>329</v>
      </c>
      <c r="B355" s="3">
        <v>46083</v>
      </c>
      <c r="C355" t="s">
        <v>24</v>
      </c>
      <c r="D355" t="str">
        <f>INDEX(Raw_product_master[Category],MATCH(Cleaned_Sales_data[[#This Row],[Product]],Raw_product_master[Product],0))</f>
        <v>Accessories</v>
      </c>
      <c r="E355" t="s">
        <v>19</v>
      </c>
      <c r="F355" t="s">
        <v>20</v>
      </c>
      <c r="G355" t="s">
        <v>27</v>
      </c>
      <c r="H355">
        <v>3</v>
      </c>
      <c r="I355">
        <v>3500</v>
      </c>
      <c r="J355" s="10">
        <v>0</v>
      </c>
      <c r="K355">
        <v>10500</v>
      </c>
      <c r="L355">
        <v>10500</v>
      </c>
      <c r="M355">
        <v>7140</v>
      </c>
      <c r="N355">
        <v>453</v>
      </c>
      <c r="O355">
        <v>2128</v>
      </c>
      <c r="P355">
        <f>INDEX(Raw_product_master[Standard_Cost_Per_Unit],MATCH(Cleaned_Sales_data[[#This Row],[Product]],Raw_product_master[Product],0))</f>
        <v>2380</v>
      </c>
      <c r="Q355">
        <v>779</v>
      </c>
      <c r="R355" s="11">
        <v>7.4190476190476098E-2</v>
      </c>
      <c r="S355" s="11">
        <f>INDEX(Raw_product_master[Target_Margin], MATCH(Cleaned_Sales_data[[#This Row],[Product]],Raw_product_master[Product], 0 ))</f>
        <v>0.2</v>
      </c>
      <c r="T355" t="str">
        <f>IF(Cleaned_Sales_data[[#This Row],[Profit]]&gt;0, "Profitable", "Loss")</f>
        <v>Profitable</v>
      </c>
      <c r="U355" t="str">
        <f>_xlfn.IFS(Cleaned_Sales_data[[#This Row],[Profit]]&gt;=10000, "High", Cleaned_Sales_data[[#This Row],[Profit]]&gt;=5000, "Medium", Cleaned_Sales_data[[#This Row],[Profit]]&gt;=0, "Low", Cleaned_Sales_data[[#This Row],[Profit]] &lt;0, "Loss")</f>
        <v>Low</v>
      </c>
      <c r="V355" t="str">
        <f t="shared" si="5"/>
        <v>UnderPerforming</v>
      </c>
      <c r="W355" s="3">
        <v>46082</v>
      </c>
    </row>
    <row r="356" spans="1:23">
      <c r="A356" t="s">
        <v>351</v>
      </c>
      <c r="B356" s="3">
        <v>46133</v>
      </c>
      <c r="C356" t="s">
        <v>30</v>
      </c>
      <c r="D356" t="str">
        <f>INDEX(Raw_product_master[Category],MATCH(Cleaned_Sales_data[[#This Row],[Product]],Raw_product_master[Product],0))</f>
        <v>Displays</v>
      </c>
      <c r="E356" t="s">
        <v>51</v>
      </c>
      <c r="F356" t="s">
        <v>20</v>
      </c>
      <c r="G356" t="s">
        <v>27</v>
      </c>
      <c r="H356">
        <v>2</v>
      </c>
      <c r="I356">
        <v>28000</v>
      </c>
      <c r="J356" s="10">
        <v>0</v>
      </c>
      <c r="K356">
        <v>56000</v>
      </c>
      <c r="L356">
        <v>56000</v>
      </c>
      <c r="M356">
        <v>43680</v>
      </c>
      <c r="N356">
        <v>844</v>
      </c>
      <c r="O356">
        <v>326</v>
      </c>
      <c r="P356">
        <f>INDEX(Raw_product_master[Standard_Cost_Per_Unit],MATCH(Cleaned_Sales_data[[#This Row],[Product]],Raw_product_master[Product],0))</f>
        <v>21840</v>
      </c>
      <c r="Q356">
        <v>11150</v>
      </c>
      <c r="R356" s="11">
        <v>0.19910714285714301</v>
      </c>
      <c r="S356" s="11">
        <f>INDEX(Raw_product_master[Target_Margin], MATCH(Cleaned_Sales_data[[#This Row],[Product]],Raw_product_master[Product], 0 ))</f>
        <v>0.18</v>
      </c>
      <c r="T356" t="str">
        <f>IF(Cleaned_Sales_data[[#This Row],[Profit]]&gt;0, "Profitable", "Loss")</f>
        <v>Profitable</v>
      </c>
      <c r="U356" t="str">
        <f>_xlfn.IFS(Cleaned_Sales_data[[#This Row],[Profit]]&gt;=10000, "High", Cleaned_Sales_data[[#This Row],[Profit]]&gt;=5000, "Medium", Cleaned_Sales_data[[#This Row],[Profit]]&gt;=0, "Low", Cleaned_Sales_data[[#This Row],[Profit]] &lt;0, "Loss")</f>
        <v>High</v>
      </c>
      <c r="V356" t="str">
        <f t="shared" si="5"/>
        <v>On Target</v>
      </c>
      <c r="W356" s="3">
        <v>46113</v>
      </c>
    </row>
    <row r="357" spans="1:23">
      <c r="A357" t="s">
        <v>359</v>
      </c>
      <c r="B357" s="3">
        <v>46158</v>
      </c>
      <c r="C357" t="s">
        <v>50</v>
      </c>
      <c r="D357" t="str">
        <f>INDEX(Raw_product_master[Category],MATCH(Cleaned_Sales_data[[#This Row],[Product]],Raw_product_master[Product],0))</f>
        <v>Accessories</v>
      </c>
      <c r="E357" t="s">
        <v>34</v>
      </c>
      <c r="F357" t="s">
        <v>20</v>
      </c>
      <c r="G357" t="s">
        <v>27</v>
      </c>
      <c r="H357">
        <v>7</v>
      </c>
      <c r="I357">
        <v>2500</v>
      </c>
      <c r="J357" s="10">
        <v>0.03</v>
      </c>
      <c r="K357">
        <v>17500</v>
      </c>
      <c r="L357">
        <v>16975</v>
      </c>
      <c r="M357">
        <v>10850</v>
      </c>
      <c r="N357">
        <v>1577</v>
      </c>
      <c r="O357">
        <v>241</v>
      </c>
      <c r="P357">
        <f>INDEX(Raw_product_master[Standard_Cost_Per_Unit],MATCH(Cleaned_Sales_data[[#This Row],[Product]],Raw_product_master[Product],0))</f>
        <v>1550</v>
      </c>
      <c r="Q357">
        <v>4307</v>
      </c>
      <c r="R357" s="11">
        <v>0.25372606774668599</v>
      </c>
      <c r="S357" s="11">
        <f>INDEX(Raw_product_master[Target_Margin], MATCH(Cleaned_Sales_data[[#This Row],[Product]],Raw_product_master[Product], 0 ))</f>
        <v>0.25</v>
      </c>
      <c r="T357" t="str">
        <f>IF(Cleaned_Sales_data[[#This Row],[Profit]]&gt;0, "Profitable", "Loss")</f>
        <v>Profitable</v>
      </c>
      <c r="U357" t="str">
        <f>_xlfn.IFS(Cleaned_Sales_data[[#This Row],[Profit]]&gt;=10000, "High", Cleaned_Sales_data[[#This Row],[Profit]]&gt;=5000, "Medium", Cleaned_Sales_data[[#This Row],[Profit]]&gt;=0, "Low", Cleaned_Sales_data[[#This Row],[Profit]] &lt;0, "Loss")</f>
        <v>Low</v>
      </c>
      <c r="V357" t="str">
        <f t="shared" si="5"/>
        <v>On Target</v>
      </c>
      <c r="W357" s="3">
        <v>46143</v>
      </c>
    </row>
    <row r="358" spans="1:23">
      <c r="A358" t="s">
        <v>364</v>
      </c>
      <c r="B358" s="3">
        <v>45698</v>
      </c>
      <c r="C358" t="s">
        <v>50</v>
      </c>
      <c r="D358" t="str">
        <f>INDEX(Raw_product_master[Category],MATCH(Cleaned_Sales_data[[#This Row],[Product]],Raw_product_master[Product],0))</f>
        <v>Accessories</v>
      </c>
      <c r="E358" t="s">
        <v>31</v>
      </c>
      <c r="F358" t="s">
        <v>20</v>
      </c>
      <c r="G358" t="s">
        <v>27</v>
      </c>
      <c r="H358">
        <v>5</v>
      </c>
      <c r="I358">
        <v>2500</v>
      </c>
      <c r="J358" s="10">
        <v>0.05</v>
      </c>
      <c r="K358">
        <v>12500</v>
      </c>
      <c r="L358">
        <v>11875</v>
      </c>
      <c r="M358">
        <v>7750</v>
      </c>
      <c r="N358">
        <v>533</v>
      </c>
      <c r="O358">
        <v>2369</v>
      </c>
      <c r="P358">
        <f>INDEX(Raw_product_master[Standard_Cost_Per_Unit],MATCH(Cleaned_Sales_data[[#This Row],[Product]],Raw_product_master[Product],0))</f>
        <v>1550</v>
      </c>
      <c r="Q358">
        <v>1223</v>
      </c>
      <c r="R358" s="11">
        <v>0.10298947368421001</v>
      </c>
      <c r="S358" s="11">
        <f>INDEX(Raw_product_master[Target_Margin], MATCH(Cleaned_Sales_data[[#This Row],[Product]],Raw_product_master[Product], 0 ))</f>
        <v>0.25</v>
      </c>
      <c r="T358" t="str">
        <f>IF(Cleaned_Sales_data[[#This Row],[Profit]]&gt;0, "Profitable", "Loss")</f>
        <v>Profitable</v>
      </c>
      <c r="U358" t="str">
        <f>_xlfn.IFS(Cleaned_Sales_data[[#This Row],[Profit]]&gt;=10000, "High", Cleaned_Sales_data[[#This Row],[Profit]]&gt;=5000, "Medium", Cleaned_Sales_data[[#This Row],[Profit]]&gt;=0, "Low", Cleaned_Sales_data[[#This Row],[Profit]] &lt;0, "Loss")</f>
        <v>Low</v>
      </c>
      <c r="V358" t="str">
        <f t="shared" si="5"/>
        <v>UnderPerforming</v>
      </c>
      <c r="W358" s="3">
        <v>45689</v>
      </c>
    </row>
    <row r="359" spans="1:23">
      <c r="A359" t="s">
        <v>382</v>
      </c>
      <c r="B359" s="3">
        <v>45741</v>
      </c>
      <c r="C359" t="s">
        <v>30</v>
      </c>
      <c r="D359" t="str">
        <f>INDEX(Raw_product_master[Category],MATCH(Cleaned_Sales_data[[#This Row],[Product]],Raw_product_master[Product],0))</f>
        <v>Displays</v>
      </c>
      <c r="E359" t="s">
        <v>34</v>
      </c>
      <c r="F359" t="s">
        <v>20</v>
      </c>
      <c r="G359" t="s">
        <v>27</v>
      </c>
      <c r="H359">
        <v>3</v>
      </c>
      <c r="I359">
        <v>28000</v>
      </c>
      <c r="J359" s="10">
        <v>0.15</v>
      </c>
      <c r="K359">
        <v>84000</v>
      </c>
      <c r="L359">
        <v>71400</v>
      </c>
      <c r="M359">
        <v>65520</v>
      </c>
      <c r="N359">
        <v>1600</v>
      </c>
      <c r="O359">
        <v>1663</v>
      </c>
      <c r="P359">
        <f>INDEX(Raw_product_master[Standard_Cost_Per_Unit],MATCH(Cleaned_Sales_data[[#This Row],[Product]],Raw_product_master[Product],0))</f>
        <v>21840</v>
      </c>
      <c r="Q359">
        <v>2617</v>
      </c>
      <c r="R359" s="11">
        <v>3.6652661064425801E-2</v>
      </c>
      <c r="S359" s="11">
        <f>INDEX(Raw_product_master[Target_Margin], MATCH(Cleaned_Sales_data[[#This Row],[Product]],Raw_product_master[Product], 0 ))</f>
        <v>0.18</v>
      </c>
      <c r="T359" t="str">
        <f>IF(Cleaned_Sales_data[[#This Row],[Profit]]&gt;0, "Profitable", "Loss")</f>
        <v>Profitable</v>
      </c>
      <c r="U359" t="str">
        <f>_xlfn.IFS(Cleaned_Sales_data[[#This Row],[Profit]]&gt;=10000, "High", Cleaned_Sales_data[[#This Row],[Profit]]&gt;=5000, "Medium", Cleaned_Sales_data[[#This Row],[Profit]]&gt;=0, "Low", Cleaned_Sales_data[[#This Row],[Profit]] &lt;0, "Loss")</f>
        <v>Low</v>
      </c>
      <c r="V359" t="str">
        <f t="shared" si="5"/>
        <v>UnderPerforming</v>
      </c>
      <c r="W359" s="3">
        <v>45717</v>
      </c>
    </row>
    <row r="360" spans="1:23">
      <c r="A360" t="s">
        <v>390</v>
      </c>
      <c r="B360" s="3">
        <v>45688</v>
      </c>
      <c r="C360" t="s">
        <v>46</v>
      </c>
      <c r="D360" t="str">
        <f>INDEX(Raw_product_master[Category],MATCH(Cleaned_Sales_data[[#This Row],[Product]],Raw_product_master[Product],0))</f>
        <v>Office Equipment</v>
      </c>
      <c r="E360" t="s">
        <v>31</v>
      </c>
      <c r="F360" t="s">
        <v>20</v>
      </c>
      <c r="G360" t="s">
        <v>27</v>
      </c>
      <c r="H360">
        <v>2</v>
      </c>
      <c r="I360">
        <v>18000</v>
      </c>
      <c r="J360" s="10">
        <v>0.1</v>
      </c>
      <c r="K360">
        <v>36000</v>
      </c>
      <c r="L360">
        <v>32400</v>
      </c>
      <c r="M360">
        <v>28800</v>
      </c>
      <c r="N360">
        <v>1663</v>
      </c>
      <c r="O360">
        <v>932</v>
      </c>
      <c r="P360">
        <f>INDEX(Raw_product_master[Standard_Cost_Per_Unit],MATCH(Cleaned_Sales_data[[#This Row],[Product]],Raw_product_master[Product],0))</f>
        <v>14400</v>
      </c>
      <c r="Q360">
        <v>1005</v>
      </c>
      <c r="R360" s="11">
        <v>3.1018518518518501E-2</v>
      </c>
      <c r="S360" s="11">
        <f>INDEX(Raw_product_master[Target_Margin], MATCH(Cleaned_Sales_data[[#This Row],[Product]],Raw_product_master[Product], 0 ))</f>
        <v>0.15</v>
      </c>
      <c r="T360" t="str">
        <f>IF(Cleaned_Sales_data[[#This Row],[Profit]]&gt;0, "Profitable", "Loss")</f>
        <v>Profitable</v>
      </c>
      <c r="U360" t="str">
        <f>_xlfn.IFS(Cleaned_Sales_data[[#This Row],[Profit]]&gt;=10000, "High", Cleaned_Sales_data[[#This Row],[Profit]]&gt;=5000, "Medium", Cleaned_Sales_data[[#This Row],[Profit]]&gt;=0, "Low", Cleaned_Sales_data[[#This Row],[Profit]] &lt;0, "Loss")</f>
        <v>Low</v>
      </c>
      <c r="V360" t="str">
        <f t="shared" si="5"/>
        <v>UnderPerforming</v>
      </c>
      <c r="W360" s="3">
        <v>45658</v>
      </c>
    </row>
    <row r="361" spans="1:23">
      <c r="A361" t="s">
        <v>407</v>
      </c>
      <c r="B361" s="3">
        <v>45658</v>
      </c>
      <c r="C361" t="s">
        <v>18</v>
      </c>
      <c r="D361" t="str">
        <f>INDEX(Raw_product_master[Category],MATCH(Cleaned_Sales_data[[#This Row],[Product]],Raw_product_master[Product],0))</f>
        <v>Computers</v>
      </c>
      <c r="E361" t="s">
        <v>51</v>
      </c>
      <c r="F361" t="s">
        <v>20</v>
      </c>
      <c r="G361" t="s">
        <v>27</v>
      </c>
      <c r="H361">
        <v>3</v>
      </c>
      <c r="I361">
        <v>32000</v>
      </c>
      <c r="J361" s="10">
        <v>0.1</v>
      </c>
      <c r="K361">
        <v>96000</v>
      </c>
      <c r="L361">
        <v>86400</v>
      </c>
      <c r="M361">
        <v>78720</v>
      </c>
      <c r="N361">
        <v>224</v>
      </c>
      <c r="O361">
        <v>1672</v>
      </c>
      <c r="P361">
        <f>INDEX(Raw_product_master[Standard_Cost_Per_Unit],MATCH(Cleaned_Sales_data[[#This Row],[Product]],Raw_product_master[Product],0))</f>
        <v>26240</v>
      </c>
      <c r="Q361">
        <v>5784</v>
      </c>
      <c r="R361" s="11">
        <v>6.6944444444444404E-2</v>
      </c>
      <c r="S361" s="11">
        <f>INDEX(Raw_product_master[Target_Margin], MATCH(Cleaned_Sales_data[[#This Row],[Product]],Raw_product_master[Product], 0 ))</f>
        <v>0.12</v>
      </c>
      <c r="T361" t="str">
        <f>IF(Cleaned_Sales_data[[#This Row],[Profit]]&gt;0, "Profitable", "Loss")</f>
        <v>Profitable</v>
      </c>
      <c r="U361" t="str">
        <f>_xlfn.IFS(Cleaned_Sales_data[[#This Row],[Profit]]&gt;=10000, "High", Cleaned_Sales_data[[#This Row],[Profit]]&gt;=5000, "Medium", Cleaned_Sales_data[[#This Row],[Profit]]&gt;=0, "Low", Cleaned_Sales_data[[#This Row],[Profit]] &lt;0, "Loss")</f>
        <v>Medium</v>
      </c>
      <c r="V361" t="str">
        <f t="shared" si="5"/>
        <v>UnderPerforming</v>
      </c>
      <c r="W361" s="3">
        <v>45658</v>
      </c>
    </row>
    <row r="362" spans="1:23">
      <c r="A362" t="s">
        <v>413</v>
      </c>
      <c r="B362" s="3">
        <v>45970</v>
      </c>
      <c r="C362" t="s">
        <v>61</v>
      </c>
      <c r="D362" t="str">
        <f>INDEX(Raw_product_master[Category],MATCH(Cleaned_Sales_data[[#This Row],[Product]],Raw_product_master[Product],0))</f>
        <v>Accessories</v>
      </c>
      <c r="E362" t="s">
        <v>63</v>
      </c>
      <c r="F362" t="s">
        <v>20</v>
      </c>
      <c r="G362" t="s">
        <v>27</v>
      </c>
      <c r="H362">
        <v>5</v>
      </c>
      <c r="I362">
        <v>4500</v>
      </c>
      <c r="J362" s="10">
        <v>0</v>
      </c>
      <c r="K362">
        <v>22500</v>
      </c>
      <c r="L362">
        <v>22500</v>
      </c>
      <c r="M362">
        <v>14625</v>
      </c>
      <c r="N362">
        <v>1626</v>
      </c>
      <c r="O362">
        <v>1176</v>
      </c>
      <c r="P362">
        <f>INDEX(Raw_product_master[Standard_Cost_Per_Unit],MATCH(Cleaned_Sales_data[[#This Row],[Product]],Raw_product_master[Product],0))</f>
        <v>2925</v>
      </c>
      <c r="Q362">
        <v>5073</v>
      </c>
      <c r="R362" s="11">
        <v>0.22546666666666701</v>
      </c>
      <c r="S362" s="11">
        <f>INDEX(Raw_product_master[Target_Margin], MATCH(Cleaned_Sales_data[[#This Row],[Product]],Raw_product_master[Product], 0 ))</f>
        <v>0.22</v>
      </c>
      <c r="T362" t="str">
        <f>IF(Cleaned_Sales_data[[#This Row],[Profit]]&gt;0, "Profitable", "Loss")</f>
        <v>Profitable</v>
      </c>
      <c r="U362" t="str">
        <f>_xlfn.IFS(Cleaned_Sales_data[[#This Row],[Profit]]&gt;=10000, "High", Cleaned_Sales_data[[#This Row],[Profit]]&gt;=5000, "Medium", Cleaned_Sales_data[[#This Row],[Profit]]&gt;=0, "Low", Cleaned_Sales_data[[#This Row],[Profit]] &lt;0, "Loss")</f>
        <v>Medium</v>
      </c>
      <c r="V362" t="str">
        <f t="shared" si="5"/>
        <v>On Target</v>
      </c>
      <c r="W362" s="3">
        <v>45962</v>
      </c>
    </row>
    <row r="363" spans="1:23">
      <c r="A363" t="s">
        <v>475</v>
      </c>
      <c r="B363" s="3">
        <v>46061</v>
      </c>
      <c r="C363" t="s">
        <v>61</v>
      </c>
      <c r="D363" t="str">
        <f>INDEX(Raw_product_master[Category],MATCH(Cleaned_Sales_data[[#This Row],[Product]],Raw_product_master[Product],0))</f>
        <v>Accessories</v>
      </c>
      <c r="E363" t="s">
        <v>51</v>
      </c>
      <c r="F363" t="s">
        <v>20</v>
      </c>
      <c r="G363" t="s">
        <v>27</v>
      </c>
      <c r="H363">
        <v>7</v>
      </c>
      <c r="I363">
        <v>4500</v>
      </c>
      <c r="J363" s="10">
        <v>0.05</v>
      </c>
      <c r="K363">
        <v>31500</v>
      </c>
      <c r="L363">
        <v>29925</v>
      </c>
      <c r="M363">
        <v>20475</v>
      </c>
      <c r="N363">
        <v>1700</v>
      </c>
      <c r="O363">
        <v>859</v>
      </c>
      <c r="P363">
        <f>INDEX(Raw_product_master[Standard_Cost_Per_Unit],MATCH(Cleaned_Sales_data[[#This Row],[Product]],Raw_product_master[Product],0))</f>
        <v>2925</v>
      </c>
      <c r="Q363">
        <v>6891</v>
      </c>
      <c r="R363" s="11">
        <v>0.23027568922305799</v>
      </c>
      <c r="S363" s="11">
        <f>INDEX(Raw_product_master[Target_Margin], MATCH(Cleaned_Sales_data[[#This Row],[Product]],Raw_product_master[Product], 0 ))</f>
        <v>0.22</v>
      </c>
      <c r="T363" t="str">
        <f>IF(Cleaned_Sales_data[[#This Row],[Profit]]&gt;0, "Profitable", "Loss")</f>
        <v>Profitable</v>
      </c>
      <c r="U363" t="str">
        <f>_xlfn.IFS(Cleaned_Sales_data[[#This Row],[Profit]]&gt;=10000, "High", Cleaned_Sales_data[[#This Row],[Profit]]&gt;=5000, "Medium", Cleaned_Sales_data[[#This Row],[Profit]]&gt;=0, "Low", Cleaned_Sales_data[[#This Row],[Profit]] &lt;0, "Loss")</f>
        <v>Medium</v>
      </c>
      <c r="V363" t="str">
        <f t="shared" si="5"/>
        <v>On Target</v>
      </c>
      <c r="W363" s="3">
        <v>46054</v>
      </c>
    </row>
    <row r="364" spans="1:23">
      <c r="A364" t="s">
        <v>486</v>
      </c>
      <c r="B364" s="3">
        <v>46036</v>
      </c>
      <c r="C364" t="s">
        <v>50</v>
      </c>
      <c r="D364" t="str">
        <f>INDEX(Raw_product_master[Category],MATCH(Cleaned_Sales_data[[#This Row],[Product]],Raw_product_master[Product],0))</f>
        <v>Accessories</v>
      </c>
      <c r="E364" t="s">
        <v>63</v>
      </c>
      <c r="F364" t="s">
        <v>20</v>
      </c>
      <c r="G364" t="s">
        <v>27</v>
      </c>
      <c r="H364">
        <v>5</v>
      </c>
      <c r="I364">
        <v>2500</v>
      </c>
      <c r="J364" s="10">
        <v>0.15</v>
      </c>
      <c r="K364">
        <v>12500</v>
      </c>
      <c r="L364">
        <v>10625</v>
      </c>
      <c r="M364">
        <v>7750</v>
      </c>
      <c r="N364">
        <v>566</v>
      </c>
      <c r="O364">
        <v>743</v>
      </c>
      <c r="P364">
        <f>INDEX(Raw_product_master[Standard_Cost_Per_Unit],MATCH(Cleaned_Sales_data[[#This Row],[Product]],Raw_product_master[Product],0))</f>
        <v>1550</v>
      </c>
      <c r="Q364">
        <v>1566</v>
      </c>
      <c r="R364" s="11">
        <v>0.14738823529411799</v>
      </c>
      <c r="S364" s="11">
        <f>INDEX(Raw_product_master[Target_Margin], MATCH(Cleaned_Sales_data[[#This Row],[Product]],Raw_product_master[Product], 0 ))</f>
        <v>0.25</v>
      </c>
      <c r="T364" t="str">
        <f>IF(Cleaned_Sales_data[[#This Row],[Profit]]&gt;0, "Profitable", "Loss")</f>
        <v>Profitable</v>
      </c>
      <c r="U364" t="str">
        <f>_xlfn.IFS(Cleaned_Sales_data[[#This Row],[Profit]]&gt;=10000, "High", Cleaned_Sales_data[[#This Row],[Profit]]&gt;=5000, "Medium", Cleaned_Sales_data[[#This Row],[Profit]]&gt;=0, "Low", Cleaned_Sales_data[[#This Row],[Profit]] &lt;0, "Loss")</f>
        <v>Low</v>
      </c>
      <c r="V364" t="str">
        <f t="shared" si="5"/>
        <v>UnderPerforming</v>
      </c>
      <c r="W364" s="3">
        <v>46023</v>
      </c>
    </row>
    <row r="365" spans="1:23">
      <c r="A365" t="s">
        <v>488</v>
      </c>
      <c r="B365" s="3">
        <v>46023</v>
      </c>
      <c r="C365" t="s">
        <v>18</v>
      </c>
      <c r="D365" t="str">
        <f>INDEX(Raw_product_master[Category],MATCH(Cleaned_Sales_data[[#This Row],[Product]],Raw_product_master[Product],0))</f>
        <v>Computers</v>
      </c>
      <c r="E365" t="s">
        <v>51</v>
      </c>
      <c r="F365" t="s">
        <v>20</v>
      </c>
      <c r="G365" t="s">
        <v>27</v>
      </c>
      <c r="H365">
        <v>3</v>
      </c>
      <c r="I365">
        <v>32000</v>
      </c>
      <c r="J365" s="10">
        <v>0.1</v>
      </c>
      <c r="K365">
        <v>96000</v>
      </c>
      <c r="L365">
        <v>86400</v>
      </c>
      <c r="M365">
        <v>78720</v>
      </c>
      <c r="N365">
        <v>1270</v>
      </c>
      <c r="O365">
        <v>1123</v>
      </c>
      <c r="P365">
        <f>INDEX(Raw_product_master[Standard_Cost_Per_Unit],MATCH(Cleaned_Sales_data[[#This Row],[Product]],Raw_product_master[Product],0))</f>
        <v>26240</v>
      </c>
      <c r="Q365">
        <v>5287</v>
      </c>
      <c r="R365" s="11">
        <v>6.1192129629629603E-2</v>
      </c>
      <c r="S365" s="11">
        <f>INDEX(Raw_product_master[Target_Margin], MATCH(Cleaned_Sales_data[[#This Row],[Product]],Raw_product_master[Product], 0 ))</f>
        <v>0.12</v>
      </c>
      <c r="T365" t="str">
        <f>IF(Cleaned_Sales_data[[#This Row],[Profit]]&gt;0, "Profitable", "Loss")</f>
        <v>Profitable</v>
      </c>
      <c r="U365" t="str">
        <f>_xlfn.IFS(Cleaned_Sales_data[[#This Row],[Profit]]&gt;=10000, "High", Cleaned_Sales_data[[#This Row],[Profit]]&gt;=5000, "Medium", Cleaned_Sales_data[[#This Row],[Profit]]&gt;=0, "Low", Cleaned_Sales_data[[#This Row],[Profit]] &lt;0, "Loss")</f>
        <v>Medium</v>
      </c>
      <c r="V365" t="str">
        <f t="shared" si="5"/>
        <v>UnderPerforming</v>
      </c>
      <c r="W365" s="3">
        <v>46023</v>
      </c>
    </row>
    <row r="366" spans="1:23">
      <c r="A366" t="s">
        <v>492</v>
      </c>
      <c r="B366" s="3">
        <v>45844</v>
      </c>
      <c r="C366" t="s">
        <v>75</v>
      </c>
      <c r="D366" t="str">
        <f>INDEX(Raw_product_master[Category],MATCH(Cleaned_Sales_data[[#This Row],[Product]],Raw_product_master[Product],0))</f>
        <v>Computers</v>
      </c>
      <c r="E366" t="s">
        <v>51</v>
      </c>
      <c r="F366" t="s">
        <v>20</v>
      </c>
      <c r="G366" t="s">
        <v>27</v>
      </c>
      <c r="H366">
        <v>3</v>
      </c>
      <c r="I366">
        <v>65000</v>
      </c>
      <c r="J366" s="10">
        <v>0.03</v>
      </c>
      <c r="K366">
        <v>195000</v>
      </c>
      <c r="L366">
        <v>189150</v>
      </c>
      <c r="M366">
        <v>163800</v>
      </c>
      <c r="N366">
        <v>995</v>
      </c>
      <c r="O366">
        <v>1817</v>
      </c>
      <c r="P366">
        <f>INDEX(Raw_product_master[Standard_Cost_Per_Unit],MATCH(Cleaned_Sales_data[[#This Row],[Product]],Raw_product_master[Product],0))</f>
        <v>54600</v>
      </c>
      <c r="Q366">
        <v>22538</v>
      </c>
      <c r="R366" s="11">
        <v>0.119154110494317</v>
      </c>
      <c r="S366" s="11">
        <f>INDEX(Raw_product_master[Target_Margin], MATCH(Cleaned_Sales_data[[#This Row],[Product]],Raw_product_master[Product], 0 ))</f>
        <v>0.12</v>
      </c>
      <c r="T366" t="str">
        <f>IF(Cleaned_Sales_data[[#This Row],[Profit]]&gt;0, "Profitable", "Loss")</f>
        <v>Profitable</v>
      </c>
      <c r="U366" t="str">
        <f>_xlfn.IFS(Cleaned_Sales_data[[#This Row],[Profit]]&gt;=10000, "High", Cleaned_Sales_data[[#This Row],[Profit]]&gt;=5000, "Medium", Cleaned_Sales_data[[#This Row],[Profit]]&gt;=0, "Low", Cleaned_Sales_data[[#This Row],[Profit]] &lt;0, "Loss")</f>
        <v>High</v>
      </c>
      <c r="V366" t="str">
        <f t="shared" si="5"/>
        <v>UnderPerforming</v>
      </c>
      <c r="W366" s="3">
        <v>45839</v>
      </c>
    </row>
    <row r="367" spans="1:23">
      <c r="A367" t="s">
        <v>507</v>
      </c>
      <c r="B367" s="3">
        <v>45974</v>
      </c>
      <c r="C367" t="s">
        <v>46</v>
      </c>
      <c r="D367" t="str">
        <f>INDEX(Raw_product_master[Category],MATCH(Cleaned_Sales_data[[#This Row],[Product]],Raw_product_master[Product],0))</f>
        <v>Office Equipment</v>
      </c>
      <c r="E367" t="s">
        <v>51</v>
      </c>
      <c r="F367" t="s">
        <v>20</v>
      </c>
      <c r="G367" t="s">
        <v>27</v>
      </c>
      <c r="H367">
        <v>3</v>
      </c>
      <c r="I367">
        <v>18000</v>
      </c>
      <c r="J367" s="10">
        <v>0</v>
      </c>
      <c r="K367">
        <v>54000</v>
      </c>
      <c r="L367">
        <v>54000</v>
      </c>
      <c r="M367">
        <v>43200</v>
      </c>
      <c r="N367">
        <v>1656</v>
      </c>
      <c r="O367">
        <v>344</v>
      </c>
      <c r="P367">
        <f>INDEX(Raw_product_master[Standard_Cost_Per_Unit],MATCH(Cleaned_Sales_data[[#This Row],[Product]],Raw_product_master[Product],0))</f>
        <v>14400</v>
      </c>
      <c r="Q367">
        <v>8800</v>
      </c>
      <c r="R367" s="11">
        <v>0.162962962962963</v>
      </c>
      <c r="S367" s="11">
        <f>INDEX(Raw_product_master[Target_Margin], MATCH(Cleaned_Sales_data[[#This Row],[Product]],Raw_product_master[Product], 0 ))</f>
        <v>0.15</v>
      </c>
      <c r="T367" t="str">
        <f>IF(Cleaned_Sales_data[[#This Row],[Profit]]&gt;0, "Profitable", "Loss")</f>
        <v>Profitable</v>
      </c>
      <c r="U367" t="str">
        <f>_xlfn.IFS(Cleaned_Sales_data[[#This Row],[Profit]]&gt;=10000, "High", Cleaned_Sales_data[[#This Row],[Profit]]&gt;=5000, "Medium", Cleaned_Sales_data[[#This Row],[Profit]]&gt;=0, "Low", Cleaned_Sales_data[[#This Row],[Profit]] &lt;0, "Loss")</f>
        <v>Medium</v>
      </c>
      <c r="V367" t="str">
        <f t="shared" si="5"/>
        <v>On Target</v>
      </c>
      <c r="W367" s="3">
        <v>45962</v>
      </c>
    </row>
    <row r="368" spans="1:23">
      <c r="A368" t="s">
        <v>524</v>
      </c>
      <c r="B368" s="3">
        <v>45864</v>
      </c>
      <c r="C368" t="s">
        <v>53</v>
      </c>
      <c r="D368" t="str">
        <f>INDEX(Raw_product_master[Category],MATCH(Cleaned_Sales_data[[#This Row],[Product]],Raw_product_master[Product],0))</f>
        <v>Accessories</v>
      </c>
      <c r="E368" t="s">
        <v>31</v>
      </c>
      <c r="F368" t="s">
        <v>20</v>
      </c>
      <c r="G368" t="s">
        <v>27</v>
      </c>
      <c r="H368">
        <v>7</v>
      </c>
      <c r="I368">
        <v>1500</v>
      </c>
      <c r="J368" s="10">
        <v>0.03</v>
      </c>
      <c r="K368">
        <v>10500</v>
      </c>
      <c r="L368">
        <v>10185</v>
      </c>
      <c r="M368">
        <v>5775</v>
      </c>
      <c r="N368">
        <v>1198</v>
      </c>
      <c r="O368">
        <v>1074</v>
      </c>
      <c r="P368">
        <f>INDEX(Raw_product_master[Standard_Cost_Per_Unit],MATCH(Cleaned_Sales_data[[#This Row],[Product]],Raw_product_master[Product],0))</f>
        <v>825</v>
      </c>
      <c r="Q368">
        <v>2138</v>
      </c>
      <c r="R368" s="11">
        <v>0.209916543937162</v>
      </c>
      <c r="S368" s="11">
        <f>INDEX(Raw_product_master[Target_Margin], MATCH(Cleaned_Sales_data[[#This Row],[Product]],Raw_product_master[Product], 0 ))</f>
        <v>0.3</v>
      </c>
      <c r="T368" t="str">
        <f>IF(Cleaned_Sales_data[[#This Row],[Profit]]&gt;0, "Profitable", "Loss")</f>
        <v>Profitable</v>
      </c>
      <c r="U368" t="str">
        <f>_xlfn.IFS(Cleaned_Sales_data[[#This Row],[Profit]]&gt;=10000, "High", Cleaned_Sales_data[[#This Row],[Profit]]&gt;=5000, "Medium", Cleaned_Sales_data[[#This Row],[Profit]]&gt;=0, "Low", Cleaned_Sales_data[[#This Row],[Profit]] &lt;0, "Loss")</f>
        <v>Low</v>
      </c>
      <c r="V368" t="str">
        <f t="shared" si="5"/>
        <v>UnderPerforming</v>
      </c>
      <c r="W368" s="3">
        <v>45839</v>
      </c>
    </row>
    <row r="369" spans="1:23">
      <c r="A369" t="s">
        <v>555</v>
      </c>
      <c r="B369" s="3">
        <v>45777</v>
      </c>
      <c r="C369" t="s">
        <v>75</v>
      </c>
      <c r="D369" t="str">
        <f>INDEX(Raw_product_master[Category],MATCH(Cleaned_Sales_data[[#This Row],[Product]],Raw_product_master[Product],0))</f>
        <v>Computers</v>
      </c>
      <c r="E369" t="s">
        <v>31</v>
      </c>
      <c r="F369" t="s">
        <v>20</v>
      </c>
      <c r="G369" t="s">
        <v>27</v>
      </c>
      <c r="H369">
        <v>1</v>
      </c>
      <c r="I369">
        <v>65000</v>
      </c>
      <c r="J369" s="10">
        <v>0.08</v>
      </c>
      <c r="K369">
        <v>65000</v>
      </c>
      <c r="L369">
        <v>59800</v>
      </c>
      <c r="M369">
        <v>54600</v>
      </c>
      <c r="N369">
        <v>685</v>
      </c>
      <c r="O369">
        <v>1545</v>
      </c>
      <c r="P369">
        <f>INDEX(Raw_product_master[Standard_Cost_Per_Unit],MATCH(Cleaned_Sales_data[[#This Row],[Product]],Raw_product_master[Product],0))</f>
        <v>54600</v>
      </c>
      <c r="Q369">
        <v>2970</v>
      </c>
      <c r="R369" s="11">
        <v>4.9665551839464903E-2</v>
      </c>
      <c r="S369" s="11">
        <f>INDEX(Raw_product_master[Target_Margin], MATCH(Cleaned_Sales_data[[#This Row],[Product]],Raw_product_master[Product], 0 ))</f>
        <v>0.12</v>
      </c>
      <c r="T369" t="str">
        <f>IF(Cleaned_Sales_data[[#This Row],[Profit]]&gt;0, "Profitable", "Loss")</f>
        <v>Profitable</v>
      </c>
      <c r="U369" t="str">
        <f>_xlfn.IFS(Cleaned_Sales_data[[#This Row],[Profit]]&gt;=10000, "High", Cleaned_Sales_data[[#This Row],[Profit]]&gt;=5000, "Medium", Cleaned_Sales_data[[#This Row],[Profit]]&gt;=0, "Low", Cleaned_Sales_data[[#This Row],[Profit]] &lt;0, "Loss")</f>
        <v>Low</v>
      </c>
      <c r="V369" t="str">
        <f t="shared" si="5"/>
        <v>UnderPerforming</v>
      </c>
      <c r="W369" s="3">
        <v>45748</v>
      </c>
    </row>
    <row r="370" spans="1:23">
      <c r="A370" t="s">
        <v>584</v>
      </c>
      <c r="B370" s="3">
        <v>46062</v>
      </c>
      <c r="C370" t="s">
        <v>61</v>
      </c>
      <c r="D370" t="str">
        <f>INDEX(Raw_product_master[Category],MATCH(Cleaned_Sales_data[[#This Row],[Product]],Raw_product_master[Product],0))</f>
        <v>Accessories</v>
      </c>
      <c r="E370" t="s">
        <v>63</v>
      </c>
      <c r="F370" t="s">
        <v>20</v>
      </c>
      <c r="G370" t="s">
        <v>27</v>
      </c>
      <c r="H370">
        <v>5</v>
      </c>
      <c r="I370">
        <v>4500</v>
      </c>
      <c r="J370" s="10">
        <v>0.08</v>
      </c>
      <c r="K370">
        <v>22500</v>
      </c>
      <c r="L370">
        <v>20700</v>
      </c>
      <c r="M370">
        <v>14625</v>
      </c>
      <c r="N370">
        <v>960</v>
      </c>
      <c r="O370">
        <v>1549</v>
      </c>
      <c r="P370">
        <f>INDEX(Raw_product_master[Standard_Cost_Per_Unit],MATCH(Cleaned_Sales_data[[#This Row],[Product]],Raw_product_master[Product],0))</f>
        <v>2925</v>
      </c>
      <c r="Q370">
        <v>3566</v>
      </c>
      <c r="R370" s="11">
        <v>0.17227053140096599</v>
      </c>
      <c r="S370" s="11">
        <f>INDEX(Raw_product_master[Target_Margin], MATCH(Cleaned_Sales_data[[#This Row],[Product]],Raw_product_master[Product], 0 ))</f>
        <v>0.22</v>
      </c>
      <c r="T370" t="str">
        <f>IF(Cleaned_Sales_data[[#This Row],[Profit]]&gt;0, "Profitable", "Loss")</f>
        <v>Profitable</v>
      </c>
      <c r="U370" t="str">
        <f>_xlfn.IFS(Cleaned_Sales_data[[#This Row],[Profit]]&gt;=10000, "High", Cleaned_Sales_data[[#This Row],[Profit]]&gt;=5000, "Medium", Cleaned_Sales_data[[#This Row],[Profit]]&gt;=0, "Low", Cleaned_Sales_data[[#This Row],[Profit]] &lt;0, "Loss")</f>
        <v>Low</v>
      </c>
      <c r="V370" t="str">
        <f t="shared" si="5"/>
        <v>UnderPerforming</v>
      </c>
      <c r="W370" s="3">
        <v>46054</v>
      </c>
    </row>
    <row r="371" spans="1:23">
      <c r="A371" t="s">
        <v>585</v>
      </c>
      <c r="B371" s="3">
        <v>45823</v>
      </c>
      <c r="C371" t="s">
        <v>46</v>
      </c>
      <c r="D371" t="str">
        <f>INDEX(Raw_product_master[Category],MATCH(Cleaned_Sales_data[[#This Row],[Product]],Raw_product_master[Product],0))</f>
        <v>Office Equipment</v>
      </c>
      <c r="E371" t="s">
        <v>63</v>
      </c>
      <c r="F371" t="s">
        <v>20</v>
      </c>
      <c r="G371" t="s">
        <v>27</v>
      </c>
      <c r="H371">
        <v>2</v>
      </c>
      <c r="I371">
        <v>18000</v>
      </c>
      <c r="J371" s="10">
        <v>0.1</v>
      </c>
      <c r="K371">
        <v>36000</v>
      </c>
      <c r="L371">
        <v>32400</v>
      </c>
      <c r="M371">
        <v>28800</v>
      </c>
      <c r="N371">
        <v>728</v>
      </c>
      <c r="O371">
        <v>2137</v>
      </c>
      <c r="P371">
        <f>INDEX(Raw_product_master[Standard_Cost_Per_Unit],MATCH(Cleaned_Sales_data[[#This Row],[Product]],Raw_product_master[Product],0))</f>
        <v>14400</v>
      </c>
      <c r="Q371">
        <v>735</v>
      </c>
      <c r="R371" s="11">
        <v>2.2685185185185201E-2</v>
      </c>
      <c r="S371" s="11">
        <f>INDEX(Raw_product_master[Target_Margin], MATCH(Cleaned_Sales_data[[#This Row],[Product]],Raw_product_master[Product], 0 ))</f>
        <v>0.15</v>
      </c>
      <c r="T371" t="str">
        <f>IF(Cleaned_Sales_data[[#This Row],[Profit]]&gt;0, "Profitable", "Loss")</f>
        <v>Profitable</v>
      </c>
      <c r="U371" t="str">
        <f>_xlfn.IFS(Cleaned_Sales_data[[#This Row],[Profit]]&gt;=10000, "High", Cleaned_Sales_data[[#This Row],[Profit]]&gt;=5000, "Medium", Cleaned_Sales_data[[#This Row],[Profit]]&gt;=0, "Low", Cleaned_Sales_data[[#This Row],[Profit]] &lt;0, "Loss")</f>
        <v>Low</v>
      </c>
      <c r="V371" t="str">
        <f t="shared" si="5"/>
        <v>UnderPerforming</v>
      </c>
      <c r="W371" s="3">
        <v>45809</v>
      </c>
    </row>
    <row r="372" spans="1:23">
      <c r="A372" t="s">
        <v>590</v>
      </c>
      <c r="B372" s="3">
        <v>45701</v>
      </c>
      <c r="C372" t="s">
        <v>53</v>
      </c>
      <c r="D372" t="str">
        <f>INDEX(Raw_product_master[Category],MATCH(Cleaned_Sales_data[[#This Row],[Product]],Raw_product_master[Product],0))</f>
        <v>Accessories</v>
      </c>
      <c r="E372" t="s">
        <v>51</v>
      </c>
      <c r="F372" t="s">
        <v>20</v>
      </c>
      <c r="G372" t="s">
        <v>27</v>
      </c>
      <c r="H372">
        <v>4</v>
      </c>
      <c r="I372">
        <v>1500</v>
      </c>
      <c r="J372" s="10">
        <v>0.08</v>
      </c>
      <c r="K372">
        <v>6000</v>
      </c>
      <c r="L372">
        <v>5520</v>
      </c>
      <c r="M372">
        <v>3300</v>
      </c>
      <c r="N372">
        <v>321</v>
      </c>
      <c r="O372">
        <v>531</v>
      </c>
      <c r="P372">
        <f>INDEX(Raw_product_master[Standard_Cost_Per_Unit],MATCH(Cleaned_Sales_data[[#This Row],[Product]],Raw_product_master[Product],0))</f>
        <v>825</v>
      </c>
      <c r="Q372">
        <v>1368</v>
      </c>
      <c r="R372" s="11">
        <v>0.247826086956522</v>
      </c>
      <c r="S372" s="11">
        <f>INDEX(Raw_product_master[Target_Margin], MATCH(Cleaned_Sales_data[[#This Row],[Product]],Raw_product_master[Product], 0 ))</f>
        <v>0.3</v>
      </c>
      <c r="T372" t="str">
        <f>IF(Cleaned_Sales_data[[#This Row],[Profit]]&gt;0, "Profitable", "Loss")</f>
        <v>Profitable</v>
      </c>
      <c r="U372" t="str">
        <f>_xlfn.IFS(Cleaned_Sales_data[[#This Row],[Profit]]&gt;=10000, "High", Cleaned_Sales_data[[#This Row],[Profit]]&gt;=5000, "Medium", Cleaned_Sales_data[[#This Row],[Profit]]&gt;=0, "Low", Cleaned_Sales_data[[#This Row],[Profit]] &lt;0, "Loss")</f>
        <v>Low</v>
      </c>
      <c r="V372" t="str">
        <f t="shared" si="5"/>
        <v>UnderPerforming</v>
      </c>
      <c r="W372" s="3">
        <v>45689</v>
      </c>
    </row>
    <row r="373" spans="1:23">
      <c r="A373" t="s">
        <v>592</v>
      </c>
      <c r="B373" s="3">
        <v>46086</v>
      </c>
      <c r="C373" t="s">
        <v>53</v>
      </c>
      <c r="D373" t="str">
        <f>INDEX(Raw_product_master[Category],MATCH(Cleaned_Sales_data[[#This Row],[Product]],Raw_product_master[Product],0))</f>
        <v>Accessories</v>
      </c>
      <c r="E373" t="s">
        <v>25</v>
      </c>
      <c r="F373" t="s">
        <v>20</v>
      </c>
      <c r="G373" t="s">
        <v>27</v>
      </c>
      <c r="H373">
        <v>3</v>
      </c>
      <c r="I373">
        <v>1500</v>
      </c>
      <c r="J373" s="10">
        <v>0</v>
      </c>
      <c r="K373">
        <v>4500</v>
      </c>
      <c r="L373">
        <v>4500</v>
      </c>
      <c r="M373">
        <v>2475</v>
      </c>
      <c r="N373">
        <v>1413</v>
      </c>
      <c r="O373">
        <v>1511</v>
      </c>
      <c r="P373">
        <f>INDEX(Raw_product_master[Standard_Cost_Per_Unit],MATCH(Cleaned_Sales_data[[#This Row],[Product]],Raw_product_master[Product],0))</f>
        <v>825</v>
      </c>
      <c r="Q373">
        <v>-899</v>
      </c>
      <c r="R373" s="11">
        <v>-0.199777777777778</v>
      </c>
      <c r="S373" s="11">
        <f>INDEX(Raw_product_master[Target_Margin], MATCH(Cleaned_Sales_data[[#This Row],[Product]],Raw_product_master[Product], 0 ))</f>
        <v>0.3</v>
      </c>
      <c r="T373" t="str">
        <f>IF(Cleaned_Sales_data[[#This Row],[Profit]]&gt;0, "Profitable", "Loss")</f>
        <v>Loss</v>
      </c>
      <c r="U373" t="str">
        <f>_xlfn.IFS(Cleaned_Sales_data[[#This Row],[Profit]]&gt;=10000, "High", Cleaned_Sales_data[[#This Row],[Profit]]&gt;=5000, "Medium", Cleaned_Sales_data[[#This Row],[Profit]]&gt;=0, "Low", Cleaned_Sales_data[[#This Row],[Profit]] &lt;0, "Loss")</f>
        <v>Loss</v>
      </c>
      <c r="V373" t="str">
        <f t="shared" si="5"/>
        <v>UnderPerforming</v>
      </c>
      <c r="W373" s="3">
        <v>46082</v>
      </c>
    </row>
    <row r="374" spans="1:23">
      <c r="A374" t="s">
        <v>603</v>
      </c>
      <c r="B374" s="3">
        <v>46160</v>
      </c>
      <c r="C374" t="s">
        <v>30</v>
      </c>
      <c r="D374" t="str">
        <f>INDEX(Raw_product_master[Category],MATCH(Cleaned_Sales_data[[#This Row],[Product]],Raw_product_master[Product],0))</f>
        <v>Displays</v>
      </c>
      <c r="E374" t="s">
        <v>63</v>
      </c>
      <c r="F374" t="s">
        <v>20</v>
      </c>
      <c r="G374" t="s">
        <v>27</v>
      </c>
      <c r="H374">
        <v>3</v>
      </c>
      <c r="I374">
        <v>28000</v>
      </c>
      <c r="J374" s="10">
        <v>0.03</v>
      </c>
      <c r="K374">
        <v>84000</v>
      </c>
      <c r="L374">
        <v>81480</v>
      </c>
      <c r="M374">
        <v>65520</v>
      </c>
      <c r="N374">
        <v>604</v>
      </c>
      <c r="O374">
        <v>784</v>
      </c>
      <c r="P374">
        <f>INDEX(Raw_product_master[Standard_Cost_Per_Unit],MATCH(Cleaned_Sales_data[[#This Row],[Product]],Raw_product_master[Product],0))</f>
        <v>21840</v>
      </c>
      <c r="Q374">
        <v>14572</v>
      </c>
      <c r="R374" s="11">
        <v>0.17884143348060899</v>
      </c>
      <c r="S374" s="11">
        <f>INDEX(Raw_product_master[Target_Margin], MATCH(Cleaned_Sales_data[[#This Row],[Product]],Raw_product_master[Product], 0 ))</f>
        <v>0.18</v>
      </c>
      <c r="T374" t="str">
        <f>IF(Cleaned_Sales_data[[#This Row],[Profit]]&gt;0, "Profitable", "Loss")</f>
        <v>Profitable</v>
      </c>
      <c r="U374" t="str">
        <f>_xlfn.IFS(Cleaned_Sales_data[[#This Row],[Profit]]&gt;=10000, "High", Cleaned_Sales_data[[#This Row],[Profit]]&gt;=5000, "Medium", Cleaned_Sales_data[[#This Row],[Profit]]&gt;=0, "Low", Cleaned_Sales_data[[#This Row],[Profit]] &lt;0, "Loss")</f>
        <v>High</v>
      </c>
      <c r="V374" t="str">
        <f t="shared" si="5"/>
        <v>UnderPerforming</v>
      </c>
      <c r="W374" s="3">
        <v>46143</v>
      </c>
    </row>
    <row r="375" spans="1:23">
      <c r="A375" t="s">
        <v>653</v>
      </c>
      <c r="B375" s="3">
        <v>46187</v>
      </c>
      <c r="C375" t="s">
        <v>50</v>
      </c>
      <c r="D375" t="str">
        <f>INDEX(Raw_product_master[Category],MATCH(Cleaned_Sales_data[[#This Row],[Product]],Raw_product_master[Product],0))</f>
        <v>Accessories</v>
      </c>
      <c r="E375" t="s">
        <v>25</v>
      </c>
      <c r="F375" t="s">
        <v>20</v>
      </c>
      <c r="G375" t="s">
        <v>27</v>
      </c>
      <c r="H375">
        <v>2</v>
      </c>
      <c r="I375">
        <v>2500</v>
      </c>
      <c r="J375" s="10">
        <v>0.08</v>
      </c>
      <c r="K375">
        <v>5000</v>
      </c>
      <c r="L375">
        <v>4600</v>
      </c>
      <c r="M375">
        <v>3100</v>
      </c>
      <c r="N375">
        <v>421</v>
      </c>
      <c r="O375">
        <v>1927</v>
      </c>
      <c r="P375">
        <f>INDEX(Raw_product_master[Standard_Cost_Per_Unit],MATCH(Cleaned_Sales_data[[#This Row],[Product]],Raw_product_master[Product],0))</f>
        <v>1550</v>
      </c>
      <c r="Q375">
        <v>-848</v>
      </c>
      <c r="R375" s="11">
        <v>-0.18434782608695599</v>
      </c>
      <c r="S375" s="11">
        <f>INDEX(Raw_product_master[Target_Margin], MATCH(Cleaned_Sales_data[[#This Row],[Product]],Raw_product_master[Product], 0 ))</f>
        <v>0.25</v>
      </c>
      <c r="T375" t="str">
        <f>IF(Cleaned_Sales_data[[#This Row],[Profit]]&gt;0, "Profitable", "Loss")</f>
        <v>Loss</v>
      </c>
      <c r="U375" t="str">
        <f>_xlfn.IFS(Cleaned_Sales_data[[#This Row],[Profit]]&gt;=10000, "High", Cleaned_Sales_data[[#This Row],[Profit]]&gt;=5000, "Medium", Cleaned_Sales_data[[#This Row],[Profit]]&gt;=0, "Low", Cleaned_Sales_data[[#This Row],[Profit]] &lt;0, "Loss")</f>
        <v>Loss</v>
      </c>
      <c r="V375" t="str">
        <f t="shared" si="5"/>
        <v>UnderPerforming</v>
      </c>
      <c r="W375" s="3">
        <v>46174</v>
      </c>
    </row>
    <row r="376" spans="1:23">
      <c r="A376" t="s">
        <v>668</v>
      </c>
      <c r="B376" s="3">
        <v>45906</v>
      </c>
      <c r="C376" t="s">
        <v>18</v>
      </c>
      <c r="D376" t="str">
        <f>INDEX(Raw_product_master[Category],MATCH(Cleaned_Sales_data[[#This Row],[Product]],Raw_product_master[Product],0))</f>
        <v>Computers</v>
      </c>
      <c r="E376" t="s">
        <v>25</v>
      </c>
      <c r="F376" t="s">
        <v>20</v>
      </c>
      <c r="G376" t="s">
        <v>27</v>
      </c>
      <c r="H376">
        <v>1</v>
      </c>
      <c r="I376">
        <v>32000</v>
      </c>
      <c r="J376" s="10">
        <v>0.05</v>
      </c>
      <c r="K376">
        <v>32000</v>
      </c>
      <c r="L376">
        <v>30400</v>
      </c>
      <c r="M376">
        <v>26240</v>
      </c>
      <c r="N376">
        <v>667</v>
      </c>
      <c r="O376">
        <v>913</v>
      </c>
      <c r="P376">
        <f>INDEX(Raw_product_master[Standard_Cost_Per_Unit],MATCH(Cleaned_Sales_data[[#This Row],[Product]],Raw_product_master[Product],0))</f>
        <v>26240</v>
      </c>
      <c r="Q376">
        <v>2580</v>
      </c>
      <c r="R376" s="11">
        <v>8.4868421052631607E-2</v>
      </c>
      <c r="S376" s="11">
        <f>INDEX(Raw_product_master[Target_Margin], MATCH(Cleaned_Sales_data[[#This Row],[Product]],Raw_product_master[Product], 0 ))</f>
        <v>0.12</v>
      </c>
      <c r="T376" t="str">
        <f>IF(Cleaned_Sales_data[[#This Row],[Profit]]&gt;0, "Profitable", "Loss")</f>
        <v>Profitable</v>
      </c>
      <c r="U376" t="str">
        <f>_xlfn.IFS(Cleaned_Sales_data[[#This Row],[Profit]]&gt;=10000, "High", Cleaned_Sales_data[[#This Row],[Profit]]&gt;=5000, "Medium", Cleaned_Sales_data[[#This Row],[Profit]]&gt;=0, "Low", Cleaned_Sales_data[[#This Row],[Profit]] &lt;0, "Loss")</f>
        <v>Low</v>
      </c>
      <c r="V376" t="str">
        <f t="shared" si="5"/>
        <v>UnderPerforming</v>
      </c>
      <c r="W376" s="3">
        <v>45901</v>
      </c>
    </row>
    <row r="377" spans="1:23">
      <c r="A377" t="s">
        <v>695</v>
      </c>
      <c r="B377" s="3">
        <v>45840</v>
      </c>
      <c r="C377" t="s">
        <v>46</v>
      </c>
      <c r="D377" t="str">
        <f>INDEX(Raw_product_master[Category],MATCH(Cleaned_Sales_data[[#This Row],[Product]],Raw_product_master[Product],0))</f>
        <v>Office Equipment</v>
      </c>
      <c r="E377" t="s">
        <v>34</v>
      </c>
      <c r="F377" t="s">
        <v>20</v>
      </c>
      <c r="G377" t="s">
        <v>27</v>
      </c>
      <c r="H377">
        <v>1</v>
      </c>
      <c r="I377">
        <v>18000</v>
      </c>
      <c r="J377" s="10">
        <v>0.05</v>
      </c>
      <c r="K377">
        <v>18000</v>
      </c>
      <c r="L377">
        <v>17100</v>
      </c>
      <c r="M377">
        <v>14400</v>
      </c>
      <c r="N377">
        <v>416</v>
      </c>
      <c r="O377">
        <v>1615</v>
      </c>
      <c r="P377">
        <f>INDEX(Raw_product_master[Standard_Cost_Per_Unit],MATCH(Cleaned_Sales_data[[#This Row],[Product]],Raw_product_master[Product],0))</f>
        <v>14400</v>
      </c>
      <c r="Q377">
        <v>669</v>
      </c>
      <c r="R377" s="11">
        <v>3.9122807017543899E-2</v>
      </c>
      <c r="S377" s="11">
        <f>INDEX(Raw_product_master[Target_Margin], MATCH(Cleaned_Sales_data[[#This Row],[Product]],Raw_product_master[Product], 0 ))</f>
        <v>0.15</v>
      </c>
      <c r="T377" t="str">
        <f>IF(Cleaned_Sales_data[[#This Row],[Profit]]&gt;0, "Profitable", "Loss")</f>
        <v>Profitable</v>
      </c>
      <c r="U377" t="str">
        <f>_xlfn.IFS(Cleaned_Sales_data[[#This Row],[Profit]]&gt;=10000, "High", Cleaned_Sales_data[[#This Row],[Profit]]&gt;=5000, "Medium", Cleaned_Sales_data[[#This Row],[Profit]]&gt;=0, "Low", Cleaned_Sales_data[[#This Row],[Profit]] &lt;0, "Loss")</f>
        <v>Low</v>
      </c>
      <c r="V377" t="str">
        <f t="shared" si="5"/>
        <v>UnderPerforming</v>
      </c>
      <c r="W377" s="3">
        <v>45839</v>
      </c>
    </row>
    <row r="378" spans="1:23">
      <c r="A378" t="s">
        <v>701</v>
      </c>
      <c r="B378" s="3">
        <v>45857</v>
      </c>
      <c r="C378" t="s">
        <v>50</v>
      </c>
      <c r="D378" t="str">
        <f>INDEX(Raw_product_master[Category],MATCH(Cleaned_Sales_data[[#This Row],[Product]],Raw_product_master[Product],0))</f>
        <v>Accessories</v>
      </c>
      <c r="E378" t="s">
        <v>34</v>
      </c>
      <c r="F378" t="s">
        <v>20</v>
      </c>
      <c r="G378" t="s">
        <v>27</v>
      </c>
      <c r="H378">
        <v>7</v>
      </c>
      <c r="I378">
        <v>2500</v>
      </c>
      <c r="J378" s="10">
        <v>0</v>
      </c>
      <c r="K378">
        <v>17500</v>
      </c>
      <c r="L378">
        <v>17500</v>
      </c>
      <c r="M378">
        <v>10850</v>
      </c>
      <c r="N378">
        <v>868</v>
      </c>
      <c r="O378">
        <v>290</v>
      </c>
      <c r="P378">
        <f>INDEX(Raw_product_master[Standard_Cost_Per_Unit],MATCH(Cleaned_Sales_data[[#This Row],[Product]],Raw_product_master[Product],0))</f>
        <v>1550</v>
      </c>
      <c r="Q378">
        <v>5492</v>
      </c>
      <c r="R378" s="11">
        <v>0.31382857142857101</v>
      </c>
      <c r="S378" s="11">
        <f>INDEX(Raw_product_master[Target_Margin], MATCH(Cleaned_Sales_data[[#This Row],[Product]],Raw_product_master[Product], 0 ))</f>
        <v>0.25</v>
      </c>
      <c r="T378" t="str">
        <f>IF(Cleaned_Sales_data[[#This Row],[Profit]]&gt;0, "Profitable", "Loss")</f>
        <v>Profitable</v>
      </c>
      <c r="U378" t="str">
        <f>_xlfn.IFS(Cleaned_Sales_data[[#This Row],[Profit]]&gt;=10000, "High", Cleaned_Sales_data[[#This Row],[Profit]]&gt;=5000, "Medium", Cleaned_Sales_data[[#This Row],[Profit]]&gt;=0, "Low", Cleaned_Sales_data[[#This Row],[Profit]] &lt;0, "Loss")</f>
        <v>Medium</v>
      </c>
      <c r="V378" t="str">
        <f t="shared" si="5"/>
        <v>On Target</v>
      </c>
      <c r="W378" s="3">
        <v>45839</v>
      </c>
    </row>
    <row r="379" spans="1:23">
      <c r="A379" t="s">
        <v>710</v>
      </c>
      <c r="B379" s="3">
        <v>45930</v>
      </c>
      <c r="C379" t="s">
        <v>61</v>
      </c>
      <c r="D379" t="str">
        <f>INDEX(Raw_product_master[Category],MATCH(Cleaned_Sales_data[[#This Row],[Product]],Raw_product_master[Product],0))</f>
        <v>Accessories</v>
      </c>
      <c r="E379" t="s">
        <v>25</v>
      </c>
      <c r="F379" t="s">
        <v>20</v>
      </c>
      <c r="G379" t="s">
        <v>27</v>
      </c>
      <c r="H379">
        <v>3</v>
      </c>
      <c r="I379">
        <v>4500</v>
      </c>
      <c r="J379" s="10">
        <v>0.15</v>
      </c>
      <c r="K379">
        <v>13500</v>
      </c>
      <c r="L379">
        <v>11475</v>
      </c>
      <c r="M379">
        <v>8775</v>
      </c>
      <c r="N379">
        <v>505</v>
      </c>
      <c r="O379">
        <v>1038</v>
      </c>
      <c r="P379">
        <f>INDEX(Raw_product_master[Standard_Cost_Per_Unit],MATCH(Cleaned_Sales_data[[#This Row],[Product]],Raw_product_master[Product],0))</f>
        <v>2925</v>
      </c>
      <c r="Q379">
        <v>1157</v>
      </c>
      <c r="R379" s="11">
        <v>0.10082788671024</v>
      </c>
      <c r="S379" s="11">
        <f>INDEX(Raw_product_master[Target_Margin], MATCH(Cleaned_Sales_data[[#This Row],[Product]],Raw_product_master[Product], 0 ))</f>
        <v>0.22</v>
      </c>
      <c r="T379" t="str">
        <f>IF(Cleaned_Sales_data[[#This Row],[Profit]]&gt;0, "Profitable", "Loss")</f>
        <v>Profitable</v>
      </c>
      <c r="U379" t="str">
        <f>_xlfn.IFS(Cleaned_Sales_data[[#This Row],[Profit]]&gt;=10000, "High", Cleaned_Sales_data[[#This Row],[Profit]]&gt;=5000, "Medium", Cleaned_Sales_data[[#This Row],[Profit]]&gt;=0, "Low", Cleaned_Sales_data[[#This Row],[Profit]] &lt;0, "Loss")</f>
        <v>Low</v>
      </c>
      <c r="V379" t="str">
        <f t="shared" si="5"/>
        <v>UnderPerforming</v>
      </c>
      <c r="W379" s="3">
        <v>45901</v>
      </c>
    </row>
    <row r="380" spans="1:23">
      <c r="A380" t="s">
        <v>723</v>
      </c>
      <c r="B380" s="3">
        <v>46134</v>
      </c>
      <c r="C380" t="s">
        <v>75</v>
      </c>
      <c r="D380" t="str">
        <f>INDEX(Raw_product_master[Category],MATCH(Cleaned_Sales_data[[#This Row],[Product]],Raw_product_master[Product],0))</f>
        <v>Computers</v>
      </c>
      <c r="E380" t="s">
        <v>34</v>
      </c>
      <c r="F380" t="s">
        <v>20</v>
      </c>
      <c r="G380" t="s">
        <v>27</v>
      </c>
      <c r="H380">
        <v>2</v>
      </c>
      <c r="I380">
        <v>65000</v>
      </c>
      <c r="J380" s="10">
        <v>0.15</v>
      </c>
      <c r="K380">
        <v>130000</v>
      </c>
      <c r="L380">
        <v>110500</v>
      </c>
      <c r="M380">
        <v>109200</v>
      </c>
      <c r="N380">
        <v>1096</v>
      </c>
      <c r="O380">
        <v>919</v>
      </c>
      <c r="P380">
        <f>INDEX(Raw_product_master[Standard_Cost_Per_Unit],MATCH(Cleaned_Sales_data[[#This Row],[Product]],Raw_product_master[Product],0))</f>
        <v>54600</v>
      </c>
      <c r="Q380">
        <v>-715</v>
      </c>
      <c r="R380" s="11">
        <v>-6.4705882352941203E-3</v>
      </c>
      <c r="S380" s="11">
        <f>INDEX(Raw_product_master[Target_Margin], MATCH(Cleaned_Sales_data[[#This Row],[Product]],Raw_product_master[Product], 0 ))</f>
        <v>0.12</v>
      </c>
      <c r="T380" t="str">
        <f>IF(Cleaned_Sales_data[[#This Row],[Profit]]&gt;0, "Profitable", "Loss")</f>
        <v>Loss</v>
      </c>
      <c r="U380" t="str">
        <f>_xlfn.IFS(Cleaned_Sales_data[[#This Row],[Profit]]&gt;=10000, "High", Cleaned_Sales_data[[#This Row],[Profit]]&gt;=5000, "Medium", Cleaned_Sales_data[[#This Row],[Profit]]&gt;=0, "Low", Cleaned_Sales_data[[#This Row],[Profit]] &lt;0, "Loss")</f>
        <v>Loss</v>
      </c>
      <c r="V380" t="str">
        <f t="shared" si="5"/>
        <v>UnderPerforming</v>
      </c>
      <c r="W380" s="3">
        <v>46113</v>
      </c>
    </row>
    <row r="381" spans="1:23">
      <c r="A381" t="s">
        <v>735</v>
      </c>
      <c r="B381" s="3">
        <v>45777</v>
      </c>
      <c r="C381" t="s">
        <v>61</v>
      </c>
      <c r="D381" t="str">
        <f>INDEX(Raw_product_master[Category],MATCH(Cleaned_Sales_data[[#This Row],[Product]],Raw_product_master[Product],0))</f>
        <v>Accessories</v>
      </c>
      <c r="E381" t="s">
        <v>63</v>
      </c>
      <c r="F381" t="s">
        <v>20</v>
      </c>
      <c r="G381" t="s">
        <v>27</v>
      </c>
      <c r="H381">
        <v>1</v>
      </c>
      <c r="I381">
        <v>4500</v>
      </c>
      <c r="J381" s="10">
        <v>0</v>
      </c>
      <c r="K381">
        <v>4500</v>
      </c>
      <c r="L381">
        <v>4500</v>
      </c>
      <c r="M381">
        <v>2925</v>
      </c>
      <c r="N381">
        <v>1647</v>
      </c>
      <c r="O381">
        <v>465</v>
      </c>
      <c r="P381">
        <f>INDEX(Raw_product_master[Standard_Cost_Per_Unit],MATCH(Cleaned_Sales_data[[#This Row],[Product]],Raw_product_master[Product],0))</f>
        <v>2925</v>
      </c>
      <c r="Q381">
        <v>-537</v>
      </c>
      <c r="R381" s="11">
        <v>-0.119333333333333</v>
      </c>
      <c r="S381" s="11">
        <f>INDEX(Raw_product_master[Target_Margin], MATCH(Cleaned_Sales_data[[#This Row],[Product]],Raw_product_master[Product], 0 ))</f>
        <v>0.22</v>
      </c>
      <c r="T381" t="str">
        <f>IF(Cleaned_Sales_data[[#This Row],[Profit]]&gt;0, "Profitable", "Loss")</f>
        <v>Loss</v>
      </c>
      <c r="U381" t="str">
        <f>_xlfn.IFS(Cleaned_Sales_data[[#This Row],[Profit]]&gt;=10000, "High", Cleaned_Sales_data[[#This Row],[Profit]]&gt;=5000, "Medium", Cleaned_Sales_data[[#This Row],[Profit]]&gt;=0, "Low", Cleaned_Sales_data[[#This Row],[Profit]] &lt;0, "Loss")</f>
        <v>Loss</v>
      </c>
      <c r="V381" t="str">
        <f t="shared" si="5"/>
        <v>UnderPerforming</v>
      </c>
      <c r="W381" s="3">
        <v>45748</v>
      </c>
    </row>
    <row r="382" spans="1:23">
      <c r="A382" t="s">
        <v>750</v>
      </c>
      <c r="B382" s="3">
        <v>46137</v>
      </c>
      <c r="C382" t="s">
        <v>53</v>
      </c>
      <c r="D382" t="str">
        <f>INDEX(Raw_product_master[Category],MATCH(Cleaned_Sales_data[[#This Row],[Product]],Raw_product_master[Product],0))</f>
        <v>Accessories</v>
      </c>
      <c r="E382" t="s">
        <v>19</v>
      </c>
      <c r="F382" t="s">
        <v>20</v>
      </c>
      <c r="G382" t="s">
        <v>27</v>
      </c>
      <c r="H382">
        <v>4</v>
      </c>
      <c r="I382">
        <v>1500</v>
      </c>
      <c r="J382" s="10">
        <v>0.1</v>
      </c>
      <c r="K382">
        <v>6000</v>
      </c>
      <c r="L382">
        <v>5400</v>
      </c>
      <c r="M382">
        <v>3300</v>
      </c>
      <c r="N382">
        <v>1596</v>
      </c>
      <c r="O382">
        <v>1194</v>
      </c>
      <c r="P382">
        <f>INDEX(Raw_product_master[Standard_Cost_Per_Unit],MATCH(Cleaned_Sales_data[[#This Row],[Product]],Raw_product_master[Product],0))</f>
        <v>825</v>
      </c>
      <c r="Q382">
        <v>-690</v>
      </c>
      <c r="R382" s="11">
        <v>-0.12777777777777799</v>
      </c>
      <c r="S382" s="11">
        <f>INDEX(Raw_product_master[Target_Margin], MATCH(Cleaned_Sales_data[[#This Row],[Product]],Raw_product_master[Product], 0 ))</f>
        <v>0.3</v>
      </c>
      <c r="T382" t="str">
        <f>IF(Cleaned_Sales_data[[#This Row],[Profit]]&gt;0, "Profitable", "Loss")</f>
        <v>Loss</v>
      </c>
      <c r="U382" t="str">
        <f>_xlfn.IFS(Cleaned_Sales_data[[#This Row],[Profit]]&gt;=10000, "High", Cleaned_Sales_data[[#This Row],[Profit]]&gt;=5000, "Medium", Cleaned_Sales_data[[#This Row],[Profit]]&gt;=0, "Low", Cleaned_Sales_data[[#This Row],[Profit]] &lt;0, "Loss")</f>
        <v>Loss</v>
      </c>
      <c r="V382" t="str">
        <f t="shared" si="5"/>
        <v>UnderPerforming</v>
      </c>
      <c r="W382" s="3">
        <v>46113</v>
      </c>
    </row>
    <row r="383" spans="1:23">
      <c r="A383" t="s">
        <v>797</v>
      </c>
      <c r="B383" s="3">
        <v>46161</v>
      </c>
      <c r="C383" t="s">
        <v>75</v>
      </c>
      <c r="D383" t="str">
        <f>INDEX(Raw_product_master[Category],MATCH(Cleaned_Sales_data[[#This Row],[Product]],Raw_product_master[Product],0))</f>
        <v>Computers</v>
      </c>
      <c r="E383" t="s">
        <v>34</v>
      </c>
      <c r="F383" t="s">
        <v>20</v>
      </c>
      <c r="G383" t="s">
        <v>27</v>
      </c>
      <c r="H383">
        <v>1</v>
      </c>
      <c r="I383">
        <v>65000</v>
      </c>
      <c r="J383" s="10">
        <v>0.08</v>
      </c>
      <c r="K383">
        <v>65000</v>
      </c>
      <c r="L383">
        <v>59800</v>
      </c>
      <c r="M383">
        <v>54600</v>
      </c>
      <c r="N383">
        <v>474</v>
      </c>
      <c r="O383">
        <v>2358</v>
      </c>
      <c r="P383">
        <f>INDEX(Raw_product_master[Standard_Cost_Per_Unit],MATCH(Cleaned_Sales_data[[#This Row],[Product]],Raw_product_master[Product],0))</f>
        <v>54600</v>
      </c>
      <c r="Q383">
        <v>2368</v>
      </c>
      <c r="R383" s="11">
        <v>3.9598662207357901E-2</v>
      </c>
      <c r="S383" s="11">
        <f>INDEX(Raw_product_master[Target_Margin], MATCH(Cleaned_Sales_data[[#This Row],[Product]],Raw_product_master[Product], 0 ))</f>
        <v>0.12</v>
      </c>
      <c r="T383" t="str">
        <f>IF(Cleaned_Sales_data[[#This Row],[Profit]]&gt;0, "Profitable", "Loss")</f>
        <v>Profitable</v>
      </c>
      <c r="U383" t="str">
        <f>_xlfn.IFS(Cleaned_Sales_data[[#This Row],[Profit]]&gt;=10000, "High", Cleaned_Sales_data[[#This Row],[Profit]]&gt;=5000, "Medium", Cleaned_Sales_data[[#This Row],[Profit]]&gt;=0, "Low", Cleaned_Sales_data[[#This Row],[Profit]] &lt;0, "Loss")</f>
        <v>Low</v>
      </c>
      <c r="V383" t="str">
        <f t="shared" si="5"/>
        <v>UnderPerforming</v>
      </c>
      <c r="W383" s="3">
        <v>46143</v>
      </c>
    </row>
    <row r="384" spans="1:23">
      <c r="A384" t="s">
        <v>798</v>
      </c>
      <c r="B384" s="3">
        <v>45676</v>
      </c>
      <c r="C384" t="s">
        <v>53</v>
      </c>
      <c r="D384" t="str">
        <f>INDEX(Raw_product_master[Category],MATCH(Cleaned_Sales_data[[#This Row],[Product]],Raw_product_master[Product],0))</f>
        <v>Accessories</v>
      </c>
      <c r="E384" t="s">
        <v>63</v>
      </c>
      <c r="F384" t="s">
        <v>20</v>
      </c>
      <c r="G384" t="s">
        <v>27</v>
      </c>
      <c r="H384">
        <v>1</v>
      </c>
      <c r="I384">
        <v>1500</v>
      </c>
      <c r="J384" s="10">
        <v>0</v>
      </c>
      <c r="K384">
        <v>1500</v>
      </c>
      <c r="L384">
        <v>1500</v>
      </c>
      <c r="M384">
        <v>825</v>
      </c>
      <c r="N384">
        <v>1142</v>
      </c>
      <c r="O384">
        <v>357</v>
      </c>
      <c r="P384">
        <f>INDEX(Raw_product_master[Standard_Cost_Per_Unit],MATCH(Cleaned_Sales_data[[#This Row],[Product]],Raw_product_master[Product],0))</f>
        <v>825</v>
      </c>
      <c r="Q384">
        <v>-824</v>
      </c>
      <c r="R384" s="11">
        <v>-0.54933333333333301</v>
      </c>
      <c r="S384" s="11">
        <f>INDEX(Raw_product_master[Target_Margin], MATCH(Cleaned_Sales_data[[#This Row],[Product]],Raw_product_master[Product], 0 ))</f>
        <v>0.3</v>
      </c>
      <c r="T384" t="str">
        <f>IF(Cleaned_Sales_data[[#This Row],[Profit]]&gt;0, "Profitable", "Loss")</f>
        <v>Loss</v>
      </c>
      <c r="U384" t="str">
        <f>_xlfn.IFS(Cleaned_Sales_data[[#This Row],[Profit]]&gt;=10000, "High", Cleaned_Sales_data[[#This Row],[Profit]]&gt;=5000, "Medium", Cleaned_Sales_data[[#This Row],[Profit]]&gt;=0, "Low", Cleaned_Sales_data[[#This Row],[Profit]] &lt;0, "Loss")</f>
        <v>Loss</v>
      </c>
      <c r="V384" t="str">
        <f t="shared" si="5"/>
        <v>UnderPerforming</v>
      </c>
      <c r="W384" s="3">
        <v>45658</v>
      </c>
    </row>
    <row r="385" spans="1:23">
      <c r="A385" t="s">
        <v>804</v>
      </c>
      <c r="B385" s="3">
        <v>45739</v>
      </c>
      <c r="C385" t="s">
        <v>46</v>
      </c>
      <c r="D385" t="str">
        <f>INDEX(Raw_product_master[Category],MATCH(Cleaned_Sales_data[[#This Row],[Product]],Raw_product_master[Product],0))</f>
        <v>Office Equipment</v>
      </c>
      <c r="E385" t="s">
        <v>31</v>
      </c>
      <c r="F385" t="s">
        <v>20</v>
      </c>
      <c r="G385" t="s">
        <v>27</v>
      </c>
      <c r="H385">
        <v>3</v>
      </c>
      <c r="I385">
        <v>18000</v>
      </c>
      <c r="J385" s="10">
        <v>0.1</v>
      </c>
      <c r="K385">
        <v>54000</v>
      </c>
      <c r="L385">
        <v>48600</v>
      </c>
      <c r="M385">
        <v>43200</v>
      </c>
      <c r="N385">
        <v>878</v>
      </c>
      <c r="O385">
        <v>2068</v>
      </c>
      <c r="P385">
        <f>INDEX(Raw_product_master[Standard_Cost_Per_Unit],MATCH(Cleaned_Sales_data[[#This Row],[Product]],Raw_product_master[Product],0))</f>
        <v>14400</v>
      </c>
      <c r="Q385">
        <v>2454</v>
      </c>
      <c r="R385" s="11">
        <v>5.0493827160493797E-2</v>
      </c>
      <c r="S385" s="11">
        <f>INDEX(Raw_product_master[Target_Margin], MATCH(Cleaned_Sales_data[[#This Row],[Product]],Raw_product_master[Product], 0 ))</f>
        <v>0.15</v>
      </c>
      <c r="T385" t="str">
        <f>IF(Cleaned_Sales_data[[#This Row],[Profit]]&gt;0, "Profitable", "Loss")</f>
        <v>Profitable</v>
      </c>
      <c r="U385" t="str">
        <f>_xlfn.IFS(Cleaned_Sales_data[[#This Row],[Profit]]&gt;=10000, "High", Cleaned_Sales_data[[#This Row],[Profit]]&gt;=5000, "Medium", Cleaned_Sales_data[[#This Row],[Profit]]&gt;=0, "Low", Cleaned_Sales_data[[#This Row],[Profit]] &lt;0, "Loss")</f>
        <v>Low</v>
      </c>
      <c r="V385" t="str">
        <f t="shared" si="5"/>
        <v>UnderPerforming</v>
      </c>
      <c r="W385" s="3">
        <v>45717</v>
      </c>
    </row>
    <row r="386" spans="1:23">
      <c r="A386" t="s">
        <v>23</v>
      </c>
      <c r="B386" s="3">
        <v>45966</v>
      </c>
      <c r="C386" t="s">
        <v>24</v>
      </c>
      <c r="D386" t="str">
        <f>INDEX(Raw_product_master[Category],MATCH(Cleaned_Sales_data[[#This Row],[Product]],Raw_product_master[Product],0))</f>
        <v>Accessories</v>
      </c>
      <c r="E386" t="s">
        <v>25</v>
      </c>
      <c r="F386" t="s">
        <v>26</v>
      </c>
      <c r="G386" t="s">
        <v>27</v>
      </c>
      <c r="H386">
        <v>4</v>
      </c>
      <c r="I386">
        <v>3500</v>
      </c>
      <c r="J386" s="10">
        <v>0</v>
      </c>
      <c r="K386">
        <v>14000</v>
      </c>
      <c r="L386">
        <v>14000</v>
      </c>
      <c r="M386">
        <v>9520</v>
      </c>
      <c r="N386">
        <v>330</v>
      </c>
      <c r="O386">
        <v>1785</v>
      </c>
      <c r="P386">
        <f>INDEX(Raw_product_master[Standard_Cost_Per_Unit],MATCH(Cleaned_Sales_data[[#This Row],[Product]],Raw_product_master[Product],0))</f>
        <v>2380</v>
      </c>
      <c r="Q386">
        <v>2365</v>
      </c>
      <c r="R386" s="11">
        <v>0.16892857142857101</v>
      </c>
      <c r="S386" s="11">
        <f>INDEX(Raw_product_master[Target_Margin], MATCH(Cleaned_Sales_data[[#This Row],[Product]],Raw_product_master[Product], 0 ))</f>
        <v>0.2</v>
      </c>
      <c r="T386" t="str">
        <f>IF(Cleaned_Sales_data[[#This Row],[Profit]]&gt;0, "Profitable", "Loss")</f>
        <v>Profitable</v>
      </c>
      <c r="U386" t="str">
        <f>_xlfn.IFS(Cleaned_Sales_data[[#This Row],[Profit]]&gt;=10000, "High", Cleaned_Sales_data[[#This Row],[Profit]]&gt;=5000, "Medium", Cleaned_Sales_data[[#This Row],[Profit]]&gt;=0, "Low", Cleaned_Sales_data[[#This Row],[Profit]] &lt;0, "Loss")</f>
        <v>Low</v>
      </c>
      <c r="V386" t="str">
        <f t="shared" ref="V386:V449" si="6">IF(R386&lt;S386, "UnderPerforming", "On Target")</f>
        <v>UnderPerforming</v>
      </c>
      <c r="W386" s="3">
        <v>45962</v>
      </c>
    </row>
    <row r="387" spans="1:23">
      <c r="A387" t="s">
        <v>119</v>
      </c>
      <c r="B387" s="3">
        <v>45886</v>
      </c>
      <c r="C387" t="s">
        <v>24</v>
      </c>
      <c r="D387" t="str">
        <f>INDEX(Raw_product_master[Category],MATCH(Cleaned_Sales_data[[#This Row],[Product]],Raw_product_master[Product],0))</f>
        <v>Accessories</v>
      </c>
      <c r="E387" t="s">
        <v>31</v>
      </c>
      <c r="F387" t="s">
        <v>26</v>
      </c>
      <c r="G387" t="s">
        <v>27</v>
      </c>
      <c r="H387">
        <v>5</v>
      </c>
      <c r="I387">
        <v>3500</v>
      </c>
      <c r="J387" s="10">
        <v>0.05</v>
      </c>
      <c r="K387">
        <v>17500</v>
      </c>
      <c r="L387">
        <v>16625</v>
      </c>
      <c r="M387">
        <v>11900</v>
      </c>
      <c r="N387">
        <v>279</v>
      </c>
      <c r="O387">
        <v>302</v>
      </c>
      <c r="P387">
        <f>INDEX(Raw_product_master[Standard_Cost_Per_Unit],MATCH(Cleaned_Sales_data[[#This Row],[Product]],Raw_product_master[Product],0))</f>
        <v>2380</v>
      </c>
      <c r="Q387">
        <v>4144</v>
      </c>
      <c r="R387" s="11">
        <v>0.24926315789473699</v>
      </c>
      <c r="S387" s="11">
        <f>INDEX(Raw_product_master[Target_Margin], MATCH(Cleaned_Sales_data[[#This Row],[Product]],Raw_product_master[Product], 0 ))</f>
        <v>0.2</v>
      </c>
      <c r="T387" t="str">
        <f>IF(Cleaned_Sales_data[[#This Row],[Profit]]&gt;0, "Profitable", "Loss")</f>
        <v>Profitable</v>
      </c>
      <c r="U387" t="str">
        <f>_xlfn.IFS(Cleaned_Sales_data[[#This Row],[Profit]]&gt;=10000, "High", Cleaned_Sales_data[[#This Row],[Profit]]&gt;=5000, "Medium", Cleaned_Sales_data[[#This Row],[Profit]]&gt;=0, "Low", Cleaned_Sales_data[[#This Row],[Profit]] &lt;0, "Loss")</f>
        <v>Low</v>
      </c>
      <c r="V387" t="str">
        <f t="shared" si="6"/>
        <v>On Target</v>
      </c>
      <c r="W387" s="3">
        <v>45870</v>
      </c>
    </row>
    <row r="388" spans="1:23">
      <c r="A388" t="s">
        <v>140</v>
      </c>
      <c r="B388" s="3">
        <v>45914</v>
      </c>
      <c r="C388" t="s">
        <v>50</v>
      </c>
      <c r="D388" t="str">
        <f>INDEX(Raw_product_master[Category],MATCH(Cleaned_Sales_data[[#This Row],[Product]],Raw_product_master[Product],0))</f>
        <v>Accessories</v>
      </c>
      <c r="E388" t="s">
        <v>63</v>
      </c>
      <c r="F388" t="s">
        <v>26</v>
      </c>
      <c r="G388" t="s">
        <v>27</v>
      </c>
      <c r="H388">
        <v>7</v>
      </c>
      <c r="I388">
        <v>2500</v>
      </c>
      <c r="J388" s="10">
        <v>0.05</v>
      </c>
      <c r="K388">
        <v>17500</v>
      </c>
      <c r="L388">
        <v>16625</v>
      </c>
      <c r="M388">
        <v>10850</v>
      </c>
      <c r="N388">
        <v>536</v>
      </c>
      <c r="O388">
        <v>1149</v>
      </c>
      <c r="P388">
        <f>INDEX(Raw_product_master[Standard_Cost_Per_Unit],MATCH(Cleaned_Sales_data[[#This Row],[Product]],Raw_product_master[Product],0))</f>
        <v>1550</v>
      </c>
      <c r="Q388">
        <v>4090</v>
      </c>
      <c r="R388" s="11">
        <v>0.24601503759398499</v>
      </c>
      <c r="S388" s="11">
        <f>INDEX(Raw_product_master[Target_Margin], MATCH(Cleaned_Sales_data[[#This Row],[Product]],Raw_product_master[Product], 0 ))</f>
        <v>0.25</v>
      </c>
      <c r="T388" t="str">
        <f>IF(Cleaned_Sales_data[[#This Row],[Profit]]&gt;0, "Profitable", "Loss")</f>
        <v>Profitable</v>
      </c>
      <c r="U388" t="str">
        <f>_xlfn.IFS(Cleaned_Sales_data[[#This Row],[Profit]]&gt;=10000, "High", Cleaned_Sales_data[[#This Row],[Profit]]&gt;=5000, "Medium", Cleaned_Sales_data[[#This Row],[Profit]]&gt;=0, "Low", Cleaned_Sales_data[[#This Row],[Profit]] &lt;0, "Loss")</f>
        <v>Low</v>
      </c>
      <c r="V388" t="str">
        <f t="shared" si="6"/>
        <v>UnderPerforming</v>
      </c>
      <c r="W388" s="3">
        <v>45901</v>
      </c>
    </row>
    <row r="389" spans="1:23">
      <c r="A389" t="s">
        <v>148</v>
      </c>
      <c r="B389" s="3">
        <v>46161</v>
      </c>
      <c r="C389" t="s">
        <v>30</v>
      </c>
      <c r="D389" t="str">
        <f>INDEX(Raw_product_master[Category],MATCH(Cleaned_Sales_data[[#This Row],[Product]],Raw_product_master[Product],0))</f>
        <v>Displays</v>
      </c>
      <c r="E389" t="s">
        <v>34</v>
      </c>
      <c r="F389" t="s">
        <v>26</v>
      </c>
      <c r="G389" t="s">
        <v>27</v>
      </c>
      <c r="H389">
        <v>3</v>
      </c>
      <c r="I389">
        <v>28000</v>
      </c>
      <c r="J389" s="10">
        <v>0.15</v>
      </c>
      <c r="K389">
        <v>84000</v>
      </c>
      <c r="L389">
        <v>71400</v>
      </c>
      <c r="M389">
        <v>65520</v>
      </c>
      <c r="N389">
        <v>845</v>
      </c>
      <c r="O389">
        <v>217</v>
      </c>
      <c r="P389">
        <f>INDEX(Raw_product_master[Standard_Cost_Per_Unit],MATCH(Cleaned_Sales_data[[#This Row],[Product]],Raw_product_master[Product],0))</f>
        <v>21840</v>
      </c>
      <c r="Q389">
        <v>4818</v>
      </c>
      <c r="R389" s="11">
        <v>6.7478991596638602E-2</v>
      </c>
      <c r="S389" s="11">
        <f>INDEX(Raw_product_master[Target_Margin], MATCH(Cleaned_Sales_data[[#This Row],[Product]],Raw_product_master[Product], 0 ))</f>
        <v>0.18</v>
      </c>
      <c r="T389" t="str">
        <f>IF(Cleaned_Sales_data[[#This Row],[Profit]]&gt;0, "Profitable", "Loss")</f>
        <v>Profitable</v>
      </c>
      <c r="U389" t="str">
        <f>_xlfn.IFS(Cleaned_Sales_data[[#This Row],[Profit]]&gt;=10000, "High", Cleaned_Sales_data[[#This Row],[Profit]]&gt;=5000, "Medium", Cleaned_Sales_data[[#This Row],[Profit]]&gt;=0, "Low", Cleaned_Sales_data[[#This Row],[Profit]] &lt;0, "Loss")</f>
        <v>Low</v>
      </c>
      <c r="V389" t="str">
        <f t="shared" si="6"/>
        <v>UnderPerforming</v>
      </c>
      <c r="W389" s="3">
        <v>46143</v>
      </c>
    </row>
    <row r="390" spans="1:23">
      <c r="A390" t="s">
        <v>157</v>
      </c>
      <c r="B390" s="3">
        <v>45882</v>
      </c>
      <c r="C390" t="s">
        <v>75</v>
      </c>
      <c r="D390" t="str">
        <f>INDEX(Raw_product_master[Category],MATCH(Cleaned_Sales_data[[#This Row],[Product]],Raw_product_master[Product],0))</f>
        <v>Computers</v>
      </c>
      <c r="E390" t="s">
        <v>25</v>
      </c>
      <c r="F390" t="s">
        <v>26</v>
      </c>
      <c r="G390" t="s">
        <v>27</v>
      </c>
      <c r="H390">
        <v>3</v>
      </c>
      <c r="I390">
        <v>65000</v>
      </c>
      <c r="J390" s="10">
        <v>0.05</v>
      </c>
      <c r="K390">
        <v>195000</v>
      </c>
      <c r="L390">
        <v>185250</v>
      </c>
      <c r="M390">
        <v>163800</v>
      </c>
      <c r="N390">
        <v>1192</v>
      </c>
      <c r="O390">
        <v>2292</v>
      </c>
      <c r="P390">
        <f>INDEX(Raw_product_master[Standard_Cost_Per_Unit],MATCH(Cleaned_Sales_data[[#This Row],[Product]],Raw_product_master[Product],0))</f>
        <v>54600</v>
      </c>
      <c r="Q390">
        <v>17966</v>
      </c>
      <c r="R390" s="11">
        <v>9.6982456140350906E-2</v>
      </c>
      <c r="S390" s="11">
        <f>INDEX(Raw_product_master[Target_Margin], MATCH(Cleaned_Sales_data[[#This Row],[Product]],Raw_product_master[Product], 0 ))</f>
        <v>0.12</v>
      </c>
      <c r="T390" t="str">
        <f>IF(Cleaned_Sales_data[[#This Row],[Profit]]&gt;0, "Profitable", "Loss")</f>
        <v>Profitable</v>
      </c>
      <c r="U390" t="str">
        <f>_xlfn.IFS(Cleaned_Sales_data[[#This Row],[Profit]]&gt;=10000, "High", Cleaned_Sales_data[[#This Row],[Profit]]&gt;=5000, "Medium", Cleaned_Sales_data[[#This Row],[Profit]]&gt;=0, "Low", Cleaned_Sales_data[[#This Row],[Profit]] &lt;0, "Loss")</f>
        <v>High</v>
      </c>
      <c r="V390" t="str">
        <f t="shared" si="6"/>
        <v>UnderPerforming</v>
      </c>
      <c r="W390" s="3">
        <v>45870</v>
      </c>
    </row>
    <row r="391" spans="1:23">
      <c r="A391" t="s">
        <v>163</v>
      </c>
      <c r="B391" s="3">
        <v>46003</v>
      </c>
      <c r="C391" t="s">
        <v>46</v>
      </c>
      <c r="D391" t="str">
        <f>INDEX(Raw_product_master[Category],MATCH(Cleaned_Sales_data[[#This Row],[Product]],Raw_product_master[Product],0))</f>
        <v>Office Equipment</v>
      </c>
      <c r="E391" t="s">
        <v>34</v>
      </c>
      <c r="F391" t="s">
        <v>26</v>
      </c>
      <c r="G391" t="s">
        <v>27</v>
      </c>
      <c r="H391">
        <v>2</v>
      </c>
      <c r="I391">
        <v>18000</v>
      </c>
      <c r="J391" s="10">
        <v>0.03</v>
      </c>
      <c r="K391">
        <v>36000</v>
      </c>
      <c r="L391">
        <v>34920</v>
      </c>
      <c r="M391">
        <v>28800</v>
      </c>
      <c r="N391">
        <v>222</v>
      </c>
      <c r="O391">
        <v>914</v>
      </c>
      <c r="P391">
        <f>INDEX(Raw_product_master[Standard_Cost_Per_Unit],MATCH(Cleaned_Sales_data[[#This Row],[Product]],Raw_product_master[Product],0))</f>
        <v>14400</v>
      </c>
      <c r="Q391">
        <v>4984</v>
      </c>
      <c r="R391" s="11">
        <v>0.142726231386025</v>
      </c>
      <c r="S391" s="11">
        <f>INDEX(Raw_product_master[Target_Margin], MATCH(Cleaned_Sales_data[[#This Row],[Product]],Raw_product_master[Product], 0 ))</f>
        <v>0.15</v>
      </c>
      <c r="T391" t="str">
        <f>IF(Cleaned_Sales_data[[#This Row],[Profit]]&gt;0, "Profitable", "Loss")</f>
        <v>Profitable</v>
      </c>
      <c r="U391" t="str">
        <f>_xlfn.IFS(Cleaned_Sales_data[[#This Row],[Profit]]&gt;=10000, "High", Cleaned_Sales_data[[#This Row],[Profit]]&gt;=5000, "Medium", Cleaned_Sales_data[[#This Row],[Profit]]&gt;=0, "Low", Cleaned_Sales_data[[#This Row],[Profit]] &lt;0, "Loss")</f>
        <v>Low</v>
      </c>
      <c r="V391" t="str">
        <f t="shared" si="6"/>
        <v>UnderPerforming</v>
      </c>
      <c r="W391" s="3">
        <v>45992</v>
      </c>
    </row>
    <row r="392" spans="1:23">
      <c r="A392" t="s">
        <v>195</v>
      </c>
      <c r="B392" s="3">
        <v>45945</v>
      </c>
      <c r="C392" t="s">
        <v>50</v>
      </c>
      <c r="D392" t="str">
        <f>INDEX(Raw_product_master[Category],MATCH(Cleaned_Sales_data[[#This Row],[Product]],Raw_product_master[Product],0))</f>
        <v>Accessories</v>
      </c>
      <c r="E392" t="s">
        <v>25</v>
      </c>
      <c r="F392" t="s">
        <v>26</v>
      </c>
      <c r="G392" t="s">
        <v>27</v>
      </c>
      <c r="H392">
        <v>2</v>
      </c>
      <c r="I392">
        <v>2500</v>
      </c>
      <c r="J392" s="10">
        <v>0</v>
      </c>
      <c r="K392">
        <v>5000</v>
      </c>
      <c r="L392">
        <v>5000</v>
      </c>
      <c r="M392">
        <v>3100</v>
      </c>
      <c r="N392">
        <v>1761</v>
      </c>
      <c r="O392">
        <v>146</v>
      </c>
      <c r="P392">
        <f>INDEX(Raw_product_master[Standard_Cost_Per_Unit],MATCH(Cleaned_Sales_data[[#This Row],[Product]],Raw_product_master[Product],0))</f>
        <v>1550</v>
      </c>
      <c r="Q392">
        <v>-7</v>
      </c>
      <c r="R392" s="11">
        <v>-1.4E-3</v>
      </c>
      <c r="S392" s="11">
        <f>INDEX(Raw_product_master[Target_Margin], MATCH(Cleaned_Sales_data[[#This Row],[Product]],Raw_product_master[Product], 0 ))</f>
        <v>0.25</v>
      </c>
      <c r="T392" t="str">
        <f>IF(Cleaned_Sales_data[[#This Row],[Profit]]&gt;0, "Profitable", "Loss")</f>
        <v>Loss</v>
      </c>
      <c r="U392" t="str">
        <f>_xlfn.IFS(Cleaned_Sales_data[[#This Row],[Profit]]&gt;=10000, "High", Cleaned_Sales_data[[#This Row],[Profit]]&gt;=5000, "Medium", Cleaned_Sales_data[[#This Row],[Profit]]&gt;=0, "Low", Cleaned_Sales_data[[#This Row],[Profit]] &lt;0, "Loss")</f>
        <v>Loss</v>
      </c>
      <c r="V392" t="str">
        <f t="shared" si="6"/>
        <v>UnderPerforming</v>
      </c>
      <c r="W392" s="3">
        <v>45931</v>
      </c>
    </row>
    <row r="393" spans="1:23">
      <c r="A393" t="s">
        <v>213</v>
      </c>
      <c r="B393" s="3">
        <v>45946</v>
      </c>
      <c r="C393" t="s">
        <v>30</v>
      </c>
      <c r="D393" t="str">
        <f>INDEX(Raw_product_master[Category],MATCH(Cleaned_Sales_data[[#This Row],[Product]],Raw_product_master[Product],0))</f>
        <v>Displays</v>
      </c>
      <c r="E393" t="s">
        <v>34</v>
      </c>
      <c r="F393" t="s">
        <v>26</v>
      </c>
      <c r="G393" t="s">
        <v>27</v>
      </c>
      <c r="H393">
        <v>3</v>
      </c>
      <c r="I393">
        <v>28000</v>
      </c>
      <c r="J393" s="10">
        <v>0.05</v>
      </c>
      <c r="K393">
        <v>84000</v>
      </c>
      <c r="L393">
        <v>79800</v>
      </c>
      <c r="M393">
        <v>65520</v>
      </c>
      <c r="N393">
        <v>239</v>
      </c>
      <c r="O393">
        <v>2096</v>
      </c>
      <c r="P393">
        <f>INDEX(Raw_product_master[Standard_Cost_Per_Unit],MATCH(Cleaned_Sales_data[[#This Row],[Product]],Raw_product_master[Product],0))</f>
        <v>21840</v>
      </c>
      <c r="Q393">
        <v>11945</v>
      </c>
      <c r="R393" s="11">
        <v>0.14968671679198001</v>
      </c>
      <c r="S393" s="11">
        <f>INDEX(Raw_product_master[Target_Margin], MATCH(Cleaned_Sales_data[[#This Row],[Product]],Raw_product_master[Product], 0 ))</f>
        <v>0.18</v>
      </c>
      <c r="T393" t="str">
        <f>IF(Cleaned_Sales_data[[#This Row],[Profit]]&gt;0, "Profitable", "Loss")</f>
        <v>Profitable</v>
      </c>
      <c r="U393" t="str">
        <f>_xlfn.IFS(Cleaned_Sales_data[[#This Row],[Profit]]&gt;=10000, "High", Cleaned_Sales_data[[#This Row],[Profit]]&gt;=5000, "Medium", Cleaned_Sales_data[[#This Row],[Profit]]&gt;=0, "Low", Cleaned_Sales_data[[#This Row],[Profit]] &lt;0, "Loss")</f>
        <v>High</v>
      </c>
      <c r="V393" t="str">
        <f t="shared" si="6"/>
        <v>UnderPerforming</v>
      </c>
      <c r="W393" s="3">
        <v>45931</v>
      </c>
    </row>
    <row r="394" spans="1:23">
      <c r="A394" t="s">
        <v>235</v>
      </c>
      <c r="B394" s="3">
        <v>46073</v>
      </c>
      <c r="C394" t="s">
        <v>50</v>
      </c>
      <c r="D394" t="str">
        <f>INDEX(Raw_product_master[Category],MATCH(Cleaned_Sales_data[[#This Row],[Product]],Raw_product_master[Product],0))</f>
        <v>Accessories</v>
      </c>
      <c r="E394" t="s">
        <v>63</v>
      </c>
      <c r="F394" t="s">
        <v>26</v>
      </c>
      <c r="G394" t="s">
        <v>27</v>
      </c>
      <c r="H394">
        <v>6</v>
      </c>
      <c r="I394">
        <v>2500</v>
      </c>
      <c r="J394" s="10">
        <v>0.08</v>
      </c>
      <c r="K394">
        <v>15000</v>
      </c>
      <c r="L394">
        <v>13800</v>
      </c>
      <c r="M394">
        <v>9300</v>
      </c>
      <c r="N394">
        <v>1296</v>
      </c>
      <c r="O394">
        <v>2370</v>
      </c>
      <c r="P394">
        <f>INDEX(Raw_product_master[Standard_Cost_Per_Unit],MATCH(Cleaned_Sales_data[[#This Row],[Product]],Raw_product_master[Product],0))</f>
        <v>1550</v>
      </c>
      <c r="Q394">
        <v>834</v>
      </c>
      <c r="R394" s="11">
        <v>6.04347826086956E-2</v>
      </c>
      <c r="S394" s="11">
        <f>INDEX(Raw_product_master[Target_Margin], MATCH(Cleaned_Sales_data[[#This Row],[Product]],Raw_product_master[Product], 0 ))</f>
        <v>0.25</v>
      </c>
      <c r="T394" t="str">
        <f>IF(Cleaned_Sales_data[[#This Row],[Profit]]&gt;0, "Profitable", "Loss")</f>
        <v>Profitable</v>
      </c>
      <c r="U394" t="str">
        <f>_xlfn.IFS(Cleaned_Sales_data[[#This Row],[Profit]]&gt;=10000, "High", Cleaned_Sales_data[[#This Row],[Profit]]&gt;=5000, "Medium", Cleaned_Sales_data[[#This Row],[Profit]]&gt;=0, "Low", Cleaned_Sales_data[[#This Row],[Profit]] &lt;0, "Loss")</f>
        <v>Low</v>
      </c>
      <c r="V394" t="str">
        <f t="shared" si="6"/>
        <v>UnderPerforming</v>
      </c>
      <c r="W394" s="3">
        <v>46054</v>
      </c>
    </row>
    <row r="395" spans="1:23">
      <c r="A395" t="s">
        <v>268</v>
      </c>
      <c r="B395" s="3">
        <v>46033</v>
      </c>
      <c r="C395" t="s">
        <v>53</v>
      </c>
      <c r="D395" t="str">
        <f>INDEX(Raw_product_master[Category],MATCH(Cleaned_Sales_data[[#This Row],[Product]],Raw_product_master[Product],0))</f>
        <v>Accessories</v>
      </c>
      <c r="E395" t="s">
        <v>51</v>
      </c>
      <c r="F395" t="s">
        <v>26</v>
      </c>
      <c r="G395" t="s">
        <v>27</v>
      </c>
      <c r="H395">
        <v>4</v>
      </c>
      <c r="I395">
        <v>1500</v>
      </c>
      <c r="J395" s="10">
        <v>0</v>
      </c>
      <c r="K395">
        <v>6000</v>
      </c>
      <c r="L395">
        <v>6000</v>
      </c>
      <c r="M395">
        <v>3300</v>
      </c>
      <c r="N395">
        <v>1608</v>
      </c>
      <c r="O395">
        <v>1295</v>
      </c>
      <c r="P395">
        <f>INDEX(Raw_product_master[Standard_Cost_Per_Unit],MATCH(Cleaned_Sales_data[[#This Row],[Product]],Raw_product_master[Product],0))</f>
        <v>825</v>
      </c>
      <c r="Q395">
        <v>-203</v>
      </c>
      <c r="R395" s="11">
        <v>-3.3833333333333403E-2</v>
      </c>
      <c r="S395" s="11">
        <f>INDEX(Raw_product_master[Target_Margin], MATCH(Cleaned_Sales_data[[#This Row],[Product]],Raw_product_master[Product], 0 ))</f>
        <v>0.3</v>
      </c>
      <c r="T395" t="str">
        <f>IF(Cleaned_Sales_data[[#This Row],[Profit]]&gt;0, "Profitable", "Loss")</f>
        <v>Loss</v>
      </c>
      <c r="U395" t="str">
        <f>_xlfn.IFS(Cleaned_Sales_data[[#This Row],[Profit]]&gt;=10000, "High", Cleaned_Sales_data[[#This Row],[Profit]]&gt;=5000, "Medium", Cleaned_Sales_data[[#This Row],[Profit]]&gt;=0, "Low", Cleaned_Sales_data[[#This Row],[Profit]] &lt;0, "Loss")</f>
        <v>Loss</v>
      </c>
      <c r="V395" t="str">
        <f t="shared" si="6"/>
        <v>UnderPerforming</v>
      </c>
      <c r="W395" s="3">
        <v>46023</v>
      </c>
    </row>
    <row r="396" spans="1:23">
      <c r="A396" t="s">
        <v>277</v>
      </c>
      <c r="B396" s="3">
        <v>45916</v>
      </c>
      <c r="C396" t="s">
        <v>61</v>
      </c>
      <c r="D396" t="str">
        <f>INDEX(Raw_product_master[Category],MATCH(Cleaned_Sales_data[[#This Row],[Product]],Raw_product_master[Product],0))</f>
        <v>Accessories</v>
      </c>
      <c r="E396" t="s">
        <v>34</v>
      </c>
      <c r="F396" t="s">
        <v>26</v>
      </c>
      <c r="G396" t="s">
        <v>27</v>
      </c>
      <c r="H396">
        <v>2</v>
      </c>
      <c r="I396">
        <v>4500</v>
      </c>
      <c r="J396" s="10">
        <v>0.08</v>
      </c>
      <c r="K396">
        <v>9000</v>
      </c>
      <c r="L396">
        <v>8280</v>
      </c>
      <c r="M396">
        <v>5850</v>
      </c>
      <c r="N396">
        <v>580</v>
      </c>
      <c r="O396">
        <v>157</v>
      </c>
      <c r="P396">
        <f>INDEX(Raw_product_master[Standard_Cost_Per_Unit],MATCH(Cleaned_Sales_data[[#This Row],[Product]],Raw_product_master[Product],0))</f>
        <v>2925</v>
      </c>
      <c r="Q396">
        <v>1693</v>
      </c>
      <c r="R396" s="11">
        <v>0.20446859903381601</v>
      </c>
      <c r="S396" s="11">
        <f>INDEX(Raw_product_master[Target_Margin], MATCH(Cleaned_Sales_data[[#This Row],[Product]],Raw_product_master[Product], 0 ))</f>
        <v>0.22</v>
      </c>
      <c r="T396" t="str">
        <f>IF(Cleaned_Sales_data[[#This Row],[Profit]]&gt;0, "Profitable", "Loss")</f>
        <v>Profitable</v>
      </c>
      <c r="U396" t="str">
        <f>_xlfn.IFS(Cleaned_Sales_data[[#This Row],[Profit]]&gt;=10000, "High", Cleaned_Sales_data[[#This Row],[Profit]]&gt;=5000, "Medium", Cleaned_Sales_data[[#This Row],[Profit]]&gt;=0, "Low", Cleaned_Sales_data[[#This Row],[Profit]] &lt;0, "Loss")</f>
        <v>Low</v>
      </c>
      <c r="V396" t="str">
        <f t="shared" si="6"/>
        <v>UnderPerforming</v>
      </c>
      <c r="W396" s="3">
        <v>45901</v>
      </c>
    </row>
    <row r="397" spans="1:23">
      <c r="A397" t="s">
        <v>278</v>
      </c>
      <c r="B397" s="3">
        <v>45773</v>
      </c>
      <c r="C397" t="s">
        <v>30</v>
      </c>
      <c r="D397" t="str">
        <f>INDEX(Raw_product_master[Category],MATCH(Cleaned_Sales_data[[#This Row],[Product]],Raw_product_master[Product],0))</f>
        <v>Displays</v>
      </c>
      <c r="E397" t="s">
        <v>34</v>
      </c>
      <c r="F397" t="s">
        <v>26</v>
      </c>
      <c r="G397" t="s">
        <v>27</v>
      </c>
      <c r="H397">
        <v>2</v>
      </c>
      <c r="I397">
        <v>28000</v>
      </c>
      <c r="J397" s="10">
        <v>0.08</v>
      </c>
      <c r="K397">
        <v>56000</v>
      </c>
      <c r="L397">
        <v>51520</v>
      </c>
      <c r="M397">
        <v>43680</v>
      </c>
      <c r="N397">
        <v>553</v>
      </c>
      <c r="O397">
        <v>1594</v>
      </c>
      <c r="P397">
        <f>INDEX(Raw_product_master[Standard_Cost_Per_Unit],MATCH(Cleaned_Sales_data[[#This Row],[Product]],Raw_product_master[Product],0))</f>
        <v>21840</v>
      </c>
      <c r="Q397">
        <v>5693</v>
      </c>
      <c r="R397" s="11">
        <v>0.110500776397516</v>
      </c>
      <c r="S397" s="11">
        <f>INDEX(Raw_product_master[Target_Margin], MATCH(Cleaned_Sales_data[[#This Row],[Product]],Raw_product_master[Product], 0 ))</f>
        <v>0.18</v>
      </c>
      <c r="T397" t="str">
        <f>IF(Cleaned_Sales_data[[#This Row],[Profit]]&gt;0, "Profitable", "Loss")</f>
        <v>Profitable</v>
      </c>
      <c r="U397" t="str">
        <f>_xlfn.IFS(Cleaned_Sales_data[[#This Row],[Profit]]&gt;=10000, "High", Cleaned_Sales_data[[#This Row],[Profit]]&gt;=5000, "Medium", Cleaned_Sales_data[[#This Row],[Profit]]&gt;=0, "Low", Cleaned_Sales_data[[#This Row],[Profit]] &lt;0, "Loss")</f>
        <v>Medium</v>
      </c>
      <c r="V397" t="str">
        <f t="shared" si="6"/>
        <v>UnderPerforming</v>
      </c>
      <c r="W397" s="3">
        <v>45748</v>
      </c>
    </row>
    <row r="398" spans="1:23">
      <c r="A398" t="s">
        <v>284</v>
      </c>
      <c r="B398" s="3">
        <v>45853</v>
      </c>
      <c r="C398" t="s">
        <v>75</v>
      </c>
      <c r="D398" t="str">
        <f>INDEX(Raw_product_master[Category],MATCH(Cleaned_Sales_data[[#This Row],[Product]],Raw_product_master[Product],0))</f>
        <v>Computers</v>
      </c>
      <c r="E398" t="s">
        <v>25</v>
      </c>
      <c r="F398" t="s">
        <v>26</v>
      </c>
      <c r="G398" t="s">
        <v>27</v>
      </c>
      <c r="H398">
        <v>3</v>
      </c>
      <c r="I398">
        <v>65000</v>
      </c>
      <c r="J398" s="10">
        <v>0.1</v>
      </c>
      <c r="K398">
        <v>195000</v>
      </c>
      <c r="L398">
        <v>175500</v>
      </c>
      <c r="M398">
        <v>163800</v>
      </c>
      <c r="N398">
        <v>1630</v>
      </c>
      <c r="O398">
        <v>1789</v>
      </c>
      <c r="P398">
        <f>INDEX(Raw_product_master[Standard_Cost_Per_Unit],MATCH(Cleaned_Sales_data[[#This Row],[Product]],Raw_product_master[Product],0))</f>
        <v>54600</v>
      </c>
      <c r="Q398">
        <v>8281</v>
      </c>
      <c r="R398" s="11">
        <v>4.7185185185185198E-2</v>
      </c>
      <c r="S398" s="11">
        <f>INDEX(Raw_product_master[Target_Margin], MATCH(Cleaned_Sales_data[[#This Row],[Product]],Raw_product_master[Product], 0 ))</f>
        <v>0.12</v>
      </c>
      <c r="T398" t="str">
        <f>IF(Cleaned_Sales_data[[#This Row],[Profit]]&gt;0, "Profitable", "Loss")</f>
        <v>Profitable</v>
      </c>
      <c r="U398" t="str">
        <f>_xlfn.IFS(Cleaned_Sales_data[[#This Row],[Profit]]&gt;=10000, "High", Cleaned_Sales_data[[#This Row],[Profit]]&gt;=5000, "Medium", Cleaned_Sales_data[[#This Row],[Profit]]&gt;=0, "Low", Cleaned_Sales_data[[#This Row],[Profit]] &lt;0, "Loss")</f>
        <v>Medium</v>
      </c>
      <c r="V398" t="str">
        <f t="shared" si="6"/>
        <v>UnderPerforming</v>
      </c>
      <c r="W398" s="3">
        <v>45839</v>
      </c>
    </row>
    <row r="399" spans="1:23">
      <c r="A399" t="s">
        <v>300</v>
      </c>
      <c r="B399" s="3">
        <v>46079</v>
      </c>
      <c r="C399" t="s">
        <v>30</v>
      </c>
      <c r="D399" t="str">
        <f>INDEX(Raw_product_master[Category],MATCH(Cleaned_Sales_data[[#This Row],[Product]],Raw_product_master[Product],0))</f>
        <v>Displays</v>
      </c>
      <c r="E399" t="s">
        <v>25</v>
      </c>
      <c r="F399" t="s">
        <v>26</v>
      </c>
      <c r="G399" t="s">
        <v>27</v>
      </c>
      <c r="H399">
        <v>3</v>
      </c>
      <c r="I399">
        <v>28000</v>
      </c>
      <c r="J399" s="10">
        <v>0.05</v>
      </c>
      <c r="K399">
        <v>84000</v>
      </c>
      <c r="L399">
        <v>79800</v>
      </c>
      <c r="M399">
        <v>65520</v>
      </c>
      <c r="N399">
        <v>1659</v>
      </c>
      <c r="O399">
        <v>2048</v>
      </c>
      <c r="P399">
        <f>INDEX(Raw_product_master[Standard_Cost_Per_Unit],MATCH(Cleaned_Sales_data[[#This Row],[Product]],Raw_product_master[Product],0))</f>
        <v>21840</v>
      </c>
      <c r="Q399">
        <v>10573</v>
      </c>
      <c r="R399" s="11">
        <v>0.13249373433584</v>
      </c>
      <c r="S399" s="11">
        <f>INDEX(Raw_product_master[Target_Margin], MATCH(Cleaned_Sales_data[[#This Row],[Product]],Raw_product_master[Product], 0 ))</f>
        <v>0.18</v>
      </c>
      <c r="T399" t="str">
        <f>IF(Cleaned_Sales_data[[#This Row],[Profit]]&gt;0, "Profitable", "Loss")</f>
        <v>Profitable</v>
      </c>
      <c r="U399" t="str">
        <f>_xlfn.IFS(Cleaned_Sales_data[[#This Row],[Profit]]&gt;=10000, "High", Cleaned_Sales_data[[#This Row],[Profit]]&gt;=5000, "Medium", Cleaned_Sales_data[[#This Row],[Profit]]&gt;=0, "Low", Cleaned_Sales_data[[#This Row],[Profit]] &lt;0, "Loss")</f>
        <v>High</v>
      </c>
      <c r="V399" t="str">
        <f t="shared" si="6"/>
        <v>UnderPerforming</v>
      </c>
      <c r="W399" s="3">
        <v>46054</v>
      </c>
    </row>
    <row r="400" spans="1:23">
      <c r="A400" t="s">
        <v>327</v>
      </c>
      <c r="B400" s="3">
        <v>45704</v>
      </c>
      <c r="C400" t="s">
        <v>75</v>
      </c>
      <c r="D400" t="str">
        <f>INDEX(Raw_product_master[Category],MATCH(Cleaned_Sales_data[[#This Row],[Product]],Raw_product_master[Product],0))</f>
        <v>Computers</v>
      </c>
      <c r="E400" t="s">
        <v>19</v>
      </c>
      <c r="F400" t="s">
        <v>26</v>
      </c>
      <c r="G400" t="s">
        <v>27</v>
      </c>
      <c r="H400">
        <v>1</v>
      </c>
      <c r="I400">
        <v>65000</v>
      </c>
      <c r="J400" s="10">
        <v>0.08</v>
      </c>
      <c r="K400">
        <v>65000</v>
      </c>
      <c r="L400">
        <v>59800</v>
      </c>
      <c r="M400">
        <v>54600</v>
      </c>
      <c r="N400">
        <v>859</v>
      </c>
      <c r="O400">
        <v>1875</v>
      </c>
      <c r="P400">
        <f>INDEX(Raw_product_master[Standard_Cost_Per_Unit],MATCH(Cleaned_Sales_data[[#This Row],[Product]],Raw_product_master[Product],0))</f>
        <v>54600</v>
      </c>
      <c r="Q400">
        <v>2466</v>
      </c>
      <c r="R400" s="11">
        <v>4.1237458193979899E-2</v>
      </c>
      <c r="S400" s="11">
        <f>INDEX(Raw_product_master[Target_Margin], MATCH(Cleaned_Sales_data[[#This Row],[Product]],Raw_product_master[Product], 0 ))</f>
        <v>0.12</v>
      </c>
      <c r="T400" t="str">
        <f>IF(Cleaned_Sales_data[[#This Row],[Profit]]&gt;0, "Profitable", "Loss")</f>
        <v>Profitable</v>
      </c>
      <c r="U400" t="str">
        <f>_xlfn.IFS(Cleaned_Sales_data[[#This Row],[Profit]]&gt;=10000, "High", Cleaned_Sales_data[[#This Row],[Profit]]&gt;=5000, "Medium", Cleaned_Sales_data[[#This Row],[Profit]]&gt;=0, "Low", Cleaned_Sales_data[[#This Row],[Profit]] &lt;0, "Loss")</f>
        <v>Low</v>
      </c>
      <c r="V400" t="str">
        <f t="shared" si="6"/>
        <v>UnderPerforming</v>
      </c>
      <c r="W400" s="3">
        <v>45689</v>
      </c>
    </row>
    <row r="401" spans="1:23">
      <c r="A401" t="s">
        <v>358</v>
      </c>
      <c r="B401" s="3">
        <v>45864</v>
      </c>
      <c r="C401" t="s">
        <v>61</v>
      </c>
      <c r="D401" t="str">
        <f>INDEX(Raw_product_master[Category],MATCH(Cleaned_Sales_data[[#This Row],[Product]],Raw_product_master[Product],0))</f>
        <v>Accessories</v>
      </c>
      <c r="E401" t="s">
        <v>25</v>
      </c>
      <c r="F401" t="s">
        <v>26</v>
      </c>
      <c r="G401" t="s">
        <v>27</v>
      </c>
      <c r="H401">
        <v>4</v>
      </c>
      <c r="I401">
        <v>4500</v>
      </c>
      <c r="J401" s="10">
        <v>0.15</v>
      </c>
      <c r="K401">
        <v>18000</v>
      </c>
      <c r="L401">
        <v>15300</v>
      </c>
      <c r="M401">
        <v>11700</v>
      </c>
      <c r="N401">
        <v>750</v>
      </c>
      <c r="O401">
        <v>492</v>
      </c>
      <c r="P401">
        <f>INDEX(Raw_product_master[Standard_Cost_Per_Unit],MATCH(Cleaned_Sales_data[[#This Row],[Product]],Raw_product_master[Product],0))</f>
        <v>2925</v>
      </c>
      <c r="Q401">
        <v>2358</v>
      </c>
      <c r="R401" s="11">
        <v>0.154117647058824</v>
      </c>
      <c r="S401" s="11">
        <f>INDEX(Raw_product_master[Target_Margin], MATCH(Cleaned_Sales_data[[#This Row],[Product]],Raw_product_master[Product], 0 ))</f>
        <v>0.22</v>
      </c>
      <c r="T401" t="str">
        <f>IF(Cleaned_Sales_data[[#This Row],[Profit]]&gt;0, "Profitable", "Loss")</f>
        <v>Profitable</v>
      </c>
      <c r="U401" t="str">
        <f>_xlfn.IFS(Cleaned_Sales_data[[#This Row],[Profit]]&gt;=10000, "High", Cleaned_Sales_data[[#This Row],[Profit]]&gt;=5000, "Medium", Cleaned_Sales_data[[#This Row],[Profit]]&gt;=0, "Low", Cleaned_Sales_data[[#This Row],[Profit]] &lt;0, "Loss")</f>
        <v>Low</v>
      </c>
      <c r="V401" t="str">
        <f t="shared" si="6"/>
        <v>UnderPerforming</v>
      </c>
      <c r="W401" s="3">
        <v>45839</v>
      </c>
    </row>
    <row r="402" spans="1:23">
      <c r="A402" t="s">
        <v>377</v>
      </c>
      <c r="B402" s="3">
        <v>45825</v>
      </c>
      <c r="C402" t="s">
        <v>61</v>
      </c>
      <c r="D402" t="str">
        <f>INDEX(Raw_product_master[Category],MATCH(Cleaned_Sales_data[[#This Row],[Product]],Raw_product_master[Product],0))</f>
        <v>Accessories</v>
      </c>
      <c r="E402" t="s">
        <v>31</v>
      </c>
      <c r="F402" t="s">
        <v>26</v>
      </c>
      <c r="G402" t="s">
        <v>27</v>
      </c>
      <c r="H402">
        <v>3</v>
      </c>
      <c r="I402">
        <v>4500</v>
      </c>
      <c r="J402" s="10">
        <v>0.05</v>
      </c>
      <c r="K402">
        <v>13500</v>
      </c>
      <c r="L402">
        <v>12825</v>
      </c>
      <c r="M402">
        <v>8775</v>
      </c>
      <c r="N402">
        <v>326</v>
      </c>
      <c r="O402">
        <v>100</v>
      </c>
      <c r="P402">
        <f>INDEX(Raw_product_master[Standard_Cost_Per_Unit],MATCH(Cleaned_Sales_data[[#This Row],[Product]],Raw_product_master[Product],0))</f>
        <v>2925</v>
      </c>
      <c r="Q402">
        <v>3624</v>
      </c>
      <c r="R402" s="11">
        <v>0.28257309941520498</v>
      </c>
      <c r="S402" s="11">
        <f>INDEX(Raw_product_master[Target_Margin], MATCH(Cleaned_Sales_data[[#This Row],[Product]],Raw_product_master[Product], 0 ))</f>
        <v>0.22</v>
      </c>
      <c r="T402" t="str">
        <f>IF(Cleaned_Sales_data[[#This Row],[Profit]]&gt;0, "Profitable", "Loss")</f>
        <v>Profitable</v>
      </c>
      <c r="U402" t="str">
        <f>_xlfn.IFS(Cleaned_Sales_data[[#This Row],[Profit]]&gt;=10000, "High", Cleaned_Sales_data[[#This Row],[Profit]]&gt;=5000, "Medium", Cleaned_Sales_data[[#This Row],[Profit]]&gt;=0, "Low", Cleaned_Sales_data[[#This Row],[Profit]] &lt;0, "Loss")</f>
        <v>Low</v>
      </c>
      <c r="V402" t="str">
        <f t="shared" si="6"/>
        <v>On Target</v>
      </c>
      <c r="W402" s="3">
        <v>45809</v>
      </c>
    </row>
    <row r="403" spans="1:23">
      <c r="A403" t="s">
        <v>399</v>
      </c>
      <c r="B403" s="3">
        <v>45924</v>
      </c>
      <c r="C403" t="s">
        <v>61</v>
      </c>
      <c r="D403" t="str">
        <f>INDEX(Raw_product_master[Category],MATCH(Cleaned_Sales_data[[#This Row],[Product]],Raw_product_master[Product],0))</f>
        <v>Accessories</v>
      </c>
      <c r="E403" t="s">
        <v>34</v>
      </c>
      <c r="F403" t="s">
        <v>26</v>
      </c>
      <c r="G403" t="s">
        <v>27</v>
      </c>
      <c r="H403">
        <v>3</v>
      </c>
      <c r="I403">
        <v>4500</v>
      </c>
      <c r="J403" s="10">
        <v>0</v>
      </c>
      <c r="K403">
        <v>13500</v>
      </c>
      <c r="L403">
        <v>13500</v>
      </c>
      <c r="M403">
        <v>8775</v>
      </c>
      <c r="N403">
        <v>1314</v>
      </c>
      <c r="O403">
        <v>1240</v>
      </c>
      <c r="P403">
        <f>INDEX(Raw_product_master[Standard_Cost_Per_Unit],MATCH(Cleaned_Sales_data[[#This Row],[Product]],Raw_product_master[Product],0))</f>
        <v>2925</v>
      </c>
      <c r="Q403">
        <v>2171</v>
      </c>
      <c r="R403" s="11">
        <v>0.16081481481481499</v>
      </c>
      <c r="S403" s="11">
        <f>INDEX(Raw_product_master[Target_Margin], MATCH(Cleaned_Sales_data[[#This Row],[Product]],Raw_product_master[Product], 0 ))</f>
        <v>0.22</v>
      </c>
      <c r="T403" t="str">
        <f>IF(Cleaned_Sales_data[[#This Row],[Profit]]&gt;0, "Profitable", "Loss")</f>
        <v>Profitable</v>
      </c>
      <c r="U403" t="str">
        <f>_xlfn.IFS(Cleaned_Sales_data[[#This Row],[Profit]]&gt;=10000, "High", Cleaned_Sales_data[[#This Row],[Profit]]&gt;=5000, "Medium", Cleaned_Sales_data[[#This Row],[Profit]]&gt;=0, "Low", Cleaned_Sales_data[[#This Row],[Profit]] &lt;0, "Loss")</f>
        <v>Low</v>
      </c>
      <c r="V403" t="str">
        <f t="shared" si="6"/>
        <v>UnderPerforming</v>
      </c>
      <c r="W403" s="3">
        <v>45901</v>
      </c>
    </row>
    <row r="404" spans="1:23">
      <c r="A404" t="s">
        <v>431</v>
      </c>
      <c r="B404" s="3">
        <v>46030</v>
      </c>
      <c r="C404" t="s">
        <v>53</v>
      </c>
      <c r="D404" t="str">
        <f>INDEX(Raw_product_master[Category],MATCH(Cleaned_Sales_data[[#This Row],[Product]],Raw_product_master[Product],0))</f>
        <v>Accessories</v>
      </c>
      <c r="E404" t="s">
        <v>31</v>
      </c>
      <c r="F404" t="s">
        <v>26</v>
      </c>
      <c r="G404" t="s">
        <v>27</v>
      </c>
      <c r="H404">
        <v>1</v>
      </c>
      <c r="I404">
        <v>1500</v>
      </c>
      <c r="J404" s="10">
        <v>0.05</v>
      </c>
      <c r="K404">
        <v>1500</v>
      </c>
      <c r="L404">
        <v>1425</v>
      </c>
      <c r="M404">
        <v>825</v>
      </c>
      <c r="N404">
        <v>1751</v>
      </c>
      <c r="O404">
        <v>819</v>
      </c>
      <c r="P404">
        <f>INDEX(Raw_product_master[Standard_Cost_Per_Unit],MATCH(Cleaned_Sales_data[[#This Row],[Product]],Raw_product_master[Product],0))</f>
        <v>825</v>
      </c>
      <c r="Q404">
        <v>-1970</v>
      </c>
      <c r="R404" s="11">
        <v>-1.3824561403508799</v>
      </c>
      <c r="S404" s="11">
        <f>INDEX(Raw_product_master[Target_Margin], MATCH(Cleaned_Sales_data[[#This Row],[Product]],Raw_product_master[Product], 0 ))</f>
        <v>0.3</v>
      </c>
      <c r="T404" t="str">
        <f>IF(Cleaned_Sales_data[[#This Row],[Profit]]&gt;0, "Profitable", "Loss")</f>
        <v>Loss</v>
      </c>
      <c r="U404" t="str">
        <f>_xlfn.IFS(Cleaned_Sales_data[[#This Row],[Profit]]&gt;=10000, "High", Cleaned_Sales_data[[#This Row],[Profit]]&gt;=5000, "Medium", Cleaned_Sales_data[[#This Row],[Profit]]&gt;=0, "Low", Cleaned_Sales_data[[#This Row],[Profit]] &lt;0, "Loss")</f>
        <v>Loss</v>
      </c>
      <c r="V404" t="str">
        <f t="shared" si="6"/>
        <v>UnderPerforming</v>
      </c>
      <c r="W404" s="3">
        <v>46023</v>
      </c>
    </row>
    <row r="405" spans="1:23">
      <c r="A405" t="s">
        <v>442</v>
      </c>
      <c r="B405" s="3">
        <v>45968</v>
      </c>
      <c r="C405" t="s">
        <v>50</v>
      </c>
      <c r="D405" t="str">
        <f>INDEX(Raw_product_master[Category],MATCH(Cleaned_Sales_data[[#This Row],[Product]],Raw_product_master[Product],0))</f>
        <v>Accessories</v>
      </c>
      <c r="E405" t="s">
        <v>34</v>
      </c>
      <c r="F405" t="s">
        <v>26</v>
      </c>
      <c r="G405" t="s">
        <v>27</v>
      </c>
      <c r="H405">
        <v>5</v>
      </c>
      <c r="I405">
        <v>2500</v>
      </c>
      <c r="J405" s="10">
        <v>0.05</v>
      </c>
      <c r="K405">
        <v>12500</v>
      </c>
      <c r="L405">
        <v>11875</v>
      </c>
      <c r="M405">
        <v>7750</v>
      </c>
      <c r="N405">
        <v>1242</v>
      </c>
      <c r="O405">
        <v>2106</v>
      </c>
      <c r="P405">
        <f>INDEX(Raw_product_master[Standard_Cost_Per_Unit],MATCH(Cleaned_Sales_data[[#This Row],[Product]],Raw_product_master[Product],0))</f>
        <v>1550</v>
      </c>
      <c r="Q405">
        <v>777</v>
      </c>
      <c r="R405" s="11">
        <v>6.5431578947368396E-2</v>
      </c>
      <c r="S405" s="11">
        <f>INDEX(Raw_product_master[Target_Margin], MATCH(Cleaned_Sales_data[[#This Row],[Product]],Raw_product_master[Product], 0 ))</f>
        <v>0.25</v>
      </c>
      <c r="T405" t="str">
        <f>IF(Cleaned_Sales_data[[#This Row],[Profit]]&gt;0, "Profitable", "Loss")</f>
        <v>Profitable</v>
      </c>
      <c r="U405" t="str">
        <f>_xlfn.IFS(Cleaned_Sales_data[[#This Row],[Profit]]&gt;=10000, "High", Cleaned_Sales_data[[#This Row],[Profit]]&gt;=5000, "Medium", Cleaned_Sales_data[[#This Row],[Profit]]&gt;=0, "Low", Cleaned_Sales_data[[#This Row],[Profit]] &lt;0, "Loss")</f>
        <v>Low</v>
      </c>
      <c r="V405" t="str">
        <f t="shared" si="6"/>
        <v>UnderPerforming</v>
      </c>
      <c r="W405" s="3">
        <v>45962</v>
      </c>
    </row>
    <row r="406" spans="1:23">
      <c r="A406" t="s">
        <v>467</v>
      </c>
      <c r="B406" s="3">
        <v>46076</v>
      </c>
      <c r="C406" t="s">
        <v>53</v>
      </c>
      <c r="D406" t="str">
        <f>INDEX(Raw_product_master[Category],MATCH(Cleaned_Sales_data[[#This Row],[Product]],Raw_product_master[Product],0))</f>
        <v>Accessories</v>
      </c>
      <c r="E406" t="s">
        <v>34</v>
      </c>
      <c r="F406" t="s">
        <v>26</v>
      </c>
      <c r="G406" t="s">
        <v>27</v>
      </c>
      <c r="H406">
        <v>4</v>
      </c>
      <c r="I406">
        <v>1500</v>
      </c>
      <c r="J406" s="10">
        <v>0.05</v>
      </c>
      <c r="K406">
        <v>6000</v>
      </c>
      <c r="L406">
        <v>5700</v>
      </c>
      <c r="M406">
        <v>3300</v>
      </c>
      <c r="N406">
        <v>1050</v>
      </c>
      <c r="O406">
        <v>142</v>
      </c>
      <c r="P406">
        <f>INDEX(Raw_product_master[Standard_Cost_Per_Unit],MATCH(Cleaned_Sales_data[[#This Row],[Product]],Raw_product_master[Product],0))</f>
        <v>825</v>
      </c>
      <c r="Q406">
        <v>1208</v>
      </c>
      <c r="R406" s="11">
        <v>0.211929824561403</v>
      </c>
      <c r="S406" s="11">
        <f>INDEX(Raw_product_master[Target_Margin], MATCH(Cleaned_Sales_data[[#This Row],[Product]],Raw_product_master[Product], 0 ))</f>
        <v>0.3</v>
      </c>
      <c r="T406" t="str">
        <f>IF(Cleaned_Sales_data[[#This Row],[Profit]]&gt;0, "Profitable", "Loss")</f>
        <v>Profitable</v>
      </c>
      <c r="U406" t="str">
        <f>_xlfn.IFS(Cleaned_Sales_data[[#This Row],[Profit]]&gt;=10000, "High", Cleaned_Sales_data[[#This Row],[Profit]]&gt;=5000, "Medium", Cleaned_Sales_data[[#This Row],[Profit]]&gt;=0, "Low", Cleaned_Sales_data[[#This Row],[Profit]] &lt;0, "Loss")</f>
        <v>Low</v>
      </c>
      <c r="V406" t="str">
        <f t="shared" si="6"/>
        <v>UnderPerforming</v>
      </c>
      <c r="W406" s="3">
        <v>46054</v>
      </c>
    </row>
    <row r="407" spans="1:23">
      <c r="A407" t="s">
        <v>513</v>
      </c>
      <c r="B407" s="3">
        <v>45949</v>
      </c>
      <c r="C407" t="s">
        <v>46</v>
      </c>
      <c r="D407" t="str">
        <f>INDEX(Raw_product_master[Category],MATCH(Cleaned_Sales_data[[#This Row],[Product]],Raw_product_master[Product],0))</f>
        <v>Office Equipment</v>
      </c>
      <c r="E407" t="s">
        <v>31</v>
      </c>
      <c r="F407" t="s">
        <v>26</v>
      </c>
      <c r="G407" t="s">
        <v>27</v>
      </c>
      <c r="H407">
        <v>2</v>
      </c>
      <c r="I407">
        <v>18000</v>
      </c>
      <c r="J407" s="10">
        <v>0.05</v>
      </c>
      <c r="K407">
        <v>36000</v>
      </c>
      <c r="L407">
        <v>34200</v>
      </c>
      <c r="M407">
        <v>28800</v>
      </c>
      <c r="N407">
        <v>950</v>
      </c>
      <c r="O407">
        <v>2332</v>
      </c>
      <c r="P407">
        <f>INDEX(Raw_product_master[Standard_Cost_Per_Unit],MATCH(Cleaned_Sales_data[[#This Row],[Product]],Raw_product_master[Product],0))</f>
        <v>14400</v>
      </c>
      <c r="Q407">
        <v>2118</v>
      </c>
      <c r="R407" s="11">
        <v>6.1929824561403501E-2</v>
      </c>
      <c r="S407" s="11">
        <f>INDEX(Raw_product_master[Target_Margin], MATCH(Cleaned_Sales_data[[#This Row],[Product]],Raw_product_master[Product], 0 ))</f>
        <v>0.15</v>
      </c>
      <c r="T407" t="str">
        <f>IF(Cleaned_Sales_data[[#This Row],[Profit]]&gt;0, "Profitable", "Loss")</f>
        <v>Profitable</v>
      </c>
      <c r="U407" t="str">
        <f>_xlfn.IFS(Cleaned_Sales_data[[#This Row],[Profit]]&gt;=10000, "High", Cleaned_Sales_data[[#This Row],[Profit]]&gt;=5000, "Medium", Cleaned_Sales_data[[#This Row],[Profit]]&gt;=0, "Low", Cleaned_Sales_data[[#This Row],[Profit]] &lt;0, "Loss")</f>
        <v>Low</v>
      </c>
      <c r="V407" t="str">
        <f t="shared" si="6"/>
        <v>UnderPerforming</v>
      </c>
      <c r="W407" s="3">
        <v>45931</v>
      </c>
    </row>
    <row r="408" spans="1:23">
      <c r="A408" t="s">
        <v>537</v>
      </c>
      <c r="B408" s="3">
        <v>45953</v>
      </c>
      <c r="C408" t="s">
        <v>46</v>
      </c>
      <c r="D408" t="str">
        <f>INDEX(Raw_product_master[Category],MATCH(Cleaned_Sales_data[[#This Row],[Product]],Raw_product_master[Product],0))</f>
        <v>Office Equipment</v>
      </c>
      <c r="E408" t="s">
        <v>34</v>
      </c>
      <c r="F408" t="s">
        <v>26</v>
      </c>
      <c r="G408" t="s">
        <v>27</v>
      </c>
      <c r="H408">
        <v>1</v>
      </c>
      <c r="I408">
        <v>18000</v>
      </c>
      <c r="J408" s="10">
        <v>0.08</v>
      </c>
      <c r="K408">
        <v>18000</v>
      </c>
      <c r="L408">
        <v>16560</v>
      </c>
      <c r="M408">
        <v>14400</v>
      </c>
      <c r="N408">
        <v>1266</v>
      </c>
      <c r="O408">
        <v>306</v>
      </c>
      <c r="P408">
        <f>INDEX(Raw_product_master[Standard_Cost_Per_Unit],MATCH(Cleaned_Sales_data[[#This Row],[Product]],Raw_product_master[Product],0))</f>
        <v>14400</v>
      </c>
      <c r="Q408">
        <v>588</v>
      </c>
      <c r="R408" s="11">
        <v>3.5507246376811602E-2</v>
      </c>
      <c r="S408" s="11">
        <f>INDEX(Raw_product_master[Target_Margin], MATCH(Cleaned_Sales_data[[#This Row],[Product]],Raw_product_master[Product], 0 ))</f>
        <v>0.15</v>
      </c>
      <c r="T408" t="str">
        <f>IF(Cleaned_Sales_data[[#This Row],[Profit]]&gt;0, "Profitable", "Loss")</f>
        <v>Profitable</v>
      </c>
      <c r="U408" t="str">
        <f>_xlfn.IFS(Cleaned_Sales_data[[#This Row],[Profit]]&gt;=10000, "High", Cleaned_Sales_data[[#This Row],[Profit]]&gt;=5000, "Medium", Cleaned_Sales_data[[#This Row],[Profit]]&gt;=0, "Low", Cleaned_Sales_data[[#This Row],[Profit]] &lt;0, "Loss")</f>
        <v>Low</v>
      </c>
      <c r="V408" t="str">
        <f t="shared" si="6"/>
        <v>UnderPerforming</v>
      </c>
      <c r="W408" s="3">
        <v>45931</v>
      </c>
    </row>
    <row r="409" spans="1:23">
      <c r="A409" t="s">
        <v>542</v>
      </c>
      <c r="B409" s="3">
        <v>45925</v>
      </c>
      <c r="C409" t="s">
        <v>61</v>
      </c>
      <c r="D409" t="str">
        <f>INDEX(Raw_product_master[Category],MATCH(Cleaned_Sales_data[[#This Row],[Product]],Raw_product_master[Product],0))</f>
        <v>Accessories</v>
      </c>
      <c r="E409" t="s">
        <v>63</v>
      </c>
      <c r="F409" t="s">
        <v>26</v>
      </c>
      <c r="G409" t="s">
        <v>27</v>
      </c>
      <c r="H409">
        <v>6</v>
      </c>
      <c r="I409">
        <v>4500</v>
      </c>
      <c r="J409" s="10">
        <v>0.05</v>
      </c>
      <c r="K409">
        <v>27000</v>
      </c>
      <c r="L409">
        <v>25650</v>
      </c>
      <c r="M409">
        <v>17550</v>
      </c>
      <c r="N409">
        <v>1532</v>
      </c>
      <c r="O409">
        <v>1754</v>
      </c>
      <c r="P409">
        <f>INDEX(Raw_product_master[Standard_Cost_Per_Unit],MATCH(Cleaned_Sales_data[[#This Row],[Product]],Raw_product_master[Product],0))</f>
        <v>2925</v>
      </c>
      <c r="Q409">
        <v>4814</v>
      </c>
      <c r="R409" s="11">
        <v>0.187680311890838</v>
      </c>
      <c r="S409" s="11">
        <f>INDEX(Raw_product_master[Target_Margin], MATCH(Cleaned_Sales_data[[#This Row],[Product]],Raw_product_master[Product], 0 ))</f>
        <v>0.22</v>
      </c>
      <c r="T409" t="str">
        <f>IF(Cleaned_Sales_data[[#This Row],[Profit]]&gt;0, "Profitable", "Loss")</f>
        <v>Profitable</v>
      </c>
      <c r="U409" t="str">
        <f>_xlfn.IFS(Cleaned_Sales_data[[#This Row],[Profit]]&gt;=10000, "High", Cleaned_Sales_data[[#This Row],[Profit]]&gt;=5000, "Medium", Cleaned_Sales_data[[#This Row],[Profit]]&gt;=0, "Low", Cleaned_Sales_data[[#This Row],[Profit]] &lt;0, "Loss")</f>
        <v>Low</v>
      </c>
      <c r="V409" t="str">
        <f t="shared" si="6"/>
        <v>UnderPerforming</v>
      </c>
      <c r="W409" s="3">
        <v>45901</v>
      </c>
    </row>
    <row r="410" spans="1:23">
      <c r="A410" t="s">
        <v>614</v>
      </c>
      <c r="B410" s="3">
        <v>46041</v>
      </c>
      <c r="C410" t="s">
        <v>18</v>
      </c>
      <c r="D410" t="str">
        <f>INDEX(Raw_product_master[Category],MATCH(Cleaned_Sales_data[[#This Row],[Product]],Raw_product_master[Product],0))</f>
        <v>Computers</v>
      </c>
      <c r="E410" t="s">
        <v>19</v>
      </c>
      <c r="F410" t="s">
        <v>26</v>
      </c>
      <c r="G410" t="s">
        <v>27</v>
      </c>
      <c r="H410">
        <v>3</v>
      </c>
      <c r="I410">
        <v>32000</v>
      </c>
      <c r="J410" s="10">
        <v>0</v>
      </c>
      <c r="K410">
        <v>96000</v>
      </c>
      <c r="L410">
        <v>96000</v>
      </c>
      <c r="M410">
        <v>78720</v>
      </c>
      <c r="N410">
        <v>689</v>
      </c>
      <c r="O410">
        <v>1282</v>
      </c>
      <c r="P410">
        <f>INDEX(Raw_product_master[Standard_Cost_Per_Unit],MATCH(Cleaned_Sales_data[[#This Row],[Product]],Raw_product_master[Product],0))</f>
        <v>26240</v>
      </c>
      <c r="Q410">
        <v>15309</v>
      </c>
      <c r="R410" s="11">
        <v>0.15946874999999999</v>
      </c>
      <c r="S410" s="11">
        <f>INDEX(Raw_product_master[Target_Margin], MATCH(Cleaned_Sales_data[[#This Row],[Product]],Raw_product_master[Product], 0 ))</f>
        <v>0.12</v>
      </c>
      <c r="T410" t="str">
        <f>IF(Cleaned_Sales_data[[#This Row],[Profit]]&gt;0, "Profitable", "Loss")</f>
        <v>Profitable</v>
      </c>
      <c r="U410" t="str">
        <f>_xlfn.IFS(Cleaned_Sales_data[[#This Row],[Profit]]&gt;=10000, "High", Cleaned_Sales_data[[#This Row],[Profit]]&gt;=5000, "Medium", Cleaned_Sales_data[[#This Row],[Profit]]&gt;=0, "Low", Cleaned_Sales_data[[#This Row],[Profit]] &lt;0, "Loss")</f>
        <v>High</v>
      </c>
      <c r="V410" t="str">
        <f t="shared" si="6"/>
        <v>On Target</v>
      </c>
      <c r="W410" s="3">
        <v>46023</v>
      </c>
    </row>
    <row r="411" spans="1:23">
      <c r="A411" t="s">
        <v>642</v>
      </c>
      <c r="B411" s="3">
        <v>46078</v>
      </c>
      <c r="C411" t="s">
        <v>61</v>
      </c>
      <c r="D411" t="str">
        <f>INDEX(Raw_product_master[Category],MATCH(Cleaned_Sales_data[[#This Row],[Product]],Raw_product_master[Product],0))</f>
        <v>Accessories</v>
      </c>
      <c r="E411" t="s">
        <v>34</v>
      </c>
      <c r="F411" t="s">
        <v>26</v>
      </c>
      <c r="G411" t="s">
        <v>27</v>
      </c>
      <c r="H411">
        <v>6</v>
      </c>
      <c r="I411">
        <v>4500</v>
      </c>
      <c r="J411" s="10">
        <v>0.05</v>
      </c>
      <c r="K411">
        <v>27000</v>
      </c>
      <c r="L411">
        <v>25650</v>
      </c>
      <c r="M411">
        <v>17550</v>
      </c>
      <c r="N411">
        <v>1786</v>
      </c>
      <c r="O411">
        <v>1752</v>
      </c>
      <c r="P411">
        <f>INDEX(Raw_product_master[Standard_Cost_Per_Unit],MATCH(Cleaned_Sales_data[[#This Row],[Product]],Raw_product_master[Product],0))</f>
        <v>2925</v>
      </c>
      <c r="Q411">
        <v>4562</v>
      </c>
      <c r="R411" s="11">
        <v>0.17785575048732899</v>
      </c>
      <c r="S411" s="11">
        <f>INDEX(Raw_product_master[Target_Margin], MATCH(Cleaned_Sales_data[[#This Row],[Product]],Raw_product_master[Product], 0 ))</f>
        <v>0.22</v>
      </c>
      <c r="T411" t="str">
        <f>IF(Cleaned_Sales_data[[#This Row],[Profit]]&gt;0, "Profitable", "Loss")</f>
        <v>Profitable</v>
      </c>
      <c r="U411" t="str">
        <f>_xlfn.IFS(Cleaned_Sales_data[[#This Row],[Profit]]&gt;=10000, "High", Cleaned_Sales_data[[#This Row],[Profit]]&gt;=5000, "Medium", Cleaned_Sales_data[[#This Row],[Profit]]&gt;=0, "Low", Cleaned_Sales_data[[#This Row],[Profit]] &lt;0, "Loss")</f>
        <v>Low</v>
      </c>
      <c r="V411" t="str">
        <f t="shared" si="6"/>
        <v>UnderPerforming</v>
      </c>
      <c r="W411" s="3">
        <v>46054</v>
      </c>
    </row>
    <row r="412" spans="1:23">
      <c r="A412" t="s">
        <v>666</v>
      </c>
      <c r="B412" s="3">
        <v>45828</v>
      </c>
      <c r="C412" t="s">
        <v>53</v>
      </c>
      <c r="D412" t="str">
        <f>INDEX(Raw_product_master[Category],MATCH(Cleaned_Sales_data[[#This Row],[Product]],Raw_product_master[Product],0))</f>
        <v>Accessories</v>
      </c>
      <c r="E412" t="s">
        <v>34</v>
      </c>
      <c r="F412" t="s">
        <v>26</v>
      </c>
      <c r="G412" t="s">
        <v>27</v>
      </c>
      <c r="H412">
        <v>2</v>
      </c>
      <c r="I412">
        <v>1500</v>
      </c>
      <c r="J412" s="10">
        <v>0.1</v>
      </c>
      <c r="K412">
        <v>3000</v>
      </c>
      <c r="L412">
        <v>2700</v>
      </c>
      <c r="M412">
        <v>1650</v>
      </c>
      <c r="N412">
        <v>1136</v>
      </c>
      <c r="O412">
        <v>519</v>
      </c>
      <c r="P412">
        <f>INDEX(Raw_product_master[Standard_Cost_Per_Unit],MATCH(Cleaned_Sales_data[[#This Row],[Product]],Raw_product_master[Product],0))</f>
        <v>825</v>
      </c>
      <c r="Q412">
        <v>-605</v>
      </c>
      <c r="R412" s="11">
        <v>-0.22407407407407401</v>
      </c>
      <c r="S412" s="11">
        <f>INDEX(Raw_product_master[Target_Margin], MATCH(Cleaned_Sales_data[[#This Row],[Product]],Raw_product_master[Product], 0 ))</f>
        <v>0.3</v>
      </c>
      <c r="T412" t="str">
        <f>IF(Cleaned_Sales_data[[#This Row],[Profit]]&gt;0, "Profitable", "Loss")</f>
        <v>Loss</v>
      </c>
      <c r="U412" t="str">
        <f>_xlfn.IFS(Cleaned_Sales_data[[#This Row],[Profit]]&gt;=10000, "High", Cleaned_Sales_data[[#This Row],[Profit]]&gt;=5000, "Medium", Cleaned_Sales_data[[#This Row],[Profit]]&gt;=0, "Low", Cleaned_Sales_data[[#This Row],[Profit]] &lt;0, "Loss")</f>
        <v>Loss</v>
      </c>
      <c r="V412" t="str">
        <f t="shared" si="6"/>
        <v>UnderPerforming</v>
      </c>
      <c r="W412" s="3">
        <v>45809</v>
      </c>
    </row>
    <row r="413" spans="1:23">
      <c r="A413" t="s">
        <v>748</v>
      </c>
      <c r="B413" s="3">
        <v>45840</v>
      </c>
      <c r="C413" t="s">
        <v>53</v>
      </c>
      <c r="D413" t="str">
        <f>INDEX(Raw_product_master[Category],MATCH(Cleaned_Sales_data[[#This Row],[Product]],Raw_product_master[Product],0))</f>
        <v>Accessories</v>
      </c>
      <c r="E413" t="s">
        <v>31</v>
      </c>
      <c r="F413" t="s">
        <v>26</v>
      </c>
      <c r="G413" t="s">
        <v>27</v>
      </c>
      <c r="H413">
        <v>2</v>
      </c>
      <c r="I413">
        <v>1500</v>
      </c>
      <c r="J413" s="10">
        <v>0.03</v>
      </c>
      <c r="K413">
        <v>3000</v>
      </c>
      <c r="L413">
        <v>2910</v>
      </c>
      <c r="M413">
        <v>1650</v>
      </c>
      <c r="N413">
        <v>757</v>
      </c>
      <c r="O413">
        <v>998</v>
      </c>
      <c r="P413">
        <f>INDEX(Raw_product_master[Standard_Cost_Per_Unit],MATCH(Cleaned_Sales_data[[#This Row],[Product]],Raw_product_master[Product],0))</f>
        <v>825</v>
      </c>
      <c r="Q413">
        <v>-495</v>
      </c>
      <c r="R413" s="11">
        <v>-0.17010309278350499</v>
      </c>
      <c r="S413" s="11">
        <f>INDEX(Raw_product_master[Target_Margin], MATCH(Cleaned_Sales_data[[#This Row],[Product]],Raw_product_master[Product], 0 ))</f>
        <v>0.3</v>
      </c>
      <c r="T413" t="str">
        <f>IF(Cleaned_Sales_data[[#This Row],[Profit]]&gt;0, "Profitable", "Loss")</f>
        <v>Loss</v>
      </c>
      <c r="U413" t="str">
        <f>_xlfn.IFS(Cleaned_Sales_data[[#This Row],[Profit]]&gt;=10000, "High", Cleaned_Sales_data[[#This Row],[Profit]]&gt;=5000, "Medium", Cleaned_Sales_data[[#This Row],[Profit]]&gt;=0, "Low", Cleaned_Sales_data[[#This Row],[Profit]] &lt;0, "Loss")</f>
        <v>Loss</v>
      </c>
      <c r="V413" t="str">
        <f t="shared" si="6"/>
        <v>UnderPerforming</v>
      </c>
      <c r="W413" s="3">
        <v>45839</v>
      </c>
    </row>
    <row r="414" spans="1:23">
      <c r="A414" t="s">
        <v>783</v>
      </c>
      <c r="B414" s="3">
        <v>45708</v>
      </c>
      <c r="C414" t="s">
        <v>61</v>
      </c>
      <c r="D414" t="str">
        <f>INDEX(Raw_product_master[Category],MATCH(Cleaned_Sales_data[[#This Row],[Product]],Raw_product_master[Product],0))</f>
        <v>Accessories</v>
      </c>
      <c r="E414" t="s">
        <v>19</v>
      </c>
      <c r="F414" t="s">
        <v>26</v>
      </c>
      <c r="G414" t="s">
        <v>27</v>
      </c>
      <c r="H414">
        <v>7</v>
      </c>
      <c r="I414">
        <v>4500</v>
      </c>
      <c r="J414" s="10">
        <v>0.08</v>
      </c>
      <c r="K414">
        <v>31500</v>
      </c>
      <c r="L414">
        <v>28980</v>
      </c>
      <c r="M414">
        <v>20475</v>
      </c>
      <c r="N414">
        <v>1590</v>
      </c>
      <c r="O414">
        <v>1291</v>
      </c>
      <c r="P414">
        <f>INDEX(Raw_product_master[Standard_Cost_Per_Unit],MATCH(Cleaned_Sales_data[[#This Row],[Product]],Raw_product_master[Product],0))</f>
        <v>2925</v>
      </c>
      <c r="Q414">
        <v>5624</v>
      </c>
      <c r="R414" s="11">
        <v>0.19406487232574199</v>
      </c>
      <c r="S414" s="11">
        <f>INDEX(Raw_product_master[Target_Margin], MATCH(Cleaned_Sales_data[[#This Row],[Product]],Raw_product_master[Product], 0 ))</f>
        <v>0.22</v>
      </c>
      <c r="T414" t="str">
        <f>IF(Cleaned_Sales_data[[#This Row],[Profit]]&gt;0, "Profitable", "Loss")</f>
        <v>Profitable</v>
      </c>
      <c r="U414" t="str">
        <f>_xlfn.IFS(Cleaned_Sales_data[[#This Row],[Profit]]&gt;=10000, "High", Cleaned_Sales_data[[#This Row],[Profit]]&gt;=5000, "Medium", Cleaned_Sales_data[[#This Row],[Profit]]&gt;=0, "Low", Cleaned_Sales_data[[#This Row],[Profit]] &lt;0, "Loss")</f>
        <v>Medium</v>
      </c>
      <c r="V414" t="str">
        <f t="shared" si="6"/>
        <v>UnderPerforming</v>
      </c>
      <c r="W414" s="3">
        <v>45689</v>
      </c>
    </row>
    <row r="415" spans="1:23">
      <c r="A415" t="s">
        <v>789</v>
      </c>
      <c r="B415" s="3">
        <v>46051</v>
      </c>
      <c r="C415" t="s">
        <v>46</v>
      </c>
      <c r="D415" t="str">
        <f>INDEX(Raw_product_master[Category],MATCH(Cleaned_Sales_data[[#This Row],[Product]],Raw_product_master[Product],0))</f>
        <v>Office Equipment</v>
      </c>
      <c r="E415" t="s">
        <v>25</v>
      </c>
      <c r="F415" t="s">
        <v>26</v>
      </c>
      <c r="G415" t="s">
        <v>27</v>
      </c>
      <c r="H415">
        <v>2</v>
      </c>
      <c r="I415">
        <v>18000</v>
      </c>
      <c r="J415" s="10">
        <v>0.05</v>
      </c>
      <c r="K415">
        <v>36000</v>
      </c>
      <c r="L415">
        <v>34200</v>
      </c>
      <c r="M415">
        <v>28800</v>
      </c>
      <c r="N415">
        <v>430</v>
      </c>
      <c r="O415">
        <v>552</v>
      </c>
      <c r="P415">
        <f>INDEX(Raw_product_master[Standard_Cost_Per_Unit],MATCH(Cleaned_Sales_data[[#This Row],[Product]],Raw_product_master[Product],0))</f>
        <v>14400</v>
      </c>
      <c r="Q415">
        <v>4418</v>
      </c>
      <c r="R415" s="11">
        <v>0.12918128654970801</v>
      </c>
      <c r="S415" s="11">
        <f>INDEX(Raw_product_master[Target_Margin], MATCH(Cleaned_Sales_data[[#This Row],[Product]],Raw_product_master[Product], 0 ))</f>
        <v>0.15</v>
      </c>
      <c r="T415" t="str">
        <f>IF(Cleaned_Sales_data[[#This Row],[Profit]]&gt;0, "Profitable", "Loss")</f>
        <v>Profitable</v>
      </c>
      <c r="U415" t="str">
        <f>_xlfn.IFS(Cleaned_Sales_data[[#This Row],[Profit]]&gt;=10000, "High", Cleaned_Sales_data[[#This Row],[Profit]]&gt;=5000, "Medium", Cleaned_Sales_data[[#This Row],[Profit]]&gt;=0, "Low", Cleaned_Sales_data[[#This Row],[Profit]] &lt;0, "Loss")</f>
        <v>Low</v>
      </c>
      <c r="V415" t="str">
        <f t="shared" si="6"/>
        <v>UnderPerforming</v>
      </c>
      <c r="W415" s="3">
        <v>46023</v>
      </c>
    </row>
    <row r="416" spans="1:23">
      <c r="A416" t="s">
        <v>800</v>
      </c>
      <c r="B416" s="3">
        <v>45671</v>
      </c>
      <c r="C416" t="s">
        <v>53</v>
      </c>
      <c r="D416" t="str">
        <f>INDEX(Raw_product_master[Category],MATCH(Cleaned_Sales_data[[#This Row],[Product]],Raw_product_master[Product],0))</f>
        <v>Accessories</v>
      </c>
      <c r="E416" t="s">
        <v>51</v>
      </c>
      <c r="F416" t="s">
        <v>26</v>
      </c>
      <c r="G416" t="s">
        <v>27</v>
      </c>
      <c r="H416">
        <v>5</v>
      </c>
      <c r="I416">
        <v>1500</v>
      </c>
      <c r="J416" s="10">
        <v>0.03</v>
      </c>
      <c r="K416">
        <v>7500</v>
      </c>
      <c r="L416">
        <v>7275</v>
      </c>
      <c r="M416">
        <v>4125</v>
      </c>
      <c r="N416">
        <v>506</v>
      </c>
      <c r="O416">
        <v>1787</v>
      </c>
      <c r="P416">
        <f>INDEX(Raw_product_master[Standard_Cost_Per_Unit],MATCH(Cleaned_Sales_data[[#This Row],[Product]],Raw_product_master[Product],0))</f>
        <v>825</v>
      </c>
      <c r="Q416">
        <v>857</v>
      </c>
      <c r="R416" s="11">
        <v>0.117800687285223</v>
      </c>
      <c r="S416" s="11">
        <f>INDEX(Raw_product_master[Target_Margin], MATCH(Cleaned_Sales_data[[#This Row],[Product]],Raw_product_master[Product], 0 ))</f>
        <v>0.3</v>
      </c>
      <c r="T416" t="str">
        <f>IF(Cleaned_Sales_data[[#This Row],[Profit]]&gt;0, "Profitable", "Loss")</f>
        <v>Profitable</v>
      </c>
      <c r="U416" t="str">
        <f>_xlfn.IFS(Cleaned_Sales_data[[#This Row],[Profit]]&gt;=10000, "High", Cleaned_Sales_data[[#This Row],[Profit]]&gt;=5000, "Medium", Cleaned_Sales_data[[#This Row],[Profit]]&gt;=0, "Low", Cleaned_Sales_data[[#This Row],[Profit]] &lt;0, "Loss")</f>
        <v>Low</v>
      </c>
      <c r="V416" t="str">
        <f t="shared" si="6"/>
        <v>UnderPerforming</v>
      </c>
      <c r="W416" s="3">
        <v>45658</v>
      </c>
    </row>
    <row r="417" spans="1:23">
      <c r="A417" t="s">
        <v>57</v>
      </c>
      <c r="B417" s="3">
        <v>45898</v>
      </c>
      <c r="C417" t="s">
        <v>50</v>
      </c>
      <c r="D417" t="str">
        <f>INDEX(Raw_product_master[Category],MATCH(Cleaned_Sales_data[[#This Row],[Product]],Raw_product_master[Product],0))</f>
        <v>Accessories</v>
      </c>
      <c r="E417" t="s">
        <v>31</v>
      </c>
      <c r="F417" t="s">
        <v>26</v>
      </c>
      <c r="G417" t="s">
        <v>21</v>
      </c>
      <c r="H417">
        <v>1</v>
      </c>
      <c r="I417">
        <v>2500</v>
      </c>
      <c r="J417" s="10">
        <v>0.1</v>
      </c>
      <c r="K417">
        <v>2500</v>
      </c>
      <c r="L417">
        <v>2250</v>
      </c>
      <c r="M417">
        <v>1550</v>
      </c>
      <c r="N417">
        <v>1777</v>
      </c>
      <c r="O417">
        <v>1584</v>
      </c>
      <c r="P417">
        <f>INDEX(Raw_product_master[Standard_Cost_Per_Unit],MATCH(Cleaned_Sales_data[[#This Row],[Product]],Raw_product_master[Product],0))</f>
        <v>1550</v>
      </c>
      <c r="Q417">
        <v>-2661</v>
      </c>
      <c r="R417" s="11">
        <v>-1.1826666666666701</v>
      </c>
      <c r="S417" s="11">
        <f>INDEX(Raw_product_master[Target_Margin], MATCH(Cleaned_Sales_data[[#This Row],[Product]],Raw_product_master[Product], 0 ))</f>
        <v>0.25</v>
      </c>
      <c r="T417" t="str">
        <f>IF(Cleaned_Sales_data[[#This Row],[Profit]]&gt;0, "Profitable", "Loss")</f>
        <v>Loss</v>
      </c>
      <c r="U417" t="str">
        <f>_xlfn.IFS(Cleaned_Sales_data[[#This Row],[Profit]]&gt;=10000, "High", Cleaned_Sales_data[[#This Row],[Profit]]&gt;=5000, "Medium", Cleaned_Sales_data[[#This Row],[Profit]]&gt;=0, "Low", Cleaned_Sales_data[[#This Row],[Profit]] &lt;0, "Loss")</f>
        <v>Loss</v>
      </c>
      <c r="V417" t="str">
        <f t="shared" si="6"/>
        <v>UnderPerforming</v>
      </c>
      <c r="W417" s="3">
        <v>45870</v>
      </c>
    </row>
    <row r="418" spans="1:23">
      <c r="A418" t="s">
        <v>67</v>
      </c>
      <c r="B418" s="3">
        <v>45738</v>
      </c>
      <c r="C418" t="s">
        <v>30</v>
      </c>
      <c r="D418" t="str">
        <f>INDEX(Raw_product_master[Category],MATCH(Cleaned_Sales_data[[#This Row],[Product]],Raw_product_master[Product],0))</f>
        <v>Displays</v>
      </c>
      <c r="E418" t="s">
        <v>19</v>
      </c>
      <c r="F418" t="s">
        <v>26</v>
      </c>
      <c r="G418" t="s">
        <v>21</v>
      </c>
      <c r="H418">
        <v>2</v>
      </c>
      <c r="I418">
        <v>28000</v>
      </c>
      <c r="J418" s="10">
        <v>0.1</v>
      </c>
      <c r="K418">
        <v>56000</v>
      </c>
      <c r="L418">
        <v>50400</v>
      </c>
      <c r="M418">
        <v>43680</v>
      </c>
      <c r="N418">
        <v>1610</v>
      </c>
      <c r="O418">
        <v>1736</v>
      </c>
      <c r="P418">
        <f>INDEX(Raw_product_master[Standard_Cost_Per_Unit],MATCH(Cleaned_Sales_data[[#This Row],[Product]],Raw_product_master[Product],0))</f>
        <v>21840</v>
      </c>
      <c r="Q418">
        <v>3374</v>
      </c>
      <c r="R418" s="11">
        <v>6.6944444444444404E-2</v>
      </c>
      <c r="S418" s="11">
        <f>INDEX(Raw_product_master[Target_Margin], MATCH(Cleaned_Sales_data[[#This Row],[Product]],Raw_product_master[Product], 0 ))</f>
        <v>0.18</v>
      </c>
      <c r="T418" t="str">
        <f>IF(Cleaned_Sales_data[[#This Row],[Profit]]&gt;0, "Profitable", "Loss")</f>
        <v>Profitable</v>
      </c>
      <c r="U418" t="str">
        <f>_xlfn.IFS(Cleaned_Sales_data[[#This Row],[Profit]]&gt;=10000, "High", Cleaned_Sales_data[[#This Row],[Profit]]&gt;=5000, "Medium", Cleaned_Sales_data[[#This Row],[Profit]]&gt;=0, "Low", Cleaned_Sales_data[[#This Row],[Profit]] &lt;0, "Loss")</f>
        <v>Low</v>
      </c>
      <c r="V418" t="str">
        <f t="shared" si="6"/>
        <v>UnderPerforming</v>
      </c>
      <c r="W418" s="3">
        <v>45717</v>
      </c>
    </row>
    <row r="419" spans="1:23">
      <c r="A419" t="s">
        <v>71</v>
      </c>
      <c r="B419" s="3">
        <v>45858</v>
      </c>
      <c r="C419" t="s">
        <v>61</v>
      </c>
      <c r="D419" t="str">
        <f>INDEX(Raw_product_master[Category],MATCH(Cleaned_Sales_data[[#This Row],[Product]],Raw_product_master[Product],0))</f>
        <v>Accessories</v>
      </c>
      <c r="E419" t="s">
        <v>31</v>
      </c>
      <c r="F419" t="s">
        <v>26</v>
      </c>
      <c r="G419" t="s">
        <v>21</v>
      </c>
      <c r="H419">
        <v>6</v>
      </c>
      <c r="I419">
        <v>4500</v>
      </c>
      <c r="J419" s="10">
        <v>0.08</v>
      </c>
      <c r="K419">
        <v>27000</v>
      </c>
      <c r="L419">
        <v>24840</v>
      </c>
      <c r="M419">
        <v>17550</v>
      </c>
      <c r="N419">
        <v>951</v>
      </c>
      <c r="O419">
        <v>2291</v>
      </c>
      <c r="P419">
        <f>INDEX(Raw_product_master[Standard_Cost_Per_Unit],MATCH(Cleaned_Sales_data[[#This Row],[Product]],Raw_product_master[Product],0))</f>
        <v>2925</v>
      </c>
      <c r="Q419">
        <v>4048</v>
      </c>
      <c r="R419" s="11">
        <v>0.162962962962963</v>
      </c>
      <c r="S419" s="11">
        <f>INDEX(Raw_product_master[Target_Margin], MATCH(Cleaned_Sales_data[[#This Row],[Product]],Raw_product_master[Product], 0 ))</f>
        <v>0.22</v>
      </c>
      <c r="T419" t="str">
        <f>IF(Cleaned_Sales_data[[#This Row],[Profit]]&gt;0, "Profitable", "Loss")</f>
        <v>Profitable</v>
      </c>
      <c r="U419" t="str">
        <f>_xlfn.IFS(Cleaned_Sales_data[[#This Row],[Profit]]&gt;=10000, "High", Cleaned_Sales_data[[#This Row],[Profit]]&gt;=5000, "Medium", Cleaned_Sales_data[[#This Row],[Profit]]&gt;=0, "Low", Cleaned_Sales_data[[#This Row],[Profit]] &lt;0, "Loss")</f>
        <v>Low</v>
      </c>
      <c r="V419" t="str">
        <f t="shared" si="6"/>
        <v>UnderPerforming</v>
      </c>
      <c r="W419" s="3">
        <v>45839</v>
      </c>
    </row>
    <row r="420" spans="1:23">
      <c r="A420" t="s">
        <v>79</v>
      </c>
      <c r="B420" s="3">
        <v>45995</v>
      </c>
      <c r="C420" t="s">
        <v>75</v>
      </c>
      <c r="D420" t="str">
        <f>INDEX(Raw_product_master[Category],MATCH(Cleaned_Sales_data[[#This Row],[Product]],Raw_product_master[Product],0))</f>
        <v>Computers</v>
      </c>
      <c r="E420" t="s">
        <v>25</v>
      </c>
      <c r="F420" t="s">
        <v>26</v>
      </c>
      <c r="G420" t="s">
        <v>21</v>
      </c>
      <c r="H420">
        <v>3</v>
      </c>
      <c r="I420">
        <v>65000</v>
      </c>
      <c r="J420" s="10">
        <v>0.2</v>
      </c>
      <c r="K420">
        <v>195000</v>
      </c>
      <c r="L420">
        <v>156000</v>
      </c>
      <c r="M420">
        <v>163800</v>
      </c>
      <c r="N420">
        <v>1113</v>
      </c>
      <c r="O420">
        <v>2019</v>
      </c>
      <c r="P420">
        <f>INDEX(Raw_product_master[Standard_Cost_Per_Unit],MATCH(Cleaned_Sales_data[[#This Row],[Product]],Raw_product_master[Product],0))</f>
        <v>54600</v>
      </c>
      <c r="Q420">
        <v>-10932</v>
      </c>
      <c r="R420" s="11">
        <v>-7.0076923076923106E-2</v>
      </c>
      <c r="S420" s="11">
        <f>INDEX(Raw_product_master[Target_Margin], MATCH(Cleaned_Sales_data[[#This Row],[Product]],Raw_product_master[Product], 0 ))</f>
        <v>0.12</v>
      </c>
      <c r="T420" t="str">
        <f>IF(Cleaned_Sales_data[[#This Row],[Profit]]&gt;0, "Profitable", "Loss")</f>
        <v>Loss</v>
      </c>
      <c r="U420" t="str">
        <f>_xlfn.IFS(Cleaned_Sales_data[[#This Row],[Profit]]&gt;=10000, "High", Cleaned_Sales_data[[#This Row],[Profit]]&gt;=5000, "Medium", Cleaned_Sales_data[[#This Row],[Profit]]&gt;=0, "Low", Cleaned_Sales_data[[#This Row],[Profit]] &lt;0, "Loss")</f>
        <v>Loss</v>
      </c>
      <c r="V420" t="str">
        <f t="shared" si="6"/>
        <v>UnderPerforming</v>
      </c>
      <c r="W420" s="3">
        <v>45992</v>
      </c>
    </row>
    <row r="421" spans="1:23">
      <c r="A421" t="s">
        <v>81</v>
      </c>
      <c r="B421" s="3">
        <v>46161</v>
      </c>
      <c r="C421" t="s">
        <v>75</v>
      </c>
      <c r="D421" t="str">
        <f>INDEX(Raw_product_master[Category],MATCH(Cleaned_Sales_data[[#This Row],[Product]],Raw_product_master[Product],0))</f>
        <v>Computers</v>
      </c>
      <c r="E421" t="s">
        <v>19</v>
      </c>
      <c r="F421" t="s">
        <v>26</v>
      </c>
      <c r="G421" t="s">
        <v>21</v>
      </c>
      <c r="H421">
        <v>1</v>
      </c>
      <c r="I421">
        <v>65000</v>
      </c>
      <c r="J421" s="10">
        <v>0</v>
      </c>
      <c r="K421">
        <v>65000</v>
      </c>
      <c r="L421">
        <v>65000</v>
      </c>
      <c r="M421">
        <v>54600</v>
      </c>
      <c r="N421">
        <v>597</v>
      </c>
      <c r="O421">
        <v>1400</v>
      </c>
      <c r="P421">
        <f>INDEX(Raw_product_master[Standard_Cost_Per_Unit],MATCH(Cleaned_Sales_data[[#This Row],[Product]],Raw_product_master[Product],0))</f>
        <v>54600</v>
      </c>
      <c r="Q421">
        <v>8403</v>
      </c>
      <c r="R421" s="11">
        <v>0.12927692307692301</v>
      </c>
      <c r="S421" s="11">
        <f>INDEX(Raw_product_master[Target_Margin], MATCH(Cleaned_Sales_data[[#This Row],[Product]],Raw_product_master[Product], 0 ))</f>
        <v>0.12</v>
      </c>
      <c r="T421" t="str">
        <f>IF(Cleaned_Sales_data[[#This Row],[Profit]]&gt;0, "Profitable", "Loss")</f>
        <v>Profitable</v>
      </c>
      <c r="U421" t="str">
        <f>_xlfn.IFS(Cleaned_Sales_data[[#This Row],[Profit]]&gt;=10000, "High", Cleaned_Sales_data[[#This Row],[Profit]]&gt;=5000, "Medium", Cleaned_Sales_data[[#This Row],[Profit]]&gt;=0, "Low", Cleaned_Sales_data[[#This Row],[Profit]] &lt;0, "Loss")</f>
        <v>Medium</v>
      </c>
      <c r="V421" t="str">
        <f t="shared" si="6"/>
        <v>On Target</v>
      </c>
      <c r="W421" s="3">
        <v>46143</v>
      </c>
    </row>
    <row r="422" spans="1:23">
      <c r="A422" t="s">
        <v>85</v>
      </c>
      <c r="B422" s="3">
        <v>46006</v>
      </c>
      <c r="C422" t="s">
        <v>61</v>
      </c>
      <c r="D422" t="str">
        <f>INDEX(Raw_product_master[Category],MATCH(Cleaned_Sales_data[[#This Row],[Product]],Raw_product_master[Product],0))</f>
        <v>Accessories</v>
      </c>
      <c r="E422" t="s">
        <v>63</v>
      </c>
      <c r="F422" t="s">
        <v>26</v>
      </c>
      <c r="G422" t="s">
        <v>21</v>
      </c>
      <c r="H422">
        <v>3</v>
      </c>
      <c r="I422">
        <v>4500</v>
      </c>
      <c r="J422" s="10">
        <v>0.1</v>
      </c>
      <c r="K422">
        <v>13500</v>
      </c>
      <c r="L422">
        <v>12150</v>
      </c>
      <c r="M422">
        <v>8775</v>
      </c>
      <c r="N422">
        <v>1260</v>
      </c>
      <c r="O422">
        <v>2427</v>
      </c>
      <c r="P422">
        <f>INDEX(Raw_product_master[Standard_Cost_Per_Unit],MATCH(Cleaned_Sales_data[[#This Row],[Product]],Raw_product_master[Product],0))</f>
        <v>2925</v>
      </c>
      <c r="Q422">
        <v>-312</v>
      </c>
      <c r="R422" s="11">
        <v>-2.5679012345679E-2</v>
      </c>
      <c r="S422" s="11">
        <f>INDEX(Raw_product_master[Target_Margin], MATCH(Cleaned_Sales_data[[#This Row],[Product]],Raw_product_master[Product], 0 ))</f>
        <v>0.22</v>
      </c>
      <c r="T422" t="str">
        <f>IF(Cleaned_Sales_data[[#This Row],[Profit]]&gt;0, "Profitable", "Loss")</f>
        <v>Loss</v>
      </c>
      <c r="U422" t="str">
        <f>_xlfn.IFS(Cleaned_Sales_data[[#This Row],[Profit]]&gt;=10000, "High", Cleaned_Sales_data[[#This Row],[Profit]]&gt;=5000, "Medium", Cleaned_Sales_data[[#This Row],[Profit]]&gt;=0, "Low", Cleaned_Sales_data[[#This Row],[Profit]] &lt;0, "Loss")</f>
        <v>Loss</v>
      </c>
      <c r="V422" t="str">
        <f t="shared" si="6"/>
        <v>UnderPerforming</v>
      </c>
      <c r="W422" s="3">
        <v>45992</v>
      </c>
    </row>
    <row r="423" spans="1:23">
      <c r="A423" t="s">
        <v>108</v>
      </c>
      <c r="B423" s="3">
        <v>45930</v>
      </c>
      <c r="C423" t="s">
        <v>18</v>
      </c>
      <c r="D423" t="str">
        <f>INDEX(Raw_product_master[Category],MATCH(Cleaned_Sales_data[[#This Row],[Product]],Raw_product_master[Product],0))</f>
        <v>Computers</v>
      </c>
      <c r="E423" t="s">
        <v>63</v>
      </c>
      <c r="F423" t="s">
        <v>26</v>
      </c>
      <c r="G423" t="s">
        <v>21</v>
      </c>
      <c r="H423">
        <v>1</v>
      </c>
      <c r="I423">
        <v>32000</v>
      </c>
      <c r="J423" s="10">
        <v>0.1</v>
      </c>
      <c r="K423">
        <v>32000</v>
      </c>
      <c r="L423">
        <v>28800</v>
      </c>
      <c r="M423">
        <v>26240</v>
      </c>
      <c r="N423">
        <v>1066</v>
      </c>
      <c r="O423">
        <v>972</v>
      </c>
      <c r="P423">
        <f>INDEX(Raw_product_master[Standard_Cost_Per_Unit],MATCH(Cleaned_Sales_data[[#This Row],[Product]],Raw_product_master[Product],0))</f>
        <v>26240</v>
      </c>
      <c r="Q423">
        <v>522</v>
      </c>
      <c r="R423" s="11">
        <v>1.8124999999999999E-2</v>
      </c>
      <c r="S423" s="11">
        <f>INDEX(Raw_product_master[Target_Margin], MATCH(Cleaned_Sales_data[[#This Row],[Product]],Raw_product_master[Product], 0 ))</f>
        <v>0.12</v>
      </c>
      <c r="T423" t="str">
        <f>IF(Cleaned_Sales_data[[#This Row],[Profit]]&gt;0, "Profitable", "Loss")</f>
        <v>Profitable</v>
      </c>
      <c r="U423" t="str">
        <f>_xlfn.IFS(Cleaned_Sales_data[[#This Row],[Profit]]&gt;=10000, "High", Cleaned_Sales_data[[#This Row],[Profit]]&gt;=5000, "Medium", Cleaned_Sales_data[[#This Row],[Profit]]&gt;=0, "Low", Cleaned_Sales_data[[#This Row],[Profit]] &lt;0, "Loss")</f>
        <v>Low</v>
      </c>
      <c r="V423" t="str">
        <f t="shared" si="6"/>
        <v>UnderPerforming</v>
      </c>
      <c r="W423" s="3">
        <v>45901</v>
      </c>
    </row>
    <row r="424" spans="1:23">
      <c r="A424" t="s">
        <v>120</v>
      </c>
      <c r="B424" s="3">
        <v>46072</v>
      </c>
      <c r="C424" t="s">
        <v>30</v>
      </c>
      <c r="D424" t="str">
        <f>INDEX(Raw_product_master[Category],MATCH(Cleaned_Sales_data[[#This Row],[Product]],Raw_product_master[Product],0))</f>
        <v>Displays</v>
      </c>
      <c r="E424" t="s">
        <v>63</v>
      </c>
      <c r="F424" t="s">
        <v>26</v>
      </c>
      <c r="G424" t="s">
        <v>21</v>
      </c>
      <c r="H424">
        <v>3</v>
      </c>
      <c r="I424">
        <v>28000</v>
      </c>
      <c r="J424" s="10">
        <v>0.08</v>
      </c>
      <c r="K424">
        <v>84000</v>
      </c>
      <c r="L424">
        <v>77280</v>
      </c>
      <c r="M424">
        <v>65520</v>
      </c>
      <c r="N424">
        <v>1749</v>
      </c>
      <c r="O424">
        <v>1266</v>
      </c>
      <c r="P424">
        <f>INDEX(Raw_product_master[Standard_Cost_Per_Unit],MATCH(Cleaned_Sales_data[[#This Row],[Product]],Raw_product_master[Product],0))</f>
        <v>21840</v>
      </c>
      <c r="Q424">
        <v>8745</v>
      </c>
      <c r="R424" s="11">
        <v>0.113159937888199</v>
      </c>
      <c r="S424" s="11">
        <f>INDEX(Raw_product_master[Target_Margin], MATCH(Cleaned_Sales_data[[#This Row],[Product]],Raw_product_master[Product], 0 ))</f>
        <v>0.18</v>
      </c>
      <c r="T424" t="str">
        <f>IF(Cleaned_Sales_data[[#This Row],[Profit]]&gt;0, "Profitable", "Loss")</f>
        <v>Profitable</v>
      </c>
      <c r="U424" t="str">
        <f>_xlfn.IFS(Cleaned_Sales_data[[#This Row],[Profit]]&gt;=10000, "High", Cleaned_Sales_data[[#This Row],[Profit]]&gt;=5000, "Medium", Cleaned_Sales_data[[#This Row],[Profit]]&gt;=0, "Low", Cleaned_Sales_data[[#This Row],[Profit]] &lt;0, "Loss")</f>
        <v>Medium</v>
      </c>
      <c r="V424" t="str">
        <f t="shared" si="6"/>
        <v>UnderPerforming</v>
      </c>
      <c r="W424" s="3">
        <v>46054</v>
      </c>
    </row>
    <row r="425" spans="1:23">
      <c r="A425" t="s">
        <v>127</v>
      </c>
      <c r="B425" s="3">
        <v>46094</v>
      </c>
      <c r="C425" t="s">
        <v>18</v>
      </c>
      <c r="D425" t="str">
        <f>INDEX(Raw_product_master[Category],MATCH(Cleaned_Sales_data[[#This Row],[Product]],Raw_product_master[Product],0))</f>
        <v>Computers</v>
      </c>
      <c r="E425" t="s">
        <v>51</v>
      </c>
      <c r="F425" t="s">
        <v>26</v>
      </c>
      <c r="G425" t="s">
        <v>21</v>
      </c>
      <c r="H425">
        <v>2</v>
      </c>
      <c r="I425">
        <v>32000</v>
      </c>
      <c r="J425" s="10">
        <v>0.1</v>
      </c>
      <c r="K425">
        <v>64000</v>
      </c>
      <c r="L425">
        <v>57600</v>
      </c>
      <c r="M425">
        <v>52480</v>
      </c>
      <c r="N425">
        <v>908</v>
      </c>
      <c r="O425">
        <v>1768</v>
      </c>
      <c r="P425">
        <f>INDEX(Raw_product_master[Standard_Cost_Per_Unit],MATCH(Cleaned_Sales_data[[#This Row],[Product]],Raw_product_master[Product],0))</f>
        <v>26240</v>
      </c>
      <c r="Q425">
        <v>2444</v>
      </c>
      <c r="R425" s="11">
        <v>4.2430555555555603E-2</v>
      </c>
      <c r="S425" s="11">
        <f>INDEX(Raw_product_master[Target_Margin], MATCH(Cleaned_Sales_data[[#This Row],[Product]],Raw_product_master[Product], 0 ))</f>
        <v>0.12</v>
      </c>
      <c r="T425" t="str">
        <f>IF(Cleaned_Sales_data[[#This Row],[Profit]]&gt;0, "Profitable", "Loss")</f>
        <v>Profitable</v>
      </c>
      <c r="U425" t="str">
        <f>_xlfn.IFS(Cleaned_Sales_data[[#This Row],[Profit]]&gt;=10000, "High", Cleaned_Sales_data[[#This Row],[Profit]]&gt;=5000, "Medium", Cleaned_Sales_data[[#This Row],[Profit]]&gt;=0, "Low", Cleaned_Sales_data[[#This Row],[Profit]] &lt;0, "Loss")</f>
        <v>Low</v>
      </c>
      <c r="V425" t="str">
        <f t="shared" si="6"/>
        <v>UnderPerforming</v>
      </c>
      <c r="W425" s="3">
        <v>46082</v>
      </c>
    </row>
    <row r="426" spans="1:23">
      <c r="A426" t="s">
        <v>139</v>
      </c>
      <c r="B426" s="3">
        <v>45704</v>
      </c>
      <c r="C426" t="s">
        <v>30</v>
      </c>
      <c r="D426" t="str">
        <f>INDEX(Raw_product_master[Category],MATCH(Cleaned_Sales_data[[#This Row],[Product]],Raw_product_master[Product],0))</f>
        <v>Displays</v>
      </c>
      <c r="E426" t="s">
        <v>63</v>
      </c>
      <c r="F426" t="s">
        <v>26</v>
      </c>
      <c r="G426" t="s">
        <v>21</v>
      </c>
      <c r="H426">
        <v>1</v>
      </c>
      <c r="I426">
        <v>28000</v>
      </c>
      <c r="J426" s="10">
        <v>0.08</v>
      </c>
      <c r="K426">
        <v>28000</v>
      </c>
      <c r="L426">
        <v>25760</v>
      </c>
      <c r="M426">
        <v>21840</v>
      </c>
      <c r="N426">
        <v>1296</v>
      </c>
      <c r="O426">
        <v>2396</v>
      </c>
      <c r="P426">
        <f>INDEX(Raw_product_master[Standard_Cost_Per_Unit],MATCH(Cleaned_Sales_data[[#This Row],[Product]],Raw_product_master[Product],0))</f>
        <v>21840</v>
      </c>
      <c r="Q426">
        <v>228</v>
      </c>
      <c r="R426" s="11">
        <v>8.8509316770186298E-3</v>
      </c>
      <c r="S426" s="11">
        <f>INDEX(Raw_product_master[Target_Margin], MATCH(Cleaned_Sales_data[[#This Row],[Product]],Raw_product_master[Product], 0 ))</f>
        <v>0.18</v>
      </c>
      <c r="T426" t="str">
        <f>IF(Cleaned_Sales_data[[#This Row],[Profit]]&gt;0, "Profitable", "Loss")</f>
        <v>Profitable</v>
      </c>
      <c r="U426" t="str">
        <f>_xlfn.IFS(Cleaned_Sales_data[[#This Row],[Profit]]&gt;=10000, "High", Cleaned_Sales_data[[#This Row],[Profit]]&gt;=5000, "Medium", Cleaned_Sales_data[[#This Row],[Profit]]&gt;=0, "Low", Cleaned_Sales_data[[#This Row],[Profit]] &lt;0, "Loss")</f>
        <v>Low</v>
      </c>
      <c r="V426" t="str">
        <f t="shared" si="6"/>
        <v>UnderPerforming</v>
      </c>
      <c r="W426" s="3">
        <v>45689</v>
      </c>
    </row>
    <row r="427" spans="1:23">
      <c r="A427" t="s">
        <v>144</v>
      </c>
      <c r="B427" s="3">
        <v>46051</v>
      </c>
      <c r="C427" t="s">
        <v>61</v>
      </c>
      <c r="D427" t="str">
        <f>INDEX(Raw_product_master[Category],MATCH(Cleaned_Sales_data[[#This Row],[Product]],Raw_product_master[Product],0))</f>
        <v>Accessories</v>
      </c>
      <c r="E427" t="s">
        <v>19</v>
      </c>
      <c r="F427" t="s">
        <v>26</v>
      </c>
      <c r="G427" t="s">
        <v>21</v>
      </c>
      <c r="H427">
        <v>4</v>
      </c>
      <c r="I427">
        <v>4500</v>
      </c>
      <c r="J427" s="10">
        <v>0.03</v>
      </c>
      <c r="K427">
        <v>18000</v>
      </c>
      <c r="L427">
        <v>17460</v>
      </c>
      <c r="M427">
        <v>11700</v>
      </c>
      <c r="N427">
        <v>1748</v>
      </c>
      <c r="O427">
        <v>2172</v>
      </c>
      <c r="P427">
        <f>INDEX(Raw_product_master[Standard_Cost_Per_Unit],MATCH(Cleaned_Sales_data[[#This Row],[Product]],Raw_product_master[Product],0))</f>
        <v>2925</v>
      </c>
      <c r="Q427">
        <v>1840</v>
      </c>
      <c r="R427" s="11">
        <v>0.10538373424971401</v>
      </c>
      <c r="S427" s="11">
        <f>INDEX(Raw_product_master[Target_Margin], MATCH(Cleaned_Sales_data[[#This Row],[Product]],Raw_product_master[Product], 0 ))</f>
        <v>0.22</v>
      </c>
      <c r="T427" t="str">
        <f>IF(Cleaned_Sales_data[[#This Row],[Profit]]&gt;0, "Profitable", "Loss")</f>
        <v>Profitable</v>
      </c>
      <c r="U427" t="str">
        <f>_xlfn.IFS(Cleaned_Sales_data[[#This Row],[Profit]]&gt;=10000, "High", Cleaned_Sales_data[[#This Row],[Profit]]&gt;=5000, "Medium", Cleaned_Sales_data[[#This Row],[Profit]]&gt;=0, "Low", Cleaned_Sales_data[[#This Row],[Profit]] &lt;0, "Loss")</f>
        <v>Low</v>
      </c>
      <c r="V427" t="str">
        <f t="shared" si="6"/>
        <v>UnderPerforming</v>
      </c>
      <c r="W427" s="3">
        <v>46023</v>
      </c>
    </row>
    <row r="428" spans="1:23">
      <c r="A428" t="s">
        <v>158</v>
      </c>
      <c r="B428" s="3">
        <v>46105</v>
      </c>
      <c r="C428" t="s">
        <v>50</v>
      </c>
      <c r="D428" t="str">
        <f>INDEX(Raw_product_master[Category],MATCH(Cleaned_Sales_data[[#This Row],[Product]],Raw_product_master[Product],0))</f>
        <v>Accessories</v>
      </c>
      <c r="E428" t="s">
        <v>31</v>
      </c>
      <c r="F428" t="s">
        <v>26</v>
      </c>
      <c r="G428" t="s">
        <v>21</v>
      </c>
      <c r="H428">
        <v>7</v>
      </c>
      <c r="I428">
        <v>2500</v>
      </c>
      <c r="J428" s="10">
        <v>0</v>
      </c>
      <c r="K428">
        <v>17500</v>
      </c>
      <c r="L428">
        <v>17500</v>
      </c>
      <c r="M428">
        <v>10850</v>
      </c>
      <c r="N428">
        <v>778</v>
      </c>
      <c r="O428">
        <v>1302</v>
      </c>
      <c r="P428">
        <f>INDEX(Raw_product_master[Standard_Cost_Per_Unit],MATCH(Cleaned_Sales_data[[#This Row],[Product]],Raw_product_master[Product],0))</f>
        <v>1550</v>
      </c>
      <c r="Q428">
        <v>4570</v>
      </c>
      <c r="R428" s="11">
        <v>0.26114285714285701</v>
      </c>
      <c r="S428" s="11">
        <f>INDEX(Raw_product_master[Target_Margin], MATCH(Cleaned_Sales_data[[#This Row],[Product]],Raw_product_master[Product], 0 ))</f>
        <v>0.25</v>
      </c>
      <c r="T428" t="str">
        <f>IF(Cleaned_Sales_data[[#This Row],[Profit]]&gt;0, "Profitable", "Loss")</f>
        <v>Profitable</v>
      </c>
      <c r="U428" t="str">
        <f>_xlfn.IFS(Cleaned_Sales_data[[#This Row],[Profit]]&gt;=10000, "High", Cleaned_Sales_data[[#This Row],[Profit]]&gt;=5000, "Medium", Cleaned_Sales_data[[#This Row],[Profit]]&gt;=0, "Low", Cleaned_Sales_data[[#This Row],[Profit]] &lt;0, "Loss")</f>
        <v>Low</v>
      </c>
      <c r="V428" t="str">
        <f t="shared" si="6"/>
        <v>On Target</v>
      </c>
      <c r="W428" s="3">
        <v>46082</v>
      </c>
    </row>
    <row r="429" spans="1:23">
      <c r="A429" t="s">
        <v>159</v>
      </c>
      <c r="B429" s="3">
        <v>46098</v>
      </c>
      <c r="C429" t="s">
        <v>53</v>
      </c>
      <c r="D429" t="str">
        <f>INDEX(Raw_product_master[Category],MATCH(Cleaned_Sales_data[[#This Row],[Product]],Raw_product_master[Product],0))</f>
        <v>Accessories</v>
      </c>
      <c r="E429" t="s">
        <v>63</v>
      </c>
      <c r="F429" t="s">
        <v>26</v>
      </c>
      <c r="G429" t="s">
        <v>21</v>
      </c>
      <c r="H429">
        <v>6</v>
      </c>
      <c r="I429">
        <v>1500</v>
      </c>
      <c r="J429" s="10">
        <v>0.15</v>
      </c>
      <c r="K429">
        <v>9000</v>
      </c>
      <c r="L429">
        <v>7650</v>
      </c>
      <c r="M429">
        <v>4950</v>
      </c>
      <c r="N429">
        <v>619</v>
      </c>
      <c r="O429">
        <v>2304</v>
      </c>
      <c r="P429">
        <f>INDEX(Raw_product_master[Standard_Cost_Per_Unit],MATCH(Cleaned_Sales_data[[#This Row],[Product]],Raw_product_master[Product],0))</f>
        <v>825</v>
      </c>
      <c r="Q429">
        <v>-223</v>
      </c>
      <c r="R429" s="11">
        <v>-2.9150326797385599E-2</v>
      </c>
      <c r="S429" s="11">
        <f>INDEX(Raw_product_master[Target_Margin], MATCH(Cleaned_Sales_data[[#This Row],[Product]],Raw_product_master[Product], 0 ))</f>
        <v>0.3</v>
      </c>
      <c r="T429" t="str">
        <f>IF(Cleaned_Sales_data[[#This Row],[Profit]]&gt;0, "Profitable", "Loss")</f>
        <v>Loss</v>
      </c>
      <c r="U429" t="str">
        <f>_xlfn.IFS(Cleaned_Sales_data[[#This Row],[Profit]]&gt;=10000, "High", Cleaned_Sales_data[[#This Row],[Profit]]&gt;=5000, "Medium", Cleaned_Sales_data[[#This Row],[Profit]]&gt;=0, "Low", Cleaned_Sales_data[[#This Row],[Profit]] &lt;0, "Loss")</f>
        <v>Loss</v>
      </c>
      <c r="V429" t="str">
        <f t="shared" si="6"/>
        <v>UnderPerforming</v>
      </c>
      <c r="W429" s="3">
        <v>46082</v>
      </c>
    </row>
    <row r="430" spans="1:23">
      <c r="A430" t="s">
        <v>164</v>
      </c>
      <c r="B430" s="3">
        <v>46117</v>
      </c>
      <c r="C430" t="s">
        <v>46</v>
      </c>
      <c r="D430" t="str">
        <f>INDEX(Raw_product_master[Category],MATCH(Cleaned_Sales_data[[#This Row],[Product]],Raw_product_master[Product],0))</f>
        <v>Office Equipment</v>
      </c>
      <c r="E430" t="s">
        <v>31</v>
      </c>
      <c r="F430" t="s">
        <v>26</v>
      </c>
      <c r="G430" t="s">
        <v>21</v>
      </c>
      <c r="H430">
        <v>2</v>
      </c>
      <c r="I430">
        <v>18000</v>
      </c>
      <c r="J430" s="10">
        <v>0</v>
      </c>
      <c r="K430">
        <v>36000</v>
      </c>
      <c r="L430">
        <v>36000</v>
      </c>
      <c r="M430">
        <v>28800</v>
      </c>
      <c r="N430">
        <v>1192</v>
      </c>
      <c r="O430">
        <v>1739</v>
      </c>
      <c r="P430">
        <f>INDEX(Raw_product_master[Standard_Cost_Per_Unit],MATCH(Cleaned_Sales_data[[#This Row],[Product]],Raw_product_master[Product],0))</f>
        <v>14400</v>
      </c>
      <c r="Q430">
        <v>4269</v>
      </c>
      <c r="R430" s="11">
        <v>0.118583333333333</v>
      </c>
      <c r="S430" s="11">
        <f>INDEX(Raw_product_master[Target_Margin], MATCH(Cleaned_Sales_data[[#This Row],[Product]],Raw_product_master[Product], 0 ))</f>
        <v>0.15</v>
      </c>
      <c r="T430" t="str">
        <f>IF(Cleaned_Sales_data[[#This Row],[Profit]]&gt;0, "Profitable", "Loss")</f>
        <v>Profitable</v>
      </c>
      <c r="U430" t="str">
        <f>_xlfn.IFS(Cleaned_Sales_data[[#This Row],[Profit]]&gt;=10000, "High", Cleaned_Sales_data[[#This Row],[Profit]]&gt;=5000, "Medium", Cleaned_Sales_data[[#This Row],[Profit]]&gt;=0, "Low", Cleaned_Sales_data[[#This Row],[Profit]] &lt;0, "Loss")</f>
        <v>Low</v>
      </c>
      <c r="V430" t="str">
        <f t="shared" si="6"/>
        <v>UnderPerforming</v>
      </c>
      <c r="W430" s="3">
        <v>46113</v>
      </c>
    </row>
    <row r="431" spans="1:23">
      <c r="A431" t="s">
        <v>208</v>
      </c>
      <c r="B431" s="3">
        <v>46147</v>
      </c>
      <c r="C431" t="s">
        <v>75</v>
      </c>
      <c r="D431" t="str">
        <f>INDEX(Raw_product_master[Category],MATCH(Cleaned_Sales_data[[#This Row],[Product]],Raw_product_master[Product],0))</f>
        <v>Computers</v>
      </c>
      <c r="E431" t="s">
        <v>19</v>
      </c>
      <c r="F431" t="s">
        <v>26</v>
      </c>
      <c r="G431" t="s">
        <v>21</v>
      </c>
      <c r="H431">
        <v>3</v>
      </c>
      <c r="I431">
        <v>65000</v>
      </c>
      <c r="J431" s="10">
        <v>0.08</v>
      </c>
      <c r="K431">
        <v>195000</v>
      </c>
      <c r="L431">
        <v>179400</v>
      </c>
      <c r="M431">
        <v>163800</v>
      </c>
      <c r="N431">
        <v>1796</v>
      </c>
      <c r="O431">
        <v>2014</v>
      </c>
      <c r="P431">
        <f>INDEX(Raw_product_master[Standard_Cost_Per_Unit],MATCH(Cleaned_Sales_data[[#This Row],[Product]],Raw_product_master[Product],0))</f>
        <v>54600</v>
      </c>
      <c r="Q431">
        <v>11790</v>
      </c>
      <c r="R431" s="11">
        <v>6.5719063545150502E-2</v>
      </c>
      <c r="S431" s="11">
        <f>INDEX(Raw_product_master[Target_Margin], MATCH(Cleaned_Sales_data[[#This Row],[Product]],Raw_product_master[Product], 0 ))</f>
        <v>0.12</v>
      </c>
      <c r="T431" t="str">
        <f>IF(Cleaned_Sales_data[[#This Row],[Profit]]&gt;0, "Profitable", "Loss")</f>
        <v>Profitable</v>
      </c>
      <c r="U431" t="str">
        <f>_xlfn.IFS(Cleaned_Sales_data[[#This Row],[Profit]]&gt;=10000, "High", Cleaned_Sales_data[[#This Row],[Profit]]&gt;=5000, "Medium", Cleaned_Sales_data[[#This Row],[Profit]]&gt;=0, "Low", Cleaned_Sales_data[[#This Row],[Profit]] &lt;0, "Loss")</f>
        <v>High</v>
      </c>
      <c r="V431" t="str">
        <f t="shared" si="6"/>
        <v>UnderPerforming</v>
      </c>
      <c r="W431" s="3">
        <v>46143</v>
      </c>
    </row>
    <row r="432" spans="1:23">
      <c r="A432" t="s">
        <v>214</v>
      </c>
      <c r="B432" s="3">
        <v>46020</v>
      </c>
      <c r="C432" t="s">
        <v>53</v>
      </c>
      <c r="D432" t="str">
        <f>INDEX(Raw_product_master[Category],MATCH(Cleaned_Sales_data[[#This Row],[Product]],Raw_product_master[Product],0))</f>
        <v>Accessories</v>
      </c>
      <c r="E432" t="s">
        <v>51</v>
      </c>
      <c r="F432" t="s">
        <v>26</v>
      </c>
      <c r="G432" t="s">
        <v>21</v>
      </c>
      <c r="H432">
        <v>1</v>
      </c>
      <c r="I432">
        <v>1500</v>
      </c>
      <c r="J432" s="10">
        <v>0.03</v>
      </c>
      <c r="K432">
        <v>1500</v>
      </c>
      <c r="L432">
        <v>1455</v>
      </c>
      <c r="M432">
        <v>825</v>
      </c>
      <c r="N432">
        <v>1015</v>
      </c>
      <c r="O432">
        <v>1804</v>
      </c>
      <c r="P432">
        <f>INDEX(Raw_product_master[Standard_Cost_Per_Unit],MATCH(Cleaned_Sales_data[[#This Row],[Product]],Raw_product_master[Product],0))</f>
        <v>825</v>
      </c>
      <c r="Q432">
        <v>-2189</v>
      </c>
      <c r="R432" s="11">
        <v>-1.50446735395189</v>
      </c>
      <c r="S432" s="11">
        <f>INDEX(Raw_product_master[Target_Margin], MATCH(Cleaned_Sales_data[[#This Row],[Product]],Raw_product_master[Product], 0 ))</f>
        <v>0.3</v>
      </c>
      <c r="T432" t="str">
        <f>IF(Cleaned_Sales_data[[#This Row],[Profit]]&gt;0, "Profitable", "Loss")</f>
        <v>Loss</v>
      </c>
      <c r="U432" t="str">
        <f>_xlfn.IFS(Cleaned_Sales_data[[#This Row],[Profit]]&gt;=10000, "High", Cleaned_Sales_data[[#This Row],[Profit]]&gt;=5000, "Medium", Cleaned_Sales_data[[#This Row],[Profit]]&gt;=0, "Low", Cleaned_Sales_data[[#This Row],[Profit]] &lt;0, "Loss")</f>
        <v>Loss</v>
      </c>
      <c r="V432" t="str">
        <f t="shared" si="6"/>
        <v>UnderPerforming</v>
      </c>
      <c r="W432" s="3">
        <v>45992</v>
      </c>
    </row>
    <row r="433" spans="1:23">
      <c r="A433" t="s">
        <v>232</v>
      </c>
      <c r="B433" s="3">
        <v>46120</v>
      </c>
      <c r="C433" t="s">
        <v>46</v>
      </c>
      <c r="D433" t="str">
        <f>INDEX(Raw_product_master[Category],MATCH(Cleaned_Sales_data[[#This Row],[Product]],Raw_product_master[Product],0))</f>
        <v>Office Equipment</v>
      </c>
      <c r="E433" t="s">
        <v>34</v>
      </c>
      <c r="F433" t="s">
        <v>26</v>
      </c>
      <c r="G433" t="s">
        <v>21</v>
      </c>
      <c r="H433">
        <v>1</v>
      </c>
      <c r="I433">
        <v>18000</v>
      </c>
      <c r="J433" s="10">
        <v>0.03</v>
      </c>
      <c r="K433">
        <v>18000</v>
      </c>
      <c r="L433">
        <v>17460</v>
      </c>
      <c r="M433">
        <v>14400</v>
      </c>
      <c r="N433">
        <v>1088</v>
      </c>
      <c r="O433">
        <v>1795</v>
      </c>
      <c r="P433">
        <f>INDEX(Raw_product_master[Standard_Cost_Per_Unit],MATCH(Cleaned_Sales_data[[#This Row],[Product]],Raw_product_master[Product],0))</f>
        <v>14400</v>
      </c>
      <c r="Q433">
        <v>177</v>
      </c>
      <c r="R433" s="11">
        <v>1.01374570446735E-2</v>
      </c>
      <c r="S433" s="11">
        <f>INDEX(Raw_product_master[Target_Margin], MATCH(Cleaned_Sales_data[[#This Row],[Product]],Raw_product_master[Product], 0 ))</f>
        <v>0.15</v>
      </c>
      <c r="T433" t="str">
        <f>IF(Cleaned_Sales_data[[#This Row],[Profit]]&gt;0, "Profitable", "Loss")</f>
        <v>Profitable</v>
      </c>
      <c r="U433" t="str">
        <f>_xlfn.IFS(Cleaned_Sales_data[[#This Row],[Profit]]&gt;=10000, "High", Cleaned_Sales_data[[#This Row],[Profit]]&gt;=5000, "Medium", Cleaned_Sales_data[[#This Row],[Profit]]&gt;=0, "Low", Cleaned_Sales_data[[#This Row],[Profit]] &lt;0, "Loss")</f>
        <v>Low</v>
      </c>
      <c r="V433" t="str">
        <f t="shared" si="6"/>
        <v>UnderPerforming</v>
      </c>
      <c r="W433" s="3">
        <v>46113</v>
      </c>
    </row>
    <row r="434" spans="1:23">
      <c r="A434" t="s">
        <v>237</v>
      </c>
      <c r="B434" s="3">
        <v>45671</v>
      </c>
      <c r="C434" t="s">
        <v>30</v>
      </c>
      <c r="D434" t="str">
        <f>INDEX(Raw_product_master[Category],MATCH(Cleaned_Sales_data[[#This Row],[Product]],Raw_product_master[Product],0))</f>
        <v>Displays</v>
      </c>
      <c r="E434" t="s">
        <v>19</v>
      </c>
      <c r="F434" t="s">
        <v>26</v>
      </c>
      <c r="G434" t="s">
        <v>21</v>
      </c>
      <c r="H434">
        <v>2</v>
      </c>
      <c r="I434">
        <v>28000</v>
      </c>
      <c r="J434" s="10">
        <v>0.05</v>
      </c>
      <c r="K434">
        <v>56000</v>
      </c>
      <c r="L434">
        <v>53200</v>
      </c>
      <c r="M434">
        <v>43680</v>
      </c>
      <c r="N434">
        <v>714</v>
      </c>
      <c r="O434">
        <v>908</v>
      </c>
      <c r="P434">
        <f>INDEX(Raw_product_master[Standard_Cost_Per_Unit],MATCH(Cleaned_Sales_data[[#This Row],[Product]],Raw_product_master[Product],0))</f>
        <v>21840</v>
      </c>
      <c r="Q434">
        <v>7898</v>
      </c>
      <c r="R434" s="11">
        <v>0.14845864661654101</v>
      </c>
      <c r="S434" s="11">
        <f>INDEX(Raw_product_master[Target_Margin], MATCH(Cleaned_Sales_data[[#This Row],[Product]],Raw_product_master[Product], 0 ))</f>
        <v>0.18</v>
      </c>
      <c r="T434" t="str">
        <f>IF(Cleaned_Sales_data[[#This Row],[Profit]]&gt;0, "Profitable", "Loss")</f>
        <v>Profitable</v>
      </c>
      <c r="U434" t="str">
        <f>_xlfn.IFS(Cleaned_Sales_data[[#This Row],[Profit]]&gt;=10000, "High", Cleaned_Sales_data[[#This Row],[Profit]]&gt;=5000, "Medium", Cleaned_Sales_data[[#This Row],[Profit]]&gt;=0, "Low", Cleaned_Sales_data[[#This Row],[Profit]] &lt;0, "Loss")</f>
        <v>Medium</v>
      </c>
      <c r="V434" t="str">
        <f t="shared" si="6"/>
        <v>UnderPerforming</v>
      </c>
      <c r="W434" s="3">
        <v>45658</v>
      </c>
    </row>
    <row r="435" spans="1:23">
      <c r="A435" t="s">
        <v>241</v>
      </c>
      <c r="B435" s="3">
        <v>46039</v>
      </c>
      <c r="C435" t="s">
        <v>24</v>
      </c>
      <c r="D435" t="str">
        <f>INDEX(Raw_product_master[Category],MATCH(Cleaned_Sales_data[[#This Row],[Product]],Raw_product_master[Product],0))</f>
        <v>Accessories</v>
      </c>
      <c r="E435" t="s">
        <v>31</v>
      </c>
      <c r="F435" t="s">
        <v>26</v>
      </c>
      <c r="G435" t="s">
        <v>21</v>
      </c>
      <c r="H435">
        <v>4</v>
      </c>
      <c r="I435">
        <v>3500</v>
      </c>
      <c r="J435" s="10">
        <v>0.08</v>
      </c>
      <c r="K435">
        <v>14000</v>
      </c>
      <c r="L435">
        <v>12880</v>
      </c>
      <c r="M435">
        <v>9520</v>
      </c>
      <c r="N435">
        <v>931</v>
      </c>
      <c r="O435">
        <v>1487</v>
      </c>
      <c r="P435">
        <f>INDEX(Raw_product_master[Standard_Cost_Per_Unit],MATCH(Cleaned_Sales_data[[#This Row],[Product]],Raw_product_master[Product],0))</f>
        <v>2380</v>
      </c>
      <c r="Q435">
        <v>942</v>
      </c>
      <c r="R435" s="11">
        <v>7.3136645962732894E-2</v>
      </c>
      <c r="S435" s="11">
        <f>INDEX(Raw_product_master[Target_Margin], MATCH(Cleaned_Sales_data[[#This Row],[Product]],Raw_product_master[Product], 0 ))</f>
        <v>0.2</v>
      </c>
      <c r="T435" t="str">
        <f>IF(Cleaned_Sales_data[[#This Row],[Profit]]&gt;0, "Profitable", "Loss")</f>
        <v>Profitable</v>
      </c>
      <c r="U435" t="str">
        <f>_xlfn.IFS(Cleaned_Sales_data[[#This Row],[Profit]]&gt;=10000, "High", Cleaned_Sales_data[[#This Row],[Profit]]&gt;=5000, "Medium", Cleaned_Sales_data[[#This Row],[Profit]]&gt;=0, "Low", Cleaned_Sales_data[[#This Row],[Profit]] &lt;0, "Loss")</f>
        <v>Low</v>
      </c>
      <c r="V435" t="str">
        <f t="shared" si="6"/>
        <v>UnderPerforming</v>
      </c>
      <c r="W435" s="3">
        <v>46023</v>
      </c>
    </row>
    <row r="436" spans="1:23">
      <c r="A436" t="s">
        <v>242</v>
      </c>
      <c r="B436" s="3">
        <v>45992</v>
      </c>
      <c r="C436" t="s">
        <v>50</v>
      </c>
      <c r="D436" t="str">
        <f>INDEX(Raw_product_master[Category],MATCH(Cleaned_Sales_data[[#This Row],[Product]],Raw_product_master[Product],0))</f>
        <v>Accessories</v>
      </c>
      <c r="E436" t="s">
        <v>25</v>
      </c>
      <c r="F436" t="s">
        <v>26</v>
      </c>
      <c r="G436" t="s">
        <v>21</v>
      </c>
      <c r="H436">
        <v>1</v>
      </c>
      <c r="I436">
        <v>2500</v>
      </c>
      <c r="J436" s="10">
        <v>0.05</v>
      </c>
      <c r="K436">
        <v>2500</v>
      </c>
      <c r="L436">
        <v>2375</v>
      </c>
      <c r="M436">
        <v>1550</v>
      </c>
      <c r="N436">
        <v>1340</v>
      </c>
      <c r="O436">
        <v>1635</v>
      </c>
      <c r="P436">
        <f>INDEX(Raw_product_master[Standard_Cost_Per_Unit],MATCH(Cleaned_Sales_data[[#This Row],[Product]],Raw_product_master[Product],0))</f>
        <v>1550</v>
      </c>
      <c r="Q436">
        <v>-2150</v>
      </c>
      <c r="R436" s="11">
        <v>-0.90526315789473699</v>
      </c>
      <c r="S436" s="11">
        <f>INDEX(Raw_product_master[Target_Margin], MATCH(Cleaned_Sales_data[[#This Row],[Product]],Raw_product_master[Product], 0 ))</f>
        <v>0.25</v>
      </c>
      <c r="T436" t="str">
        <f>IF(Cleaned_Sales_data[[#This Row],[Profit]]&gt;0, "Profitable", "Loss")</f>
        <v>Loss</v>
      </c>
      <c r="U436" t="str">
        <f>_xlfn.IFS(Cleaned_Sales_data[[#This Row],[Profit]]&gt;=10000, "High", Cleaned_Sales_data[[#This Row],[Profit]]&gt;=5000, "Medium", Cleaned_Sales_data[[#This Row],[Profit]]&gt;=0, "Low", Cleaned_Sales_data[[#This Row],[Profit]] &lt;0, "Loss")</f>
        <v>Loss</v>
      </c>
      <c r="V436" t="str">
        <f t="shared" si="6"/>
        <v>UnderPerforming</v>
      </c>
      <c r="W436" s="3">
        <v>45992</v>
      </c>
    </row>
    <row r="437" spans="1:23">
      <c r="A437" t="s">
        <v>243</v>
      </c>
      <c r="B437" s="3">
        <v>45894</v>
      </c>
      <c r="C437" t="s">
        <v>50</v>
      </c>
      <c r="D437" t="str">
        <f>INDEX(Raw_product_master[Category],MATCH(Cleaned_Sales_data[[#This Row],[Product]],Raw_product_master[Product],0))</f>
        <v>Accessories</v>
      </c>
      <c r="E437" t="s">
        <v>25</v>
      </c>
      <c r="F437" t="s">
        <v>26</v>
      </c>
      <c r="G437" t="s">
        <v>21</v>
      </c>
      <c r="H437">
        <v>3</v>
      </c>
      <c r="I437">
        <v>2500</v>
      </c>
      <c r="J437" s="10">
        <v>0.05</v>
      </c>
      <c r="K437">
        <v>7500</v>
      </c>
      <c r="L437">
        <v>7125</v>
      </c>
      <c r="M437">
        <v>4650</v>
      </c>
      <c r="N437">
        <v>836</v>
      </c>
      <c r="O437">
        <v>1391</v>
      </c>
      <c r="P437">
        <f>INDEX(Raw_product_master[Standard_Cost_Per_Unit],MATCH(Cleaned_Sales_data[[#This Row],[Product]],Raw_product_master[Product],0))</f>
        <v>1550</v>
      </c>
      <c r="Q437">
        <v>248</v>
      </c>
      <c r="R437" s="11">
        <v>3.4807017543859599E-2</v>
      </c>
      <c r="S437" s="11">
        <f>INDEX(Raw_product_master[Target_Margin], MATCH(Cleaned_Sales_data[[#This Row],[Product]],Raw_product_master[Product], 0 ))</f>
        <v>0.25</v>
      </c>
      <c r="T437" t="str">
        <f>IF(Cleaned_Sales_data[[#This Row],[Profit]]&gt;0, "Profitable", "Loss")</f>
        <v>Profitable</v>
      </c>
      <c r="U437" t="str">
        <f>_xlfn.IFS(Cleaned_Sales_data[[#This Row],[Profit]]&gt;=10000, "High", Cleaned_Sales_data[[#This Row],[Profit]]&gt;=5000, "Medium", Cleaned_Sales_data[[#This Row],[Profit]]&gt;=0, "Low", Cleaned_Sales_data[[#This Row],[Profit]] &lt;0, "Loss")</f>
        <v>Low</v>
      </c>
      <c r="V437" t="str">
        <f t="shared" si="6"/>
        <v>UnderPerforming</v>
      </c>
      <c r="W437" s="3">
        <v>45870</v>
      </c>
    </row>
    <row r="438" spans="1:23">
      <c r="A438" t="s">
        <v>262</v>
      </c>
      <c r="B438" s="3">
        <v>45700</v>
      </c>
      <c r="C438" t="s">
        <v>30</v>
      </c>
      <c r="D438" t="str">
        <f>INDEX(Raw_product_master[Category],MATCH(Cleaned_Sales_data[[#This Row],[Product]],Raw_product_master[Product],0))</f>
        <v>Displays</v>
      </c>
      <c r="E438" t="s">
        <v>34</v>
      </c>
      <c r="F438" t="s">
        <v>26</v>
      </c>
      <c r="G438" t="s">
        <v>21</v>
      </c>
      <c r="H438">
        <v>1</v>
      </c>
      <c r="I438">
        <v>28000</v>
      </c>
      <c r="J438" s="10">
        <v>0.05</v>
      </c>
      <c r="K438">
        <v>28000</v>
      </c>
      <c r="L438">
        <v>26600</v>
      </c>
      <c r="M438">
        <v>21840</v>
      </c>
      <c r="N438">
        <v>503</v>
      </c>
      <c r="O438">
        <v>1863</v>
      </c>
      <c r="P438">
        <f>INDEX(Raw_product_master[Standard_Cost_Per_Unit],MATCH(Cleaned_Sales_data[[#This Row],[Product]],Raw_product_master[Product],0))</f>
        <v>21840</v>
      </c>
      <c r="Q438">
        <v>2394</v>
      </c>
      <c r="R438" s="11">
        <v>0.09</v>
      </c>
      <c r="S438" s="11">
        <f>INDEX(Raw_product_master[Target_Margin], MATCH(Cleaned_Sales_data[[#This Row],[Product]],Raw_product_master[Product], 0 ))</f>
        <v>0.18</v>
      </c>
      <c r="T438" t="str">
        <f>IF(Cleaned_Sales_data[[#This Row],[Profit]]&gt;0, "Profitable", "Loss")</f>
        <v>Profitable</v>
      </c>
      <c r="U438" t="str">
        <f>_xlfn.IFS(Cleaned_Sales_data[[#This Row],[Profit]]&gt;=10000, "High", Cleaned_Sales_data[[#This Row],[Profit]]&gt;=5000, "Medium", Cleaned_Sales_data[[#This Row],[Profit]]&gt;=0, "Low", Cleaned_Sales_data[[#This Row],[Profit]] &lt;0, "Loss")</f>
        <v>Low</v>
      </c>
      <c r="V438" t="str">
        <f t="shared" si="6"/>
        <v>UnderPerforming</v>
      </c>
      <c r="W438" s="3">
        <v>45689</v>
      </c>
    </row>
    <row r="439" spans="1:23">
      <c r="A439" t="s">
        <v>272</v>
      </c>
      <c r="B439" s="3">
        <v>46089</v>
      </c>
      <c r="C439" t="s">
        <v>53</v>
      </c>
      <c r="D439" t="str">
        <f>INDEX(Raw_product_master[Category],MATCH(Cleaned_Sales_data[[#This Row],[Product]],Raw_product_master[Product],0))</f>
        <v>Accessories</v>
      </c>
      <c r="E439" t="s">
        <v>51</v>
      </c>
      <c r="F439" t="s">
        <v>26</v>
      </c>
      <c r="G439" t="s">
        <v>21</v>
      </c>
      <c r="H439">
        <v>2</v>
      </c>
      <c r="I439">
        <v>1500</v>
      </c>
      <c r="J439" s="10">
        <v>0.05</v>
      </c>
      <c r="K439">
        <v>3000</v>
      </c>
      <c r="L439">
        <v>2850</v>
      </c>
      <c r="M439">
        <v>1650</v>
      </c>
      <c r="N439">
        <v>860</v>
      </c>
      <c r="O439">
        <v>761</v>
      </c>
      <c r="P439">
        <f>INDEX(Raw_product_master[Standard_Cost_Per_Unit],MATCH(Cleaned_Sales_data[[#This Row],[Product]],Raw_product_master[Product],0))</f>
        <v>825</v>
      </c>
      <c r="Q439">
        <v>-421</v>
      </c>
      <c r="R439" s="11">
        <v>-0.147719298245614</v>
      </c>
      <c r="S439" s="11">
        <f>INDEX(Raw_product_master[Target_Margin], MATCH(Cleaned_Sales_data[[#This Row],[Product]],Raw_product_master[Product], 0 ))</f>
        <v>0.3</v>
      </c>
      <c r="T439" t="str">
        <f>IF(Cleaned_Sales_data[[#This Row],[Profit]]&gt;0, "Profitable", "Loss")</f>
        <v>Loss</v>
      </c>
      <c r="U439" t="str">
        <f>_xlfn.IFS(Cleaned_Sales_data[[#This Row],[Profit]]&gt;=10000, "High", Cleaned_Sales_data[[#This Row],[Profit]]&gt;=5000, "Medium", Cleaned_Sales_data[[#This Row],[Profit]]&gt;=0, "Low", Cleaned_Sales_data[[#This Row],[Profit]] &lt;0, "Loss")</f>
        <v>Loss</v>
      </c>
      <c r="V439" t="str">
        <f t="shared" si="6"/>
        <v>UnderPerforming</v>
      </c>
      <c r="W439" s="3">
        <v>46082</v>
      </c>
    </row>
    <row r="440" spans="1:23">
      <c r="A440" t="s">
        <v>292</v>
      </c>
      <c r="B440" s="3">
        <v>46039</v>
      </c>
      <c r="C440" t="s">
        <v>18</v>
      </c>
      <c r="D440" t="str">
        <f>INDEX(Raw_product_master[Category],MATCH(Cleaned_Sales_data[[#This Row],[Product]],Raw_product_master[Product],0))</f>
        <v>Computers</v>
      </c>
      <c r="E440" t="s">
        <v>19</v>
      </c>
      <c r="F440" t="s">
        <v>26</v>
      </c>
      <c r="G440" t="s">
        <v>21</v>
      </c>
      <c r="H440">
        <v>3</v>
      </c>
      <c r="I440">
        <v>32000</v>
      </c>
      <c r="J440" s="10">
        <v>0.08</v>
      </c>
      <c r="K440">
        <v>96000</v>
      </c>
      <c r="L440">
        <v>88320</v>
      </c>
      <c r="M440">
        <v>78720</v>
      </c>
      <c r="N440">
        <v>977</v>
      </c>
      <c r="O440">
        <v>2492</v>
      </c>
      <c r="P440">
        <f>INDEX(Raw_product_master[Standard_Cost_Per_Unit],MATCH(Cleaned_Sales_data[[#This Row],[Product]],Raw_product_master[Product],0))</f>
        <v>26240</v>
      </c>
      <c r="Q440">
        <v>6131</v>
      </c>
      <c r="R440" s="11">
        <v>6.9418025362318794E-2</v>
      </c>
      <c r="S440" s="11">
        <f>INDEX(Raw_product_master[Target_Margin], MATCH(Cleaned_Sales_data[[#This Row],[Product]],Raw_product_master[Product], 0 ))</f>
        <v>0.12</v>
      </c>
      <c r="T440" t="str">
        <f>IF(Cleaned_Sales_data[[#This Row],[Profit]]&gt;0, "Profitable", "Loss")</f>
        <v>Profitable</v>
      </c>
      <c r="U440" t="str">
        <f>_xlfn.IFS(Cleaned_Sales_data[[#This Row],[Profit]]&gt;=10000, "High", Cleaned_Sales_data[[#This Row],[Profit]]&gt;=5000, "Medium", Cleaned_Sales_data[[#This Row],[Profit]]&gt;=0, "Low", Cleaned_Sales_data[[#This Row],[Profit]] &lt;0, "Loss")</f>
        <v>Medium</v>
      </c>
      <c r="V440" t="str">
        <f t="shared" si="6"/>
        <v>UnderPerforming</v>
      </c>
      <c r="W440" s="3">
        <v>46023</v>
      </c>
    </row>
    <row r="441" spans="1:23">
      <c r="A441" t="s">
        <v>309</v>
      </c>
      <c r="B441" s="3">
        <v>46145</v>
      </c>
      <c r="C441" t="s">
        <v>30</v>
      </c>
      <c r="D441" t="str">
        <f>INDEX(Raw_product_master[Category],MATCH(Cleaned_Sales_data[[#This Row],[Product]],Raw_product_master[Product],0))</f>
        <v>Displays</v>
      </c>
      <c r="E441" t="s">
        <v>25</v>
      </c>
      <c r="F441" t="s">
        <v>26</v>
      </c>
      <c r="G441" t="s">
        <v>21</v>
      </c>
      <c r="H441">
        <v>2</v>
      </c>
      <c r="I441">
        <v>28000</v>
      </c>
      <c r="J441" s="10">
        <v>0.1</v>
      </c>
      <c r="K441">
        <v>56000</v>
      </c>
      <c r="L441">
        <v>50400</v>
      </c>
      <c r="M441">
        <v>43680</v>
      </c>
      <c r="N441">
        <v>851</v>
      </c>
      <c r="O441">
        <v>1982</v>
      </c>
      <c r="P441">
        <f>INDEX(Raw_product_master[Standard_Cost_Per_Unit],MATCH(Cleaned_Sales_data[[#This Row],[Product]],Raw_product_master[Product],0))</f>
        <v>21840</v>
      </c>
      <c r="Q441">
        <v>3887</v>
      </c>
      <c r="R441" s="11">
        <v>7.7123015873015899E-2</v>
      </c>
      <c r="S441" s="11">
        <f>INDEX(Raw_product_master[Target_Margin], MATCH(Cleaned_Sales_data[[#This Row],[Product]],Raw_product_master[Product], 0 ))</f>
        <v>0.18</v>
      </c>
      <c r="T441" t="str">
        <f>IF(Cleaned_Sales_data[[#This Row],[Profit]]&gt;0, "Profitable", "Loss")</f>
        <v>Profitable</v>
      </c>
      <c r="U441" t="str">
        <f>_xlfn.IFS(Cleaned_Sales_data[[#This Row],[Profit]]&gt;=10000, "High", Cleaned_Sales_data[[#This Row],[Profit]]&gt;=5000, "Medium", Cleaned_Sales_data[[#This Row],[Profit]]&gt;=0, "Low", Cleaned_Sales_data[[#This Row],[Profit]] &lt;0, "Loss")</f>
        <v>Low</v>
      </c>
      <c r="V441" t="str">
        <f t="shared" si="6"/>
        <v>UnderPerforming</v>
      </c>
      <c r="W441" s="3">
        <v>46143</v>
      </c>
    </row>
    <row r="442" spans="1:23">
      <c r="A442" t="s">
        <v>314</v>
      </c>
      <c r="B442" s="3">
        <v>46198</v>
      </c>
      <c r="C442" t="s">
        <v>75</v>
      </c>
      <c r="D442" t="str">
        <f>INDEX(Raw_product_master[Category],MATCH(Cleaned_Sales_data[[#This Row],[Product]],Raw_product_master[Product],0))</f>
        <v>Computers</v>
      </c>
      <c r="E442" t="s">
        <v>51</v>
      </c>
      <c r="F442" t="s">
        <v>26</v>
      </c>
      <c r="G442" t="s">
        <v>21</v>
      </c>
      <c r="H442">
        <v>2</v>
      </c>
      <c r="I442">
        <v>65000</v>
      </c>
      <c r="J442" s="10">
        <v>0.08</v>
      </c>
      <c r="K442">
        <v>130000</v>
      </c>
      <c r="L442">
        <v>119600</v>
      </c>
      <c r="M442">
        <v>109200</v>
      </c>
      <c r="N442">
        <v>1689</v>
      </c>
      <c r="O442">
        <v>869</v>
      </c>
      <c r="P442">
        <f>INDEX(Raw_product_master[Standard_Cost_Per_Unit],MATCH(Cleaned_Sales_data[[#This Row],[Product]],Raw_product_master[Product],0))</f>
        <v>54600</v>
      </c>
      <c r="Q442">
        <v>7842</v>
      </c>
      <c r="R442" s="11">
        <v>6.55685618729097E-2</v>
      </c>
      <c r="S442" s="11">
        <f>INDEX(Raw_product_master[Target_Margin], MATCH(Cleaned_Sales_data[[#This Row],[Product]],Raw_product_master[Product], 0 ))</f>
        <v>0.12</v>
      </c>
      <c r="T442" t="str">
        <f>IF(Cleaned_Sales_data[[#This Row],[Profit]]&gt;0, "Profitable", "Loss")</f>
        <v>Profitable</v>
      </c>
      <c r="U442" t="str">
        <f>_xlfn.IFS(Cleaned_Sales_data[[#This Row],[Profit]]&gt;=10000, "High", Cleaned_Sales_data[[#This Row],[Profit]]&gt;=5000, "Medium", Cleaned_Sales_data[[#This Row],[Profit]]&gt;=0, "Low", Cleaned_Sales_data[[#This Row],[Profit]] &lt;0, "Loss")</f>
        <v>Medium</v>
      </c>
      <c r="V442" t="str">
        <f t="shared" si="6"/>
        <v>UnderPerforming</v>
      </c>
      <c r="W442" s="3">
        <v>46174</v>
      </c>
    </row>
    <row r="443" spans="1:23">
      <c r="A443" t="s">
        <v>315</v>
      </c>
      <c r="B443" s="3">
        <v>46118</v>
      </c>
      <c r="C443" t="s">
        <v>18</v>
      </c>
      <c r="D443" t="str">
        <f>INDEX(Raw_product_master[Category],MATCH(Cleaned_Sales_data[[#This Row],[Product]],Raw_product_master[Product],0))</f>
        <v>Computers</v>
      </c>
      <c r="E443" t="s">
        <v>34</v>
      </c>
      <c r="F443" t="s">
        <v>26</v>
      </c>
      <c r="G443" t="s">
        <v>21</v>
      </c>
      <c r="H443">
        <v>3</v>
      </c>
      <c r="I443">
        <v>32000</v>
      </c>
      <c r="J443" s="10">
        <v>0.08</v>
      </c>
      <c r="K443">
        <v>96000</v>
      </c>
      <c r="L443">
        <v>88320</v>
      </c>
      <c r="M443">
        <v>78720</v>
      </c>
      <c r="N443">
        <v>287</v>
      </c>
      <c r="O443">
        <v>1167</v>
      </c>
      <c r="P443">
        <f>INDEX(Raw_product_master[Standard_Cost_Per_Unit],MATCH(Cleaned_Sales_data[[#This Row],[Product]],Raw_product_master[Product],0))</f>
        <v>26240</v>
      </c>
      <c r="Q443">
        <v>8146</v>
      </c>
      <c r="R443" s="11">
        <v>9.2232789855072495E-2</v>
      </c>
      <c r="S443" s="11">
        <f>INDEX(Raw_product_master[Target_Margin], MATCH(Cleaned_Sales_data[[#This Row],[Product]],Raw_product_master[Product], 0 ))</f>
        <v>0.12</v>
      </c>
      <c r="T443" t="str">
        <f>IF(Cleaned_Sales_data[[#This Row],[Profit]]&gt;0, "Profitable", "Loss")</f>
        <v>Profitable</v>
      </c>
      <c r="U443" t="str">
        <f>_xlfn.IFS(Cleaned_Sales_data[[#This Row],[Profit]]&gt;=10000, "High", Cleaned_Sales_data[[#This Row],[Profit]]&gt;=5000, "Medium", Cleaned_Sales_data[[#This Row],[Profit]]&gt;=0, "Low", Cleaned_Sales_data[[#This Row],[Profit]] &lt;0, "Loss")</f>
        <v>Medium</v>
      </c>
      <c r="V443" t="str">
        <f t="shared" si="6"/>
        <v>UnderPerforming</v>
      </c>
      <c r="W443" s="3">
        <v>46113</v>
      </c>
    </row>
    <row r="444" spans="1:23">
      <c r="A444" t="s">
        <v>340</v>
      </c>
      <c r="B444" s="3">
        <v>45801</v>
      </c>
      <c r="C444" t="s">
        <v>30</v>
      </c>
      <c r="D444" t="str">
        <f>INDEX(Raw_product_master[Category],MATCH(Cleaned_Sales_data[[#This Row],[Product]],Raw_product_master[Product],0))</f>
        <v>Displays</v>
      </c>
      <c r="E444" t="s">
        <v>19</v>
      </c>
      <c r="F444" t="s">
        <v>26</v>
      </c>
      <c r="G444" t="s">
        <v>21</v>
      </c>
      <c r="H444">
        <v>2</v>
      </c>
      <c r="I444">
        <v>28000</v>
      </c>
      <c r="J444" s="10">
        <v>0.1</v>
      </c>
      <c r="K444">
        <v>56000</v>
      </c>
      <c r="L444">
        <v>50400</v>
      </c>
      <c r="M444">
        <v>43680</v>
      </c>
      <c r="N444">
        <v>1289</v>
      </c>
      <c r="O444">
        <v>197</v>
      </c>
      <c r="P444">
        <f>INDEX(Raw_product_master[Standard_Cost_Per_Unit],MATCH(Cleaned_Sales_data[[#This Row],[Product]],Raw_product_master[Product],0))</f>
        <v>21840</v>
      </c>
      <c r="Q444">
        <v>5234</v>
      </c>
      <c r="R444" s="11">
        <v>0.103849206349206</v>
      </c>
      <c r="S444" s="11">
        <f>INDEX(Raw_product_master[Target_Margin], MATCH(Cleaned_Sales_data[[#This Row],[Product]],Raw_product_master[Product], 0 ))</f>
        <v>0.18</v>
      </c>
      <c r="T444" t="str">
        <f>IF(Cleaned_Sales_data[[#This Row],[Profit]]&gt;0, "Profitable", "Loss")</f>
        <v>Profitable</v>
      </c>
      <c r="U444" t="str">
        <f>_xlfn.IFS(Cleaned_Sales_data[[#This Row],[Profit]]&gt;=10000, "High", Cleaned_Sales_data[[#This Row],[Profit]]&gt;=5000, "Medium", Cleaned_Sales_data[[#This Row],[Profit]]&gt;=0, "Low", Cleaned_Sales_data[[#This Row],[Profit]] &lt;0, "Loss")</f>
        <v>Medium</v>
      </c>
      <c r="V444" t="str">
        <f t="shared" si="6"/>
        <v>UnderPerforming</v>
      </c>
      <c r="W444" s="3">
        <v>45778</v>
      </c>
    </row>
    <row r="445" spans="1:23">
      <c r="A445" t="s">
        <v>349</v>
      </c>
      <c r="B445" s="3">
        <v>45766</v>
      </c>
      <c r="C445" t="s">
        <v>46</v>
      </c>
      <c r="D445" t="str">
        <f>INDEX(Raw_product_master[Category],MATCH(Cleaned_Sales_data[[#This Row],[Product]],Raw_product_master[Product],0))</f>
        <v>Office Equipment</v>
      </c>
      <c r="E445" t="s">
        <v>51</v>
      </c>
      <c r="F445" t="s">
        <v>26</v>
      </c>
      <c r="G445" t="s">
        <v>21</v>
      </c>
      <c r="H445">
        <v>1</v>
      </c>
      <c r="I445">
        <v>18000</v>
      </c>
      <c r="J445" s="10">
        <v>0.1</v>
      </c>
      <c r="K445">
        <v>18000</v>
      </c>
      <c r="L445">
        <v>16200</v>
      </c>
      <c r="M445">
        <v>14400</v>
      </c>
      <c r="N445">
        <v>1013</v>
      </c>
      <c r="O445">
        <v>1252</v>
      </c>
      <c r="P445">
        <f>INDEX(Raw_product_master[Standard_Cost_Per_Unit],MATCH(Cleaned_Sales_data[[#This Row],[Product]],Raw_product_master[Product],0))</f>
        <v>14400</v>
      </c>
      <c r="Q445">
        <v>-465</v>
      </c>
      <c r="R445" s="11">
        <v>-2.87037037037037E-2</v>
      </c>
      <c r="S445" s="11">
        <f>INDEX(Raw_product_master[Target_Margin], MATCH(Cleaned_Sales_data[[#This Row],[Product]],Raw_product_master[Product], 0 ))</f>
        <v>0.15</v>
      </c>
      <c r="T445" t="str">
        <f>IF(Cleaned_Sales_data[[#This Row],[Profit]]&gt;0, "Profitable", "Loss")</f>
        <v>Loss</v>
      </c>
      <c r="U445" t="str">
        <f>_xlfn.IFS(Cleaned_Sales_data[[#This Row],[Profit]]&gt;=10000, "High", Cleaned_Sales_data[[#This Row],[Profit]]&gt;=5000, "Medium", Cleaned_Sales_data[[#This Row],[Profit]]&gt;=0, "Low", Cleaned_Sales_data[[#This Row],[Profit]] &lt;0, "Loss")</f>
        <v>Loss</v>
      </c>
      <c r="V445" t="str">
        <f t="shared" si="6"/>
        <v>UnderPerforming</v>
      </c>
      <c r="W445" s="3">
        <v>45748</v>
      </c>
    </row>
    <row r="446" spans="1:23">
      <c r="A446" t="s">
        <v>350</v>
      </c>
      <c r="B446" s="3">
        <v>46194</v>
      </c>
      <c r="C446" t="s">
        <v>53</v>
      </c>
      <c r="D446" t="str">
        <f>INDEX(Raw_product_master[Category],MATCH(Cleaned_Sales_data[[#This Row],[Product]],Raw_product_master[Product],0))</f>
        <v>Accessories</v>
      </c>
      <c r="E446" t="s">
        <v>19</v>
      </c>
      <c r="F446" t="s">
        <v>26</v>
      </c>
      <c r="G446" t="s">
        <v>21</v>
      </c>
      <c r="H446">
        <v>4</v>
      </c>
      <c r="I446">
        <v>1500</v>
      </c>
      <c r="J446" s="10">
        <v>0.15</v>
      </c>
      <c r="K446">
        <v>6000</v>
      </c>
      <c r="L446">
        <v>5100</v>
      </c>
      <c r="M446">
        <v>3300</v>
      </c>
      <c r="N446">
        <v>1794</v>
      </c>
      <c r="O446">
        <v>346</v>
      </c>
      <c r="P446">
        <f>INDEX(Raw_product_master[Standard_Cost_Per_Unit],MATCH(Cleaned_Sales_data[[#This Row],[Product]],Raw_product_master[Product],0))</f>
        <v>825</v>
      </c>
      <c r="Q446">
        <v>-340</v>
      </c>
      <c r="R446" s="11">
        <v>-6.6666666666666805E-2</v>
      </c>
      <c r="S446" s="11">
        <f>INDEX(Raw_product_master[Target_Margin], MATCH(Cleaned_Sales_data[[#This Row],[Product]],Raw_product_master[Product], 0 ))</f>
        <v>0.3</v>
      </c>
      <c r="T446" t="str">
        <f>IF(Cleaned_Sales_data[[#This Row],[Profit]]&gt;0, "Profitable", "Loss")</f>
        <v>Loss</v>
      </c>
      <c r="U446" t="str">
        <f>_xlfn.IFS(Cleaned_Sales_data[[#This Row],[Profit]]&gt;=10000, "High", Cleaned_Sales_data[[#This Row],[Profit]]&gt;=5000, "Medium", Cleaned_Sales_data[[#This Row],[Profit]]&gt;=0, "Low", Cleaned_Sales_data[[#This Row],[Profit]] &lt;0, "Loss")</f>
        <v>Loss</v>
      </c>
      <c r="V446" t="str">
        <f t="shared" si="6"/>
        <v>UnderPerforming</v>
      </c>
      <c r="W446" s="3">
        <v>46174</v>
      </c>
    </row>
    <row r="447" spans="1:23">
      <c r="A447" t="s">
        <v>401</v>
      </c>
      <c r="B447" s="3">
        <v>45885</v>
      </c>
      <c r="C447" t="s">
        <v>61</v>
      </c>
      <c r="D447" t="str">
        <f>INDEX(Raw_product_master[Category],MATCH(Cleaned_Sales_data[[#This Row],[Product]],Raw_product_master[Product],0))</f>
        <v>Accessories</v>
      </c>
      <c r="E447" t="s">
        <v>34</v>
      </c>
      <c r="F447" t="s">
        <v>26</v>
      </c>
      <c r="G447" t="s">
        <v>21</v>
      </c>
      <c r="H447">
        <v>1</v>
      </c>
      <c r="I447">
        <v>4500</v>
      </c>
      <c r="J447" s="10">
        <v>0.15</v>
      </c>
      <c r="K447">
        <v>4500</v>
      </c>
      <c r="L447">
        <v>3825</v>
      </c>
      <c r="M447">
        <v>2925</v>
      </c>
      <c r="N447">
        <v>865</v>
      </c>
      <c r="O447">
        <v>1871</v>
      </c>
      <c r="P447">
        <f>INDEX(Raw_product_master[Standard_Cost_Per_Unit],MATCH(Cleaned_Sales_data[[#This Row],[Product]],Raw_product_master[Product],0))</f>
        <v>2925</v>
      </c>
      <c r="Q447">
        <v>-1836</v>
      </c>
      <c r="R447" s="11">
        <v>-0.48</v>
      </c>
      <c r="S447" s="11">
        <f>INDEX(Raw_product_master[Target_Margin], MATCH(Cleaned_Sales_data[[#This Row],[Product]],Raw_product_master[Product], 0 ))</f>
        <v>0.22</v>
      </c>
      <c r="T447" t="str">
        <f>IF(Cleaned_Sales_data[[#This Row],[Profit]]&gt;0, "Profitable", "Loss")</f>
        <v>Loss</v>
      </c>
      <c r="U447" t="str">
        <f>_xlfn.IFS(Cleaned_Sales_data[[#This Row],[Profit]]&gt;=10000, "High", Cleaned_Sales_data[[#This Row],[Profit]]&gt;=5000, "Medium", Cleaned_Sales_data[[#This Row],[Profit]]&gt;=0, "Low", Cleaned_Sales_data[[#This Row],[Profit]] &lt;0, "Loss")</f>
        <v>Loss</v>
      </c>
      <c r="V447" t="str">
        <f t="shared" si="6"/>
        <v>UnderPerforming</v>
      </c>
      <c r="W447" s="3">
        <v>45870</v>
      </c>
    </row>
    <row r="448" spans="1:23">
      <c r="A448" t="s">
        <v>405</v>
      </c>
      <c r="B448" s="3">
        <v>45977</v>
      </c>
      <c r="C448" t="s">
        <v>46</v>
      </c>
      <c r="D448" t="str">
        <f>INDEX(Raw_product_master[Category],MATCH(Cleaned_Sales_data[[#This Row],[Product]],Raw_product_master[Product],0))</f>
        <v>Office Equipment</v>
      </c>
      <c r="E448" t="s">
        <v>34</v>
      </c>
      <c r="F448" t="s">
        <v>26</v>
      </c>
      <c r="G448" t="s">
        <v>21</v>
      </c>
      <c r="H448">
        <v>2</v>
      </c>
      <c r="I448">
        <v>18000</v>
      </c>
      <c r="J448" s="10">
        <v>0.08</v>
      </c>
      <c r="K448">
        <v>36000</v>
      </c>
      <c r="L448">
        <v>33120</v>
      </c>
      <c r="M448">
        <v>28800</v>
      </c>
      <c r="N448">
        <v>882</v>
      </c>
      <c r="O448">
        <v>1933</v>
      </c>
      <c r="P448">
        <f>INDEX(Raw_product_master[Standard_Cost_Per_Unit],MATCH(Cleaned_Sales_data[[#This Row],[Product]],Raw_product_master[Product],0))</f>
        <v>14400</v>
      </c>
      <c r="Q448">
        <v>1505</v>
      </c>
      <c r="R448" s="11">
        <v>4.5440821256038599E-2</v>
      </c>
      <c r="S448" s="11">
        <f>INDEX(Raw_product_master[Target_Margin], MATCH(Cleaned_Sales_data[[#This Row],[Product]],Raw_product_master[Product], 0 ))</f>
        <v>0.15</v>
      </c>
      <c r="T448" t="str">
        <f>IF(Cleaned_Sales_data[[#This Row],[Profit]]&gt;0, "Profitable", "Loss")</f>
        <v>Profitable</v>
      </c>
      <c r="U448" t="str">
        <f>_xlfn.IFS(Cleaned_Sales_data[[#This Row],[Profit]]&gt;=10000, "High", Cleaned_Sales_data[[#This Row],[Profit]]&gt;=5000, "Medium", Cleaned_Sales_data[[#This Row],[Profit]]&gt;=0, "Low", Cleaned_Sales_data[[#This Row],[Profit]] &lt;0, "Loss")</f>
        <v>Low</v>
      </c>
      <c r="V448" t="str">
        <f t="shared" si="6"/>
        <v>UnderPerforming</v>
      </c>
      <c r="W448" s="3">
        <v>45962</v>
      </c>
    </row>
    <row r="449" spans="1:23">
      <c r="A449" t="s">
        <v>410</v>
      </c>
      <c r="B449" s="3">
        <v>46032</v>
      </c>
      <c r="C449" t="s">
        <v>24</v>
      </c>
      <c r="D449" t="str">
        <f>INDEX(Raw_product_master[Category],MATCH(Cleaned_Sales_data[[#This Row],[Product]],Raw_product_master[Product],0))</f>
        <v>Accessories</v>
      </c>
      <c r="E449" t="s">
        <v>25</v>
      </c>
      <c r="F449" t="s">
        <v>26</v>
      </c>
      <c r="G449" t="s">
        <v>21</v>
      </c>
      <c r="H449">
        <v>3</v>
      </c>
      <c r="I449">
        <v>3500</v>
      </c>
      <c r="J449" s="10">
        <v>0.08</v>
      </c>
      <c r="K449">
        <v>10500</v>
      </c>
      <c r="L449">
        <v>9660</v>
      </c>
      <c r="M449">
        <v>7140</v>
      </c>
      <c r="N449">
        <v>1751</v>
      </c>
      <c r="O449">
        <v>1189</v>
      </c>
      <c r="P449">
        <f>INDEX(Raw_product_master[Standard_Cost_Per_Unit],MATCH(Cleaned_Sales_data[[#This Row],[Product]],Raw_product_master[Product],0))</f>
        <v>2380</v>
      </c>
      <c r="Q449">
        <v>-420</v>
      </c>
      <c r="R449" s="11">
        <v>-4.3478260869565299E-2</v>
      </c>
      <c r="S449" s="11">
        <f>INDEX(Raw_product_master[Target_Margin], MATCH(Cleaned_Sales_data[[#This Row],[Product]],Raw_product_master[Product], 0 ))</f>
        <v>0.2</v>
      </c>
      <c r="T449" t="str">
        <f>IF(Cleaned_Sales_data[[#This Row],[Profit]]&gt;0, "Profitable", "Loss")</f>
        <v>Loss</v>
      </c>
      <c r="U449" t="str">
        <f>_xlfn.IFS(Cleaned_Sales_data[[#This Row],[Profit]]&gt;=10000, "High", Cleaned_Sales_data[[#This Row],[Profit]]&gt;=5000, "Medium", Cleaned_Sales_data[[#This Row],[Profit]]&gt;=0, "Low", Cleaned_Sales_data[[#This Row],[Profit]] &lt;0, "Loss")</f>
        <v>Loss</v>
      </c>
      <c r="V449" t="str">
        <f t="shared" si="6"/>
        <v>UnderPerforming</v>
      </c>
      <c r="W449" s="3">
        <v>46023</v>
      </c>
    </row>
    <row r="450" spans="1:23">
      <c r="A450" t="s">
        <v>420</v>
      </c>
      <c r="B450" s="3">
        <v>45832</v>
      </c>
      <c r="C450" t="s">
        <v>53</v>
      </c>
      <c r="D450" t="str">
        <f>INDEX(Raw_product_master[Category],MATCH(Cleaned_Sales_data[[#This Row],[Product]],Raw_product_master[Product],0))</f>
        <v>Accessories</v>
      </c>
      <c r="E450" t="s">
        <v>51</v>
      </c>
      <c r="F450" t="s">
        <v>26</v>
      </c>
      <c r="G450" t="s">
        <v>21</v>
      </c>
      <c r="H450">
        <v>3</v>
      </c>
      <c r="I450">
        <v>1500</v>
      </c>
      <c r="J450" s="10">
        <v>0</v>
      </c>
      <c r="K450">
        <v>4500</v>
      </c>
      <c r="L450">
        <v>4500</v>
      </c>
      <c r="M450">
        <v>2475</v>
      </c>
      <c r="N450">
        <v>670</v>
      </c>
      <c r="O450">
        <v>2365</v>
      </c>
      <c r="P450">
        <f>INDEX(Raw_product_master[Standard_Cost_Per_Unit],MATCH(Cleaned_Sales_data[[#This Row],[Product]],Raw_product_master[Product],0))</f>
        <v>825</v>
      </c>
      <c r="Q450">
        <v>-1010</v>
      </c>
      <c r="R450" s="11">
        <v>-0.224444444444444</v>
      </c>
      <c r="S450" s="11">
        <f>INDEX(Raw_product_master[Target_Margin], MATCH(Cleaned_Sales_data[[#This Row],[Product]],Raw_product_master[Product], 0 ))</f>
        <v>0.3</v>
      </c>
      <c r="T450" t="str">
        <f>IF(Cleaned_Sales_data[[#This Row],[Profit]]&gt;0, "Profitable", "Loss")</f>
        <v>Loss</v>
      </c>
      <c r="U450" t="str">
        <f>_xlfn.IFS(Cleaned_Sales_data[[#This Row],[Profit]]&gt;=10000, "High", Cleaned_Sales_data[[#This Row],[Profit]]&gt;=5000, "Medium", Cleaned_Sales_data[[#This Row],[Profit]]&gt;=0, "Low", Cleaned_Sales_data[[#This Row],[Profit]] &lt;0, "Loss")</f>
        <v>Loss</v>
      </c>
      <c r="V450" t="str">
        <f t="shared" ref="V450:V513" si="7">IF(R450&lt;S450, "UnderPerforming", "On Target")</f>
        <v>UnderPerforming</v>
      </c>
      <c r="W450" s="3">
        <v>45809</v>
      </c>
    </row>
    <row r="451" spans="1:23">
      <c r="A451" t="s">
        <v>421</v>
      </c>
      <c r="B451" s="3">
        <v>46190</v>
      </c>
      <c r="C451" t="s">
        <v>75</v>
      </c>
      <c r="D451" t="str">
        <f>INDEX(Raw_product_master[Category],MATCH(Cleaned_Sales_data[[#This Row],[Product]],Raw_product_master[Product],0))</f>
        <v>Computers</v>
      </c>
      <c r="E451" t="s">
        <v>31</v>
      </c>
      <c r="F451" t="s">
        <v>26</v>
      </c>
      <c r="G451" t="s">
        <v>21</v>
      </c>
      <c r="H451">
        <v>3</v>
      </c>
      <c r="I451">
        <v>65000</v>
      </c>
      <c r="J451" s="10">
        <v>0.2</v>
      </c>
      <c r="K451">
        <v>195000</v>
      </c>
      <c r="L451">
        <v>156000</v>
      </c>
      <c r="M451">
        <v>163800</v>
      </c>
      <c r="N451">
        <v>630</v>
      </c>
      <c r="O451">
        <v>892</v>
      </c>
      <c r="P451">
        <f>INDEX(Raw_product_master[Standard_Cost_Per_Unit],MATCH(Cleaned_Sales_data[[#This Row],[Product]],Raw_product_master[Product],0))</f>
        <v>54600</v>
      </c>
      <c r="Q451">
        <v>-9322</v>
      </c>
      <c r="R451" s="11">
        <v>-5.9756410256410299E-2</v>
      </c>
      <c r="S451" s="11">
        <f>INDEX(Raw_product_master[Target_Margin], MATCH(Cleaned_Sales_data[[#This Row],[Product]],Raw_product_master[Product], 0 ))</f>
        <v>0.12</v>
      </c>
      <c r="T451" t="str">
        <f>IF(Cleaned_Sales_data[[#This Row],[Profit]]&gt;0, "Profitable", "Loss")</f>
        <v>Loss</v>
      </c>
      <c r="U451" t="str">
        <f>_xlfn.IFS(Cleaned_Sales_data[[#This Row],[Profit]]&gt;=10000, "High", Cleaned_Sales_data[[#This Row],[Profit]]&gt;=5000, "Medium", Cleaned_Sales_data[[#This Row],[Profit]]&gt;=0, "Low", Cleaned_Sales_data[[#This Row],[Profit]] &lt;0, "Loss")</f>
        <v>Loss</v>
      </c>
      <c r="V451" t="str">
        <f t="shared" si="7"/>
        <v>UnderPerforming</v>
      </c>
      <c r="W451" s="3">
        <v>46174</v>
      </c>
    </row>
    <row r="452" spans="1:23">
      <c r="A452" t="s">
        <v>422</v>
      </c>
      <c r="B452" s="3">
        <v>46012</v>
      </c>
      <c r="C452" t="s">
        <v>30</v>
      </c>
      <c r="D452" t="str">
        <f>INDEX(Raw_product_master[Category],MATCH(Cleaned_Sales_data[[#This Row],[Product]],Raw_product_master[Product],0))</f>
        <v>Displays</v>
      </c>
      <c r="E452" t="s">
        <v>25</v>
      </c>
      <c r="F452" t="s">
        <v>26</v>
      </c>
      <c r="G452" t="s">
        <v>21</v>
      </c>
      <c r="H452">
        <v>1</v>
      </c>
      <c r="I452">
        <v>28000</v>
      </c>
      <c r="J452" s="10">
        <v>0.05</v>
      </c>
      <c r="K452">
        <v>28000</v>
      </c>
      <c r="L452">
        <v>26600</v>
      </c>
      <c r="M452">
        <v>21840</v>
      </c>
      <c r="N452">
        <v>1527</v>
      </c>
      <c r="O452">
        <v>1123</v>
      </c>
      <c r="P452">
        <f>INDEX(Raw_product_master[Standard_Cost_Per_Unit],MATCH(Cleaned_Sales_data[[#This Row],[Product]],Raw_product_master[Product],0))</f>
        <v>21840</v>
      </c>
      <c r="Q452">
        <v>2110</v>
      </c>
      <c r="R452" s="11">
        <v>7.9323308270676698E-2</v>
      </c>
      <c r="S452" s="11">
        <f>INDEX(Raw_product_master[Target_Margin], MATCH(Cleaned_Sales_data[[#This Row],[Product]],Raw_product_master[Product], 0 ))</f>
        <v>0.18</v>
      </c>
      <c r="T452" t="str">
        <f>IF(Cleaned_Sales_data[[#This Row],[Profit]]&gt;0, "Profitable", "Loss")</f>
        <v>Profitable</v>
      </c>
      <c r="U452" t="str">
        <f>_xlfn.IFS(Cleaned_Sales_data[[#This Row],[Profit]]&gt;=10000, "High", Cleaned_Sales_data[[#This Row],[Profit]]&gt;=5000, "Medium", Cleaned_Sales_data[[#This Row],[Profit]]&gt;=0, "Low", Cleaned_Sales_data[[#This Row],[Profit]] &lt;0, "Loss")</f>
        <v>Low</v>
      </c>
      <c r="V452" t="str">
        <f t="shared" si="7"/>
        <v>UnderPerforming</v>
      </c>
      <c r="W452" s="3">
        <v>45992</v>
      </c>
    </row>
    <row r="453" spans="1:23">
      <c r="A453" t="s">
        <v>430</v>
      </c>
      <c r="B453" s="3">
        <v>46158</v>
      </c>
      <c r="C453" t="s">
        <v>75</v>
      </c>
      <c r="D453" t="str">
        <f>INDEX(Raw_product_master[Category],MATCH(Cleaned_Sales_data[[#This Row],[Product]],Raw_product_master[Product],0))</f>
        <v>Computers</v>
      </c>
      <c r="E453" t="s">
        <v>63</v>
      </c>
      <c r="F453" t="s">
        <v>26</v>
      </c>
      <c r="G453" t="s">
        <v>21</v>
      </c>
      <c r="H453">
        <v>2</v>
      </c>
      <c r="I453">
        <v>65000</v>
      </c>
      <c r="J453" s="10">
        <v>0.03</v>
      </c>
      <c r="K453">
        <v>130000</v>
      </c>
      <c r="L453">
        <v>126100</v>
      </c>
      <c r="M453">
        <v>109200</v>
      </c>
      <c r="N453">
        <v>1614</v>
      </c>
      <c r="O453">
        <v>1859</v>
      </c>
      <c r="P453">
        <f>INDEX(Raw_product_master[Standard_Cost_Per_Unit],MATCH(Cleaned_Sales_data[[#This Row],[Product]],Raw_product_master[Product],0))</f>
        <v>54600</v>
      </c>
      <c r="Q453">
        <v>13427</v>
      </c>
      <c r="R453" s="11">
        <v>0.106478984932593</v>
      </c>
      <c r="S453" s="11">
        <f>INDEX(Raw_product_master[Target_Margin], MATCH(Cleaned_Sales_data[[#This Row],[Product]],Raw_product_master[Product], 0 ))</f>
        <v>0.12</v>
      </c>
      <c r="T453" t="str">
        <f>IF(Cleaned_Sales_data[[#This Row],[Profit]]&gt;0, "Profitable", "Loss")</f>
        <v>Profitable</v>
      </c>
      <c r="U453" t="str">
        <f>_xlfn.IFS(Cleaned_Sales_data[[#This Row],[Profit]]&gt;=10000, "High", Cleaned_Sales_data[[#This Row],[Profit]]&gt;=5000, "Medium", Cleaned_Sales_data[[#This Row],[Profit]]&gt;=0, "Low", Cleaned_Sales_data[[#This Row],[Profit]] &lt;0, "Loss")</f>
        <v>High</v>
      </c>
      <c r="V453" t="str">
        <f t="shared" si="7"/>
        <v>UnderPerforming</v>
      </c>
      <c r="W453" s="3">
        <v>46143</v>
      </c>
    </row>
    <row r="454" spans="1:23">
      <c r="A454" t="s">
        <v>433</v>
      </c>
      <c r="B454" s="3">
        <v>46069</v>
      </c>
      <c r="C454" t="s">
        <v>50</v>
      </c>
      <c r="D454" t="str">
        <f>INDEX(Raw_product_master[Category],MATCH(Cleaned_Sales_data[[#This Row],[Product]],Raw_product_master[Product],0))</f>
        <v>Accessories</v>
      </c>
      <c r="E454" t="s">
        <v>51</v>
      </c>
      <c r="F454" t="s">
        <v>26</v>
      </c>
      <c r="G454" t="s">
        <v>21</v>
      </c>
      <c r="H454">
        <v>5</v>
      </c>
      <c r="I454">
        <v>2500</v>
      </c>
      <c r="J454" s="10">
        <v>0.03</v>
      </c>
      <c r="K454">
        <v>12500</v>
      </c>
      <c r="L454">
        <v>12125</v>
      </c>
      <c r="M454">
        <v>7750</v>
      </c>
      <c r="N454">
        <v>809</v>
      </c>
      <c r="O454">
        <v>1349</v>
      </c>
      <c r="P454">
        <f>INDEX(Raw_product_master[Standard_Cost_Per_Unit],MATCH(Cleaned_Sales_data[[#This Row],[Product]],Raw_product_master[Product],0))</f>
        <v>1550</v>
      </c>
      <c r="Q454">
        <v>2217</v>
      </c>
      <c r="R454" s="11">
        <v>0.18284536082474201</v>
      </c>
      <c r="S454" s="11">
        <f>INDEX(Raw_product_master[Target_Margin], MATCH(Cleaned_Sales_data[[#This Row],[Product]],Raw_product_master[Product], 0 ))</f>
        <v>0.25</v>
      </c>
      <c r="T454" t="str">
        <f>IF(Cleaned_Sales_data[[#This Row],[Profit]]&gt;0, "Profitable", "Loss")</f>
        <v>Profitable</v>
      </c>
      <c r="U454" t="str">
        <f>_xlfn.IFS(Cleaned_Sales_data[[#This Row],[Profit]]&gt;=10000, "High", Cleaned_Sales_data[[#This Row],[Profit]]&gt;=5000, "Medium", Cleaned_Sales_data[[#This Row],[Profit]]&gt;=0, "Low", Cleaned_Sales_data[[#This Row],[Profit]] &lt;0, "Loss")</f>
        <v>Low</v>
      </c>
      <c r="V454" t="str">
        <f t="shared" si="7"/>
        <v>UnderPerforming</v>
      </c>
      <c r="W454" s="3">
        <v>46054</v>
      </c>
    </row>
    <row r="455" spans="1:23">
      <c r="A455" t="s">
        <v>445</v>
      </c>
      <c r="B455" s="3">
        <v>45750</v>
      </c>
      <c r="C455" t="s">
        <v>18</v>
      </c>
      <c r="D455" t="str">
        <f>INDEX(Raw_product_master[Category],MATCH(Cleaned_Sales_data[[#This Row],[Product]],Raw_product_master[Product],0))</f>
        <v>Computers</v>
      </c>
      <c r="E455" t="s">
        <v>34</v>
      </c>
      <c r="F455" t="s">
        <v>26</v>
      </c>
      <c r="G455" t="s">
        <v>21</v>
      </c>
      <c r="H455">
        <v>1</v>
      </c>
      <c r="I455">
        <v>32000</v>
      </c>
      <c r="J455" s="10">
        <v>0.03</v>
      </c>
      <c r="K455">
        <v>32000</v>
      </c>
      <c r="L455">
        <v>31040</v>
      </c>
      <c r="M455">
        <v>26240</v>
      </c>
      <c r="N455">
        <v>953</v>
      </c>
      <c r="O455">
        <v>1977</v>
      </c>
      <c r="P455">
        <f>INDEX(Raw_product_master[Standard_Cost_Per_Unit],MATCH(Cleaned_Sales_data[[#This Row],[Product]],Raw_product_master[Product],0))</f>
        <v>26240</v>
      </c>
      <c r="Q455">
        <v>1870</v>
      </c>
      <c r="R455" s="11">
        <v>6.0244845360824702E-2</v>
      </c>
      <c r="S455" s="11">
        <f>INDEX(Raw_product_master[Target_Margin], MATCH(Cleaned_Sales_data[[#This Row],[Product]],Raw_product_master[Product], 0 ))</f>
        <v>0.12</v>
      </c>
      <c r="T455" t="str">
        <f>IF(Cleaned_Sales_data[[#This Row],[Profit]]&gt;0, "Profitable", "Loss")</f>
        <v>Profitable</v>
      </c>
      <c r="U455" t="str">
        <f>_xlfn.IFS(Cleaned_Sales_data[[#This Row],[Profit]]&gt;=10000, "High", Cleaned_Sales_data[[#This Row],[Profit]]&gt;=5000, "Medium", Cleaned_Sales_data[[#This Row],[Profit]]&gt;=0, "Low", Cleaned_Sales_data[[#This Row],[Profit]] &lt;0, "Loss")</f>
        <v>Low</v>
      </c>
      <c r="V455" t="str">
        <f t="shared" si="7"/>
        <v>UnderPerforming</v>
      </c>
      <c r="W455" s="3">
        <v>45748</v>
      </c>
    </row>
    <row r="456" spans="1:23">
      <c r="A456" t="s">
        <v>453</v>
      </c>
      <c r="B456" s="3">
        <v>46062</v>
      </c>
      <c r="C456" t="s">
        <v>53</v>
      </c>
      <c r="D456" t="str">
        <f>INDEX(Raw_product_master[Category],MATCH(Cleaned_Sales_data[[#This Row],[Product]],Raw_product_master[Product],0))</f>
        <v>Accessories</v>
      </c>
      <c r="E456" t="s">
        <v>34</v>
      </c>
      <c r="F456" t="s">
        <v>26</v>
      </c>
      <c r="G456" t="s">
        <v>21</v>
      </c>
      <c r="H456">
        <v>7</v>
      </c>
      <c r="I456">
        <v>1500</v>
      </c>
      <c r="J456" s="10">
        <v>0.15</v>
      </c>
      <c r="K456">
        <v>10500</v>
      </c>
      <c r="L456">
        <v>8925</v>
      </c>
      <c r="M456">
        <v>5775</v>
      </c>
      <c r="N456">
        <v>526</v>
      </c>
      <c r="O456">
        <v>2301</v>
      </c>
      <c r="P456">
        <f>INDEX(Raw_product_master[Standard_Cost_Per_Unit],MATCH(Cleaned_Sales_data[[#This Row],[Product]],Raw_product_master[Product],0))</f>
        <v>825</v>
      </c>
      <c r="Q456">
        <v>323</v>
      </c>
      <c r="R456" s="11">
        <v>3.6190476190476099E-2</v>
      </c>
      <c r="S456" s="11">
        <f>INDEX(Raw_product_master[Target_Margin], MATCH(Cleaned_Sales_data[[#This Row],[Product]],Raw_product_master[Product], 0 ))</f>
        <v>0.3</v>
      </c>
      <c r="T456" t="str">
        <f>IF(Cleaned_Sales_data[[#This Row],[Profit]]&gt;0, "Profitable", "Loss")</f>
        <v>Profitable</v>
      </c>
      <c r="U456" t="str">
        <f>_xlfn.IFS(Cleaned_Sales_data[[#This Row],[Profit]]&gt;=10000, "High", Cleaned_Sales_data[[#This Row],[Profit]]&gt;=5000, "Medium", Cleaned_Sales_data[[#This Row],[Profit]]&gt;=0, "Low", Cleaned_Sales_data[[#This Row],[Profit]] &lt;0, "Loss")</f>
        <v>Low</v>
      </c>
      <c r="V456" t="str">
        <f t="shared" si="7"/>
        <v>UnderPerforming</v>
      </c>
      <c r="W456" s="3">
        <v>46054</v>
      </c>
    </row>
    <row r="457" spans="1:23">
      <c r="A457" t="s">
        <v>463</v>
      </c>
      <c r="B457" s="3">
        <v>46146</v>
      </c>
      <c r="C457" t="s">
        <v>75</v>
      </c>
      <c r="D457" t="str">
        <f>INDEX(Raw_product_master[Category],MATCH(Cleaned_Sales_data[[#This Row],[Product]],Raw_product_master[Product],0))</f>
        <v>Computers</v>
      </c>
      <c r="E457" t="s">
        <v>25</v>
      </c>
      <c r="F457" t="s">
        <v>26</v>
      </c>
      <c r="G457" t="s">
        <v>21</v>
      </c>
      <c r="H457">
        <v>1</v>
      </c>
      <c r="I457">
        <v>65000</v>
      </c>
      <c r="J457" s="10">
        <v>0.1</v>
      </c>
      <c r="K457">
        <v>65000</v>
      </c>
      <c r="L457">
        <v>58500</v>
      </c>
      <c r="M457">
        <v>54600</v>
      </c>
      <c r="N457">
        <v>762</v>
      </c>
      <c r="O457">
        <v>1204</v>
      </c>
      <c r="P457">
        <f>INDEX(Raw_product_master[Standard_Cost_Per_Unit],MATCH(Cleaned_Sales_data[[#This Row],[Product]],Raw_product_master[Product],0))</f>
        <v>54600</v>
      </c>
      <c r="Q457">
        <v>1934</v>
      </c>
      <c r="R457" s="11">
        <v>3.3059829059829099E-2</v>
      </c>
      <c r="S457" s="11">
        <f>INDEX(Raw_product_master[Target_Margin], MATCH(Cleaned_Sales_data[[#This Row],[Product]],Raw_product_master[Product], 0 ))</f>
        <v>0.12</v>
      </c>
      <c r="T457" t="str">
        <f>IF(Cleaned_Sales_data[[#This Row],[Profit]]&gt;0, "Profitable", "Loss")</f>
        <v>Profitable</v>
      </c>
      <c r="U457" t="str">
        <f>_xlfn.IFS(Cleaned_Sales_data[[#This Row],[Profit]]&gt;=10000, "High", Cleaned_Sales_data[[#This Row],[Profit]]&gt;=5000, "Medium", Cleaned_Sales_data[[#This Row],[Profit]]&gt;=0, "Low", Cleaned_Sales_data[[#This Row],[Profit]] &lt;0, "Loss")</f>
        <v>Low</v>
      </c>
      <c r="V457" t="str">
        <f t="shared" si="7"/>
        <v>UnderPerforming</v>
      </c>
      <c r="W457" s="3">
        <v>46143</v>
      </c>
    </row>
    <row r="458" spans="1:23">
      <c r="A458" t="s">
        <v>470</v>
      </c>
      <c r="B458" s="3">
        <v>46033</v>
      </c>
      <c r="C458" t="s">
        <v>30</v>
      </c>
      <c r="D458" t="str">
        <f>INDEX(Raw_product_master[Category],MATCH(Cleaned_Sales_data[[#This Row],[Product]],Raw_product_master[Product],0))</f>
        <v>Displays</v>
      </c>
      <c r="E458" t="s">
        <v>34</v>
      </c>
      <c r="F458" t="s">
        <v>26</v>
      </c>
      <c r="G458" t="s">
        <v>21</v>
      </c>
      <c r="H458">
        <v>1</v>
      </c>
      <c r="I458">
        <v>28000</v>
      </c>
      <c r="J458" s="10">
        <v>0.03</v>
      </c>
      <c r="K458">
        <v>28000</v>
      </c>
      <c r="L458">
        <v>27160</v>
      </c>
      <c r="M458">
        <v>21840</v>
      </c>
      <c r="N458">
        <v>651</v>
      </c>
      <c r="O458">
        <v>1637</v>
      </c>
      <c r="P458">
        <f>INDEX(Raw_product_master[Standard_Cost_Per_Unit],MATCH(Cleaned_Sales_data[[#This Row],[Product]],Raw_product_master[Product],0))</f>
        <v>21840</v>
      </c>
      <c r="Q458">
        <v>3032</v>
      </c>
      <c r="R458" s="11">
        <v>0.11163475699558199</v>
      </c>
      <c r="S458" s="11">
        <f>INDEX(Raw_product_master[Target_Margin], MATCH(Cleaned_Sales_data[[#This Row],[Product]],Raw_product_master[Product], 0 ))</f>
        <v>0.18</v>
      </c>
      <c r="T458" t="str">
        <f>IF(Cleaned_Sales_data[[#This Row],[Profit]]&gt;0, "Profitable", "Loss")</f>
        <v>Profitable</v>
      </c>
      <c r="U458" t="str">
        <f>_xlfn.IFS(Cleaned_Sales_data[[#This Row],[Profit]]&gt;=10000, "High", Cleaned_Sales_data[[#This Row],[Profit]]&gt;=5000, "Medium", Cleaned_Sales_data[[#This Row],[Profit]]&gt;=0, "Low", Cleaned_Sales_data[[#This Row],[Profit]] &lt;0, "Loss")</f>
        <v>Low</v>
      </c>
      <c r="V458" t="str">
        <f t="shared" si="7"/>
        <v>UnderPerforming</v>
      </c>
      <c r="W458" s="3">
        <v>46023</v>
      </c>
    </row>
    <row r="459" spans="1:23">
      <c r="A459" t="s">
        <v>474</v>
      </c>
      <c r="B459" s="3">
        <v>45798</v>
      </c>
      <c r="C459" t="s">
        <v>30</v>
      </c>
      <c r="D459" t="str">
        <f>INDEX(Raw_product_master[Category],MATCH(Cleaned_Sales_data[[#This Row],[Product]],Raw_product_master[Product],0))</f>
        <v>Displays</v>
      </c>
      <c r="E459" t="s">
        <v>31</v>
      </c>
      <c r="F459" t="s">
        <v>26</v>
      </c>
      <c r="G459" t="s">
        <v>21</v>
      </c>
      <c r="H459">
        <v>2</v>
      </c>
      <c r="I459">
        <v>28000</v>
      </c>
      <c r="J459" s="10">
        <v>0.05</v>
      </c>
      <c r="K459">
        <v>56000</v>
      </c>
      <c r="L459">
        <v>53200</v>
      </c>
      <c r="M459">
        <v>43680</v>
      </c>
      <c r="N459">
        <v>651</v>
      </c>
      <c r="O459">
        <v>2436</v>
      </c>
      <c r="P459">
        <f>INDEX(Raw_product_master[Standard_Cost_Per_Unit],MATCH(Cleaned_Sales_data[[#This Row],[Product]],Raw_product_master[Product],0))</f>
        <v>21840</v>
      </c>
      <c r="Q459">
        <v>6433</v>
      </c>
      <c r="R459" s="11">
        <v>0.120921052631579</v>
      </c>
      <c r="S459" s="11">
        <f>INDEX(Raw_product_master[Target_Margin], MATCH(Cleaned_Sales_data[[#This Row],[Product]],Raw_product_master[Product], 0 ))</f>
        <v>0.18</v>
      </c>
      <c r="T459" t="str">
        <f>IF(Cleaned_Sales_data[[#This Row],[Profit]]&gt;0, "Profitable", "Loss")</f>
        <v>Profitable</v>
      </c>
      <c r="U459" t="str">
        <f>_xlfn.IFS(Cleaned_Sales_data[[#This Row],[Profit]]&gt;=10000, "High", Cleaned_Sales_data[[#This Row],[Profit]]&gt;=5000, "Medium", Cleaned_Sales_data[[#This Row],[Profit]]&gt;=0, "Low", Cleaned_Sales_data[[#This Row],[Profit]] &lt;0, "Loss")</f>
        <v>Medium</v>
      </c>
      <c r="V459" t="str">
        <f t="shared" si="7"/>
        <v>UnderPerforming</v>
      </c>
      <c r="W459" s="3">
        <v>45778</v>
      </c>
    </row>
    <row r="460" spans="1:23">
      <c r="A460" t="s">
        <v>497</v>
      </c>
      <c r="B460" s="3">
        <v>46101</v>
      </c>
      <c r="C460" t="s">
        <v>50</v>
      </c>
      <c r="D460" t="str">
        <f>INDEX(Raw_product_master[Category],MATCH(Cleaned_Sales_data[[#This Row],[Product]],Raw_product_master[Product],0))</f>
        <v>Accessories</v>
      </c>
      <c r="E460" t="s">
        <v>19</v>
      </c>
      <c r="F460" t="s">
        <v>26</v>
      </c>
      <c r="G460" t="s">
        <v>21</v>
      </c>
      <c r="H460">
        <v>4</v>
      </c>
      <c r="I460">
        <v>2500</v>
      </c>
      <c r="J460" s="10">
        <v>0.05</v>
      </c>
      <c r="K460">
        <v>10000</v>
      </c>
      <c r="L460">
        <v>9500</v>
      </c>
      <c r="M460">
        <v>6200</v>
      </c>
      <c r="N460">
        <v>395</v>
      </c>
      <c r="O460">
        <v>2287</v>
      </c>
      <c r="P460">
        <f>INDEX(Raw_product_master[Standard_Cost_Per_Unit],MATCH(Cleaned_Sales_data[[#This Row],[Product]],Raw_product_master[Product],0))</f>
        <v>1550</v>
      </c>
      <c r="Q460">
        <v>618</v>
      </c>
      <c r="R460" s="11">
        <v>6.5052631578947404E-2</v>
      </c>
      <c r="S460" s="11">
        <f>INDEX(Raw_product_master[Target_Margin], MATCH(Cleaned_Sales_data[[#This Row],[Product]],Raw_product_master[Product], 0 ))</f>
        <v>0.25</v>
      </c>
      <c r="T460" t="str">
        <f>IF(Cleaned_Sales_data[[#This Row],[Profit]]&gt;0, "Profitable", "Loss")</f>
        <v>Profitable</v>
      </c>
      <c r="U460" t="str">
        <f>_xlfn.IFS(Cleaned_Sales_data[[#This Row],[Profit]]&gt;=10000, "High", Cleaned_Sales_data[[#This Row],[Profit]]&gt;=5000, "Medium", Cleaned_Sales_data[[#This Row],[Profit]]&gt;=0, "Low", Cleaned_Sales_data[[#This Row],[Profit]] &lt;0, "Loss")</f>
        <v>Low</v>
      </c>
      <c r="V460" t="str">
        <f t="shared" si="7"/>
        <v>UnderPerforming</v>
      </c>
      <c r="W460" s="3">
        <v>46082</v>
      </c>
    </row>
    <row r="461" spans="1:23">
      <c r="A461" t="s">
        <v>502</v>
      </c>
      <c r="B461" s="3">
        <v>45904</v>
      </c>
      <c r="C461" t="s">
        <v>53</v>
      </c>
      <c r="D461" t="str">
        <f>INDEX(Raw_product_master[Category],MATCH(Cleaned_Sales_data[[#This Row],[Product]],Raw_product_master[Product],0))</f>
        <v>Accessories</v>
      </c>
      <c r="E461" t="s">
        <v>51</v>
      </c>
      <c r="F461" t="s">
        <v>26</v>
      </c>
      <c r="G461" t="s">
        <v>21</v>
      </c>
      <c r="H461">
        <v>7</v>
      </c>
      <c r="I461">
        <v>1500</v>
      </c>
      <c r="J461" s="10">
        <v>0.05</v>
      </c>
      <c r="K461">
        <v>10500</v>
      </c>
      <c r="L461">
        <v>9975</v>
      </c>
      <c r="M461">
        <v>5775</v>
      </c>
      <c r="N461">
        <v>1268</v>
      </c>
      <c r="O461">
        <v>1524</v>
      </c>
      <c r="P461">
        <f>INDEX(Raw_product_master[Standard_Cost_Per_Unit],MATCH(Cleaned_Sales_data[[#This Row],[Product]],Raw_product_master[Product],0))</f>
        <v>825</v>
      </c>
      <c r="Q461">
        <v>1408</v>
      </c>
      <c r="R461" s="11">
        <v>0.141152882205514</v>
      </c>
      <c r="S461" s="11">
        <f>INDEX(Raw_product_master[Target_Margin], MATCH(Cleaned_Sales_data[[#This Row],[Product]],Raw_product_master[Product], 0 ))</f>
        <v>0.3</v>
      </c>
      <c r="T461" t="str">
        <f>IF(Cleaned_Sales_data[[#This Row],[Profit]]&gt;0, "Profitable", "Loss")</f>
        <v>Profitable</v>
      </c>
      <c r="U461" t="str">
        <f>_xlfn.IFS(Cleaned_Sales_data[[#This Row],[Profit]]&gt;=10000, "High", Cleaned_Sales_data[[#This Row],[Profit]]&gt;=5000, "Medium", Cleaned_Sales_data[[#This Row],[Profit]]&gt;=0, "Low", Cleaned_Sales_data[[#This Row],[Profit]] &lt;0, "Loss")</f>
        <v>Low</v>
      </c>
      <c r="V461" t="str">
        <f t="shared" si="7"/>
        <v>UnderPerforming</v>
      </c>
      <c r="W461" s="3">
        <v>45901</v>
      </c>
    </row>
    <row r="462" spans="1:23">
      <c r="A462" t="s">
        <v>509</v>
      </c>
      <c r="B462" s="3">
        <v>46044</v>
      </c>
      <c r="C462" t="s">
        <v>61</v>
      </c>
      <c r="D462" t="str">
        <f>INDEX(Raw_product_master[Category],MATCH(Cleaned_Sales_data[[#This Row],[Product]],Raw_product_master[Product],0))</f>
        <v>Accessories</v>
      </c>
      <c r="E462" t="s">
        <v>51</v>
      </c>
      <c r="F462" t="s">
        <v>26</v>
      </c>
      <c r="G462" t="s">
        <v>21</v>
      </c>
      <c r="H462">
        <v>1</v>
      </c>
      <c r="I462">
        <v>4500</v>
      </c>
      <c r="J462" s="10">
        <v>0.15</v>
      </c>
      <c r="K462">
        <v>4500</v>
      </c>
      <c r="L462">
        <v>3825</v>
      </c>
      <c r="M462">
        <v>2925</v>
      </c>
      <c r="N462">
        <v>450</v>
      </c>
      <c r="O462">
        <v>1888</v>
      </c>
      <c r="P462">
        <f>INDEX(Raw_product_master[Standard_Cost_Per_Unit],MATCH(Cleaned_Sales_data[[#This Row],[Product]],Raw_product_master[Product],0))</f>
        <v>2925</v>
      </c>
      <c r="Q462">
        <v>-1438</v>
      </c>
      <c r="R462" s="11">
        <v>-0.37594771241830099</v>
      </c>
      <c r="S462" s="11">
        <f>INDEX(Raw_product_master[Target_Margin], MATCH(Cleaned_Sales_data[[#This Row],[Product]],Raw_product_master[Product], 0 ))</f>
        <v>0.22</v>
      </c>
      <c r="T462" t="str">
        <f>IF(Cleaned_Sales_data[[#This Row],[Profit]]&gt;0, "Profitable", "Loss")</f>
        <v>Loss</v>
      </c>
      <c r="U462" t="str">
        <f>_xlfn.IFS(Cleaned_Sales_data[[#This Row],[Profit]]&gt;=10000, "High", Cleaned_Sales_data[[#This Row],[Profit]]&gt;=5000, "Medium", Cleaned_Sales_data[[#This Row],[Profit]]&gt;=0, "Low", Cleaned_Sales_data[[#This Row],[Profit]] &lt;0, "Loss")</f>
        <v>Loss</v>
      </c>
      <c r="V462" t="str">
        <f t="shared" si="7"/>
        <v>UnderPerforming</v>
      </c>
      <c r="W462" s="3">
        <v>46023</v>
      </c>
    </row>
    <row r="463" spans="1:23">
      <c r="A463" t="s">
        <v>515</v>
      </c>
      <c r="B463" s="3">
        <v>46164</v>
      </c>
      <c r="C463" t="s">
        <v>50</v>
      </c>
      <c r="D463" t="str">
        <f>INDEX(Raw_product_master[Category],MATCH(Cleaned_Sales_data[[#This Row],[Product]],Raw_product_master[Product],0))</f>
        <v>Accessories</v>
      </c>
      <c r="E463" t="s">
        <v>31</v>
      </c>
      <c r="F463" t="s">
        <v>26</v>
      </c>
      <c r="G463" t="s">
        <v>21</v>
      </c>
      <c r="H463">
        <v>6</v>
      </c>
      <c r="I463">
        <v>2500</v>
      </c>
      <c r="J463" s="10">
        <v>0.1</v>
      </c>
      <c r="K463">
        <v>15000</v>
      </c>
      <c r="L463">
        <v>13500</v>
      </c>
      <c r="M463">
        <v>9300</v>
      </c>
      <c r="N463">
        <v>239</v>
      </c>
      <c r="O463">
        <v>2206</v>
      </c>
      <c r="P463">
        <f>INDEX(Raw_product_master[Standard_Cost_Per_Unit],MATCH(Cleaned_Sales_data[[#This Row],[Product]],Raw_product_master[Product],0))</f>
        <v>1550</v>
      </c>
      <c r="Q463">
        <v>1755</v>
      </c>
      <c r="R463" s="11">
        <v>0.13</v>
      </c>
      <c r="S463" s="11">
        <f>INDEX(Raw_product_master[Target_Margin], MATCH(Cleaned_Sales_data[[#This Row],[Product]],Raw_product_master[Product], 0 ))</f>
        <v>0.25</v>
      </c>
      <c r="T463" t="str">
        <f>IF(Cleaned_Sales_data[[#This Row],[Profit]]&gt;0, "Profitable", "Loss")</f>
        <v>Profitable</v>
      </c>
      <c r="U463" t="str">
        <f>_xlfn.IFS(Cleaned_Sales_data[[#This Row],[Profit]]&gt;=10000, "High", Cleaned_Sales_data[[#This Row],[Profit]]&gt;=5000, "Medium", Cleaned_Sales_data[[#This Row],[Profit]]&gt;=0, "Low", Cleaned_Sales_data[[#This Row],[Profit]] &lt;0, "Loss")</f>
        <v>Low</v>
      </c>
      <c r="V463" t="str">
        <f t="shared" si="7"/>
        <v>UnderPerforming</v>
      </c>
      <c r="W463" s="3">
        <v>46143</v>
      </c>
    </row>
    <row r="464" spans="1:23">
      <c r="A464" t="s">
        <v>517</v>
      </c>
      <c r="B464" s="3">
        <v>45793</v>
      </c>
      <c r="C464" t="s">
        <v>30</v>
      </c>
      <c r="D464" t="str">
        <f>INDEX(Raw_product_master[Category],MATCH(Cleaned_Sales_data[[#This Row],[Product]],Raw_product_master[Product],0))</f>
        <v>Displays</v>
      </c>
      <c r="E464" t="s">
        <v>63</v>
      </c>
      <c r="F464" t="s">
        <v>26</v>
      </c>
      <c r="G464" t="s">
        <v>21</v>
      </c>
      <c r="H464">
        <v>1</v>
      </c>
      <c r="I464">
        <v>28000</v>
      </c>
      <c r="J464" s="10">
        <v>0</v>
      </c>
      <c r="K464">
        <v>28000</v>
      </c>
      <c r="L464">
        <v>28000</v>
      </c>
      <c r="M464">
        <v>21840</v>
      </c>
      <c r="N464">
        <v>1271</v>
      </c>
      <c r="O464">
        <v>2055</v>
      </c>
      <c r="P464">
        <f>INDEX(Raw_product_master[Standard_Cost_Per_Unit],MATCH(Cleaned_Sales_data[[#This Row],[Product]],Raw_product_master[Product],0))</f>
        <v>21840</v>
      </c>
      <c r="Q464">
        <v>2834</v>
      </c>
      <c r="R464" s="11">
        <v>0.10121428571428601</v>
      </c>
      <c r="S464" s="11">
        <f>INDEX(Raw_product_master[Target_Margin], MATCH(Cleaned_Sales_data[[#This Row],[Product]],Raw_product_master[Product], 0 ))</f>
        <v>0.18</v>
      </c>
      <c r="T464" t="str">
        <f>IF(Cleaned_Sales_data[[#This Row],[Profit]]&gt;0, "Profitable", "Loss")</f>
        <v>Profitable</v>
      </c>
      <c r="U464" t="str">
        <f>_xlfn.IFS(Cleaned_Sales_data[[#This Row],[Profit]]&gt;=10000, "High", Cleaned_Sales_data[[#This Row],[Profit]]&gt;=5000, "Medium", Cleaned_Sales_data[[#This Row],[Profit]]&gt;=0, "Low", Cleaned_Sales_data[[#This Row],[Profit]] &lt;0, "Loss")</f>
        <v>Low</v>
      </c>
      <c r="V464" t="str">
        <f t="shared" si="7"/>
        <v>UnderPerforming</v>
      </c>
      <c r="W464" s="3">
        <v>45778</v>
      </c>
    </row>
    <row r="465" spans="1:23">
      <c r="A465" t="s">
        <v>519</v>
      </c>
      <c r="B465" s="3">
        <v>46147</v>
      </c>
      <c r="C465" t="s">
        <v>18</v>
      </c>
      <c r="D465" t="str">
        <f>INDEX(Raw_product_master[Category],MATCH(Cleaned_Sales_data[[#This Row],[Product]],Raw_product_master[Product],0))</f>
        <v>Computers</v>
      </c>
      <c r="E465" t="s">
        <v>51</v>
      </c>
      <c r="F465" t="s">
        <v>26</v>
      </c>
      <c r="G465" t="s">
        <v>21</v>
      </c>
      <c r="H465">
        <v>2</v>
      </c>
      <c r="I465">
        <v>32000</v>
      </c>
      <c r="J465" s="10">
        <v>0.1</v>
      </c>
      <c r="K465">
        <v>64000</v>
      </c>
      <c r="L465">
        <v>57600</v>
      </c>
      <c r="M465">
        <v>52480</v>
      </c>
      <c r="N465">
        <v>600</v>
      </c>
      <c r="O465">
        <v>1090</v>
      </c>
      <c r="P465">
        <f>INDEX(Raw_product_master[Standard_Cost_Per_Unit],MATCH(Cleaned_Sales_data[[#This Row],[Product]],Raw_product_master[Product],0))</f>
        <v>26240</v>
      </c>
      <c r="Q465">
        <v>3430</v>
      </c>
      <c r="R465" s="11">
        <v>5.9548611111111101E-2</v>
      </c>
      <c r="S465" s="11">
        <f>INDEX(Raw_product_master[Target_Margin], MATCH(Cleaned_Sales_data[[#This Row],[Product]],Raw_product_master[Product], 0 ))</f>
        <v>0.12</v>
      </c>
      <c r="T465" t="str">
        <f>IF(Cleaned_Sales_data[[#This Row],[Profit]]&gt;0, "Profitable", "Loss")</f>
        <v>Profitable</v>
      </c>
      <c r="U465" t="str">
        <f>_xlfn.IFS(Cleaned_Sales_data[[#This Row],[Profit]]&gt;=10000, "High", Cleaned_Sales_data[[#This Row],[Profit]]&gt;=5000, "Medium", Cleaned_Sales_data[[#This Row],[Profit]]&gt;=0, "Low", Cleaned_Sales_data[[#This Row],[Profit]] &lt;0, "Loss")</f>
        <v>Low</v>
      </c>
      <c r="V465" t="str">
        <f t="shared" si="7"/>
        <v>UnderPerforming</v>
      </c>
      <c r="W465" s="3">
        <v>46143</v>
      </c>
    </row>
    <row r="466" spans="1:23">
      <c r="A466" t="s">
        <v>533</v>
      </c>
      <c r="B466" s="3">
        <v>45770</v>
      </c>
      <c r="C466" t="s">
        <v>30</v>
      </c>
      <c r="D466" t="str">
        <f>INDEX(Raw_product_master[Category],MATCH(Cleaned_Sales_data[[#This Row],[Product]],Raw_product_master[Product],0))</f>
        <v>Displays</v>
      </c>
      <c r="E466" t="s">
        <v>25</v>
      </c>
      <c r="F466" t="s">
        <v>26</v>
      </c>
      <c r="G466" t="s">
        <v>21</v>
      </c>
      <c r="H466">
        <v>3</v>
      </c>
      <c r="I466">
        <v>28000</v>
      </c>
      <c r="J466" s="10">
        <v>0.08</v>
      </c>
      <c r="K466">
        <v>84000</v>
      </c>
      <c r="L466">
        <v>77280</v>
      </c>
      <c r="M466">
        <v>65520</v>
      </c>
      <c r="N466">
        <v>1414</v>
      </c>
      <c r="O466">
        <v>1438</v>
      </c>
      <c r="P466">
        <f>INDEX(Raw_product_master[Standard_Cost_Per_Unit],MATCH(Cleaned_Sales_data[[#This Row],[Product]],Raw_product_master[Product],0))</f>
        <v>21840</v>
      </c>
      <c r="Q466">
        <v>8908</v>
      </c>
      <c r="R466" s="11">
        <v>0.115269151138716</v>
      </c>
      <c r="S466" s="11">
        <f>INDEX(Raw_product_master[Target_Margin], MATCH(Cleaned_Sales_data[[#This Row],[Product]],Raw_product_master[Product], 0 ))</f>
        <v>0.18</v>
      </c>
      <c r="T466" t="str">
        <f>IF(Cleaned_Sales_data[[#This Row],[Profit]]&gt;0, "Profitable", "Loss")</f>
        <v>Profitable</v>
      </c>
      <c r="U466" t="str">
        <f>_xlfn.IFS(Cleaned_Sales_data[[#This Row],[Profit]]&gt;=10000, "High", Cleaned_Sales_data[[#This Row],[Profit]]&gt;=5000, "Medium", Cleaned_Sales_data[[#This Row],[Profit]]&gt;=0, "Low", Cleaned_Sales_data[[#This Row],[Profit]] &lt;0, "Loss")</f>
        <v>Medium</v>
      </c>
      <c r="V466" t="str">
        <f t="shared" si="7"/>
        <v>UnderPerforming</v>
      </c>
      <c r="W466" s="3">
        <v>45748</v>
      </c>
    </row>
    <row r="467" spans="1:23">
      <c r="A467" t="s">
        <v>547</v>
      </c>
      <c r="B467" s="3">
        <v>46032</v>
      </c>
      <c r="C467" t="s">
        <v>46</v>
      </c>
      <c r="D467" t="str">
        <f>INDEX(Raw_product_master[Category],MATCH(Cleaned_Sales_data[[#This Row],[Product]],Raw_product_master[Product],0))</f>
        <v>Office Equipment</v>
      </c>
      <c r="E467" t="s">
        <v>19</v>
      </c>
      <c r="F467" t="s">
        <v>26</v>
      </c>
      <c r="G467" t="s">
        <v>21</v>
      </c>
      <c r="H467">
        <v>2</v>
      </c>
      <c r="I467">
        <v>18000</v>
      </c>
      <c r="J467" s="10">
        <v>0.15</v>
      </c>
      <c r="K467">
        <v>36000</v>
      </c>
      <c r="L467">
        <v>30600</v>
      </c>
      <c r="M467">
        <v>28800</v>
      </c>
      <c r="N467">
        <v>1599</v>
      </c>
      <c r="O467">
        <v>130</v>
      </c>
      <c r="P467">
        <f>INDEX(Raw_product_master[Standard_Cost_Per_Unit],MATCH(Cleaned_Sales_data[[#This Row],[Product]],Raw_product_master[Product],0))</f>
        <v>14400</v>
      </c>
      <c r="Q467">
        <v>71</v>
      </c>
      <c r="R467" s="11">
        <v>2.3202614379084999E-3</v>
      </c>
      <c r="S467" s="11">
        <f>INDEX(Raw_product_master[Target_Margin], MATCH(Cleaned_Sales_data[[#This Row],[Product]],Raw_product_master[Product], 0 ))</f>
        <v>0.15</v>
      </c>
      <c r="T467" t="str">
        <f>IF(Cleaned_Sales_data[[#This Row],[Profit]]&gt;0, "Profitable", "Loss")</f>
        <v>Profitable</v>
      </c>
      <c r="U467" t="str">
        <f>_xlfn.IFS(Cleaned_Sales_data[[#This Row],[Profit]]&gt;=10000, "High", Cleaned_Sales_data[[#This Row],[Profit]]&gt;=5000, "Medium", Cleaned_Sales_data[[#This Row],[Profit]]&gt;=0, "Low", Cleaned_Sales_data[[#This Row],[Profit]] &lt;0, "Loss")</f>
        <v>Low</v>
      </c>
      <c r="V467" t="str">
        <f t="shared" si="7"/>
        <v>UnderPerforming</v>
      </c>
      <c r="W467" s="3">
        <v>46023</v>
      </c>
    </row>
    <row r="468" spans="1:23">
      <c r="A468" t="s">
        <v>551</v>
      </c>
      <c r="B468" s="3">
        <v>45875</v>
      </c>
      <c r="C468" t="s">
        <v>18</v>
      </c>
      <c r="D468" t="str">
        <f>INDEX(Raw_product_master[Category],MATCH(Cleaned_Sales_data[[#This Row],[Product]],Raw_product_master[Product],0))</f>
        <v>Computers</v>
      </c>
      <c r="E468" t="s">
        <v>19</v>
      </c>
      <c r="F468" t="s">
        <v>26</v>
      </c>
      <c r="G468" t="s">
        <v>21</v>
      </c>
      <c r="H468">
        <v>1</v>
      </c>
      <c r="I468">
        <v>32000</v>
      </c>
      <c r="J468" s="10">
        <v>0.2</v>
      </c>
      <c r="K468">
        <v>32000</v>
      </c>
      <c r="L468">
        <v>25600</v>
      </c>
      <c r="M468">
        <v>26240</v>
      </c>
      <c r="N468">
        <v>592</v>
      </c>
      <c r="O468">
        <v>139</v>
      </c>
      <c r="P468">
        <f>INDEX(Raw_product_master[Standard_Cost_Per_Unit],MATCH(Cleaned_Sales_data[[#This Row],[Product]],Raw_product_master[Product],0))</f>
        <v>26240</v>
      </c>
      <c r="Q468">
        <v>-1371</v>
      </c>
      <c r="R468" s="11">
        <v>-5.3554687500000003E-2</v>
      </c>
      <c r="S468" s="11">
        <f>INDEX(Raw_product_master[Target_Margin], MATCH(Cleaned_Sales_data[[#This Row],[Product]],Raw_product_master[Product], 0 ))</f>
        <v>0.12</v>
      </c>
      <c r="T468" t="str">
        <f>IF(Cleaned_Sales_data[[#This Row],[Profit]]&gt;0, "Profitable", "Loss")</f>
        <v>Loss</v>
      </c>
      <c r="U468" t="str">
        <f>_xlfn.IFS(Cleaned_Sales_data[[#This Row],[Profit]]&gt;=10000, "High", Cleaned_Sales_data[[#This Row],[Profit]]&gt;=5000, "Medium", Cleaned_Sales_data[[#This Row],[Profit]]&gt;=0, "Low", Cleaned_Sales_data[[#This Row],[Profit]] &lt;0, "Loss")</f>
        <v>Loss</v>
      </c>
      <c r="V468" t="str">
        <f t="shared" si="7"/>
        <v>UnderPerforming</v>
      </c>
      <c r="W468" s="3">
        <v>45870</v>
      </c>
    </row>
    <row r="469" spans="1:23">
      <c r="A469" t="s">
        <v>558</v>
      </c>
      <c r="B469" s="3">
        <v>46144</v>
      </c>
      <c r="C469" t="s">
        <v>75</v>
      </c>
      <c r="D469" t="str">
        <f>INDEX(Raw_product_master[Category],MATCH(Cleaned_Sales_data[[#This Row],[Product]],Raw_product_master[Product],0))</f>
        <v>Computers</v>
      </c>
      <c r="E469" t="s">
        <v>34</v>
      </c>
      <c r="F469" t="s">
        <v>26</v>
      </c>
      <c r="G469" t="s">
        <v>21</v>
      </c>
      <c r="H469">
        <v>3</v>
      </c>
      <c r="I469">
        <v>65000</v>
      </c>
      <c r="J469" s="10">
        <v>0.03</v>
      </c>
      <c r="K469">
        <v>195000</v>
      </c>
      <c r="L469">
        <v>189150</v>
      </c>
      <c r="M469">
        <v>163800</v>
      </c>
      <c r="N469">
        <v>961</v>
      </c>
      <c r="O469">
        <v>1719</v>
      </c>
      <c r="P469">
        <f>INDEX(Raw_product_master[Standard_Cost_Per_Unit],MATCH(Cleaned_Sales_data[[#This Row],[Product]],Raw_product_master[Product],0))</f>
        <v>54600</v>
      </c>
      <c r="Q469">
        <v>22670</v>
      </c>
      <c r="R469" s="11">
        <v>0.11985196933650499</v>
      </c>
      <c r="S469" s="11">
        <f>INDEX(Raw_product_master[Target_Margin], MATCH(Cleaned_Sales_data[[#This Row],[Product]],Raw_product_master[Product], 0 ))</f>
        <v>0.12</v>
      </c>
      <c r="T469" t="str">
        <f>IF(Cleaned_Sales_data[[#This Row],[Profit]]&gt;0, "Profitable", "Loss")</f>
        <v>Profitable</v>
      </c>
      <c r="U469" t="str">
        <f>_xlfn.IFS(Cleaned_Sales_data[[#This Row],[Profit]]&gt;=10000, "High", Cleaned_Sales_data[[#This Row],[Profit]]&gt;=5000, "Medium", Cleaned_Sales_data[[#This Row],[Profit]]&gt;=0, "Low", Cleaned_Sales_data[[#This Row],[Profit]] &lt;0, "Loss")</f>
        <v>High</v>
      </c>
      <c r="V469" t="str">
        <f t="shared" si="7"/>
        <v>UnderPerforming</v>
      </c>
      <c r="W469" s="3">
        <v>46143</v>
      </c>
    </row>
    <row r="470" spans="1:23">
      <c r="A470" t="s">
        <v>560</v>
      </c>
      <c r="B470" s="3">
        <v>45972</v>
      </c>
      <c r="C470" t="s">
        <v>30</v>
      </c>
      <c r="D470" t="str">
        <f>INDEX(Raw_product_master[Category],MATCH(Cleaned_Sales_data[[#This Row],[Product]],Raw_product_master[Product],0))</f>
        <v>Displays</v>
      </c>
      <c r="E470" t="s">
        <v>25</v>
      </c>
      <c r="F470" t="s">
        <v>26</v>
      </c>
      <c r="G470" t="s">
        <v>21</v>
      </c>
      <c r="H470">
        <v>2</v>
      </c>
      <c r="I470">
        <v>28000</v>
      </c>
      <c r="J470" s="10">
        <v>0.15</v>
      </c>
      <c r="K470">
        <v>56000</v>
      </c>
      <c r="L470">
        <v>47600</v>
      </c>
      <c r="M470">
        <v>43680</v>
      </c>
      <c r="N470">
        <v>1502</v>
      </c>
      <c r="O470">
        <v>427</v>
      </c>
      <c r="P470">
        <f>INDEX(Raw_product_master[Standard_Cost_Per_Unit],MATCH(Cleaned_Sales_data[[#This Row],[Product]],Raw_product_master[Product],0))</f>
        <v>21840</v>
      </c>
      <c r="Q470">
        <v>1991</v>
      </c>
      <c r="R470" s="11">
        <v>4.1827731092437002E-2</v>
      </c>
      <c r="S470" s="11">
        <f>INDEX(Raw_product_master[Target_Margin], MATCH(Cleaned_Sales_data[[#This Row],[Product]],Raw_product_master[Product], 0 ))</f>
        <v>0.18</v>
      </c>
      <c r="T470" t="str">
        <f>IF(Cleaned_Sales_data[[#This Row],[Profit]]&gt;0, "Profitable", "Loss")</f>
        <v>Profitable</v>
      </c>
      <c r="U470" t="str">
        <f>_xlfn.IFS(Cleaned_Sales_data[[#This Row],[Profit]]&gt;=10000, "High", Cleaned_Sales_data[[#This Row],[Profit]]&gt;=5000, "Medium", Cleaned_Sales_data[[#This Row],[Profit]]&gt;=0, "Low", Cleaned_Sales_data[[#This Row],[Profit]] &lt;0, "Loss")</f>
        <v>Low</v>
      </c>
      <c r="V470" t="str">
        <f t="shared" si="7"/>
        <v>UnderPerforming</v>
      </c>
      <c r="W470" s="3">
        <v>45962</v>
      </c>
    </row>
    <row r="471" spans="1:23">
      <c r="A471" t="s">
        <v>562</v>
      </c>
      <c r="B471" s="3">
        <v>45995</v>
      </c>
      <c r="C471" t="s">
        <v>18</v>
      </c>
      <c r="D471" t="str">
        <f>INDEX(Raw_product_master[Category],MATCH(Cleaned_Sales_data[[#This Row],[Product]],Raw_product_master[Product],0))</f>
        <v>Computers</v>
      </c>
      <c r="E471" t="s">
        <v>51</v>
      </c>
      <c r="F471" t="s">
        <v>26</v>
      </c>
      <c r="G471" t="s">
        <v>21</v>
      </c>
      <c r="H471">
        <v>1</v>
      </c>
      <c r="I471">
        <v>32000</v>
      </c>
      <c r="J471" s="10">
        <v>0.1</v>
      </c>
      <c r="K471">
        <v>32000</v>
      </c>
      <c r="L471">
        <v>28800</v>
      </c>
      <c r="M471">
        <v>26240</v>
      </c>
      <c r="N471">
        <v>437</v>
      </c>
      <c r="O471">
        <v>1217</v>
      </c>
      <c r="P471">
        <f>INDEX(Raw_product_master[Standard_Cost_Per_Unit],MATCH(Cleaned_Sales_data[[#This Row],[Product]],Raw_product_master[Product],0))</f>
        <v>26240</v>
      </c>
      <c r="Q471">
        <v>906</v>
      </c>
      <c r="R471" s="11">
        <v>3.1458333333333303E-2</v>
      </c>
      <c r="S471" s="11">
        <f>INDEX(Raw_product_master[Target_Margin], MATCH(Cleaned_Sales_data[[#This Row],[Product]],Raw_product_master[Product], 0 ))</f>
        <v>0.12</v>
      </c>
      <c r="T471" t="str">
        <f>IF(Cleaned_Sales_data[[#This Row],[Profit]]&gt;0, "Profitable", "Loss")</f>
        <v>Profitable</v>
      </c>
      <c r="U471" t="str">
        <f>_xlfn.IFS(Cleaned_Sales_data[[#This Row],[Profit]]&gt;=10000, "High", Cleaned_Sales_data[[#This Row],[Profit]]&gt;=5000, "Medium", Cleaned_Sales_data[[#This Row],[Profit]]&gt;=0, "Low", Cleaned_Sales_data[[#This Row],[Profit]] &lt;0, "Loss")</f>
        <v>Low</v>
      </c>
      <c r="V471" t="str">
        <f t="shared" si="7"/>
        <v>UnderPerforming</v>
      </c>
      <c r="W471" s="3">
        <v>45992</v>
      </c>
    </row>
    <row r="472" spans="1:23">
      <c r="A472" t="s">
        <v>563</v>
      </c>
      <c r="B472" s="3">
        <v>45858</v>
      </c>
      <c r="C472" t="s">
        <v>46</v>
      </c>
      <c r="D472" t="str">
        <f>INDEX(Raw_product_master[Category],MATCH(Cleaned_Sales_data[[#This Row],[Product]],Raw_product_master[Product],0))</f>
        <v>Office Equipment</v>
      </c>
      <c r="E472" t="s">
        <v>31</v>
      </c>
      <c r="F472" t="s">
        <v>26</v>
      </c>
      <c r="G472" t="s">
        <v>21</v>
      </c>
      <c r="H472">
        <v>3</v>
      </c>
      <c r="I472">
        <v>18000</v>
      </c>
      <c r="J472" s="10">
        <v>0.08</v>
      </c>
      <c r="K472">
        <v>54000</v>
      </c>
      <c r="L472">
        <v>49680</v>
      </c>
      <c r="M472">
        <v>43200</v>
      </c>
      <c r="N472">
        <v>1690</v>
      </c>
      <c r="O472">
        <v>242</v>
      </c>
      <c r="P472">
        <f>INDEX(Raw_product_master[Standard_Cost_Per_Unit],MATCH(Cleaned_Sales_data[[#This Row],[Product]],Raw_product_master[Product],0))</f>
        <v>14400</v>
      </c>
      <c r="Q472">
        <v>4548</v>
      </c>
      <c r="R472" s="11">
        <v>9.1545893719806801E-2</v>
      </c>
      <c r="S472" s="11">
        <f>INDEX(Raw_product_master[Target_Margin], MATCH(Cleaned_Sales_data[[#This Row],[Product]],Raw_product_master[Product], 0 ))</f>
        <v>0.15</v>
      </c>
      <c r="T472" t="str">
        <f>IF(Cleaned_Sales_data[[#This Row],[Profit]]&gt;0, "Profitable", "Loss")</f>
        <v>Profitable</v>
      </c>
      <c r="U472" t="str">
        <f>_xlfn.IFS(Cleaned_Sales_data[[#This Row],[Profit]]&gt;=10000, "High", Cleaned_Sales_data[[#This Row],[Profit]]&gt;=5000, "Medium", Cleaned_Sales_data[[#This Row],[Profit]]&gt;=0, "Low", Cleaned_Sales_data[[#This Row],[Profit]] &lt;0, "Loss")</f>
        <v>Low</v>
      </c>
      <c r="V472" t="str">
        <f t="shared" si="7"/>
        <v>UnderPerforming</v>
      </c>
      <c r="W472" s="3">
        <v>45839</v>
      </c>
    </row>
    <row r="473" spans="1:23">
      <c r="A473" t="s">
        <v>564</v>
      </c>
      <c r="B473" s="3">
        <v>46024</v>
      </c>
      <c r="C473" t="s">
        <v>18</v>
      </c>
      <c r="D473" t="str">
        <f>INDEX(Raw_product_master[Category],MATCH(Cleaned_Sales_data[[#This Row],[Product]],Raw_product_master[Product],0))</f>
        <v>Computers</v>
      </c>
      <c r="E473" t="s">
        <v>63</v>
      </c>
      <c r="F473" t="s">
        <v>26</v>
      </c>
      <c r="G473" t="s">
        <v>21</v>
      </c>
      <c r="H473">
        <v>2</v>
      </c>
      <c r="I473">
        <v>32000</v>
      </c>
      <c r="J473" s="10">
        <v>0.08</v>
      </c>
      <c r="K473">
        <v>64000</v>
      </c>
      <c r="L473">
        <v>58880</v>
      </c>
      <c r="M473">
        <v>52480</v>
      </c>
      <c r="N473">
        <v>507</v>
      </c>
      <c r="O473">
        <v>1817</v>
      </c>
      <c r="P473">
        <f>INDEX(Raw_product_master[Standard_Cost_Per_Unit],MATCH(Cleaned_Sales_data[[#This Row],[Product]],Raw_product_master[Product],0))</f>
        <v>26240</v>
      </c>
      <c r="Q473">
        <v>4076</v>
      </c>
      <c r="R473" s="11">
        <v>6.9225543478260904E-2</v>
      </c>
      <c r="S473" s="11">
        <f>INDEX(Raw_product_master[Target_Margin], MATCH(Cleaned_Sales_data[[#This Row],[Product]],Raw_product_master[Product], 0 ))</f>
        <v>0.12</v>
      </c>
      <c r="T473" t="str">
        <f>IF(Cleaned_Sales_data[[#This Row],[Profit]]&gt;0, "Profitable", "Loss")</f>
        <v>Profitable</v>
      </c>
      <c r="U473" t="str">
        <f>_xlfn.IFS(Cleaned_Sales_data[[#This Row],[Profit]]&gt;=10000, "High", Cleaned_Sales_data[[#This Row],[Profit]]&gt;=5000, "Medium", Cleaned_Sales_data[[#This Row],[Profit]]&gt;=0, "Low", Cleaned_Sales_data[[#This Row],[Profit]] &lt;0, "Loss")</f>
        <v>Low</v>
      </c>
      <c r="V473" t="str">
        <f t="shared" si="7"/>
        <v>UnderPerforming</v>
      </c>
      <c r="W473" s="3">
        <v>46023</v>
      </c>
    </row>
    <row r="474" spans="1:23">
      <c r="A474" t="s">
        <v>581</v>
      </c>
      <c r="B474" s="3">
        <v>46171</v>
      </c>
      <c r="C474" t="s">
        <v>24</v>
      </c>
      <c r="D474" t="str">
        <f>INDEX(Raw_product_master[Category],MATCH(Cleaned_Sales_data[[#This Row],[Product]],Raw_product_master[Product],0))</f>
        <v>Accessories</v>
      </c>
      <c r="E474" t="s">
        <v>63</v>
      </c>
      <c r="F474" t="s">
        <v>26</v>
      </c>
      <c r="G474" t="s">
        <v>21</v>
      </c>
      <c r="H474">
        <v>3</v>
      </c>
      <c r="I474">
        <v>3500</v>
      </c>
      <c r="J474" s="10">
        <v>0.2</v>
      </c>
      <c r="K474">
        <v>10500</v>
      </c>
      <c r="L474">
        <v>8400</v>
      </c>
      <c r="M474">
        <v>7140</v>
      </c>
      <c r="N474">
        <v>1420</v>
      </c>
      <c r="O474">
        <v>684</v>
      </c>
      <c r="P474">
        <f>INDEX(Raw_product_master[Standard_Cost_Per_Unit],MATCH(Cleaned_Sales_data[[#This Row],[Product]],Raw_product_master[Product],0))</f>
        <v>2380</v>
      </c>
      <c r="Q474">
        <v>-844</v>
      </c>
      <c r="R474" s="11">
        <v>-0.100476190476191</v>
      </c>
      <c r="S474" s="11">
        <f>INDEX(Raw_product_master[Target_Margin], MATCH(Cleaned_Sales_data[[#This Row],[Product]],Raw_product_master[Product], 0 ))</f>
        <v>0.2</v>
      </c>
      <c r="T474" t="str">
        <f>IF(Cleaned_Sales_data[[#This Row],[Profit]]&gt;0, "Profitable", "Loss")</f>
        <v>Loss</v>
      </c>
      <c r="U474" t="str">
        <f>_xlfn.IFS(Cleaned_Sales_data[[#This Row],[Profit]]&gt;=10000, "High", Cleaned_Sales_data[[#This Row],[Profit]]&gt;=5000, "Medium", Cleaned_Sales_data[[#This Row],[Profit]]&gt;=0, "Low", Cleaned_Sales_data[[#This Row],[Profit]] &lt;0, "Loss")</f>
        <v>Loss</v>
      </c>
      <c r="V474" t="str">
        <f t="shared" si="7"/>
        <v>UnderPerforming</v>
      </c>
      <c r="W474" s="3">
        <v>46143</v>
      </c>
    </row>
    <row r="475" spans="1:23">
      <c r="A475" t="s">
        <v>588</v>
      </c>
      <c r="B475" s="3">
        <v>45803</v>
      </c>
      <c r="C475" t="s">
        <v>53</v>
      </c>
      <c r="D475" t="str">
        <f>INDEX(Raw_product_master[Category],MATCH(Cleaned_Sales_data[[#This Row],[Product]],Raw_product_master[Product],0))</f>
        <v>Accessories</v>
      </c>
      <c r="E475" t="s">
        <v>31</v>
      </c>
      <c r="F475" t="s">
        <v>26</v>
      </c>
      <c r="G475" t="s">
        <v>21</v>
      </c>
      <c r="H475">
        <v>6</v>
      </c>
      <c r="I475">
        <v>1500</v>
      </c>
      <c r="J475" s="10">
        <v>0.03</v>
      </c>
      <c r="K475">
        <v>9000</v>
      </c>
      <c r="L475">
        <v>8730</v>
      </c>
      <c r="M475">
        <v>4950</v>
      </c>
      <c r="N475">
        <v>1671</v>
      </c>
      <c r="O475">
        <v>853</v>
      </c>
      <c r="P475">
        <f>INDEX(Raw_product_master[Standard_Cost_Per_Unit],MATCH(Cleaned_Sales_data[[#This Row],[Product]],Raw_product_master[Product],0))</f>
        <v>825</v>
      </c>
      <c r="Q475">
        <v>1256</v>
      </c>
      <c r="R475" s="11">
        <v>0.14387170675830499</v>
      </c>
      <c r="S475" s="11">
        <f>INDEX(Raw_product_master[Target_Margin], MATCH(Cleaned_Sales_data[[#This Row],[Product]],Raw_product_master[Product], 0 ))</f>
        <v>0.3</v>
      </c>
      <c r="T475" t="str">
        <f>IF(Cleaned_Sales_data[[#This Row],[Profit]]&gt;0, "Profitable", "Loss")</f>
        <v>Profitable</v>
      </c>
      <c r="U475" t="str">
        <f>_xlfn.IFS(Cleaned_Sales_data[[#This Row],[Profit]]&gt;=10000, "High", Cleaned_Sales_data[[#This Row],[Profit]]&gt;=5000, "Medium", Cleaned_Sales_data[[#This Row],[Profit]]&gt;=0, "Low", Cleaned_Sales_data[[#This Row],[Profit]] &lt;0, "Loss")</f>
        <v>Low</v>
      </c>
      <c r="V475" t="str">
        <f t="shared" si="7"/>
        <v>UnderPerforming</v>
      </c>
      <c r="W475" s="3">
        <v>45778</v>
      </c>
    </row>
    <row r="476" spans="1:23">
      <c r="A476" t="s">
        <v>589</v>
      </c>
      <c r="B476" s="3">
        <v>46148</v>
      </c>
      <c r="C476" t="s">
        <v>24</v>
      </c>
      <c r="D476" t="str">
        <f>INDEX(Raw_product_master[Category],MATCH(Cleaned_Sales_data[[#This Row],[Product]],Raw_product_master[Product],0))</f>
        <v>Accessories</v>
      </c>
      <c r="E476" t="s">
        <v>31</v>
      </c>
      <c r="F476" t="s">
        <v>26</v>
      </c>
      <c r="G476" t="s">
        <v>21</v>
      </c>
      <c r="H476">
        <v>7</v>
      </c>
      <c r="I476">
        <v>3500</v>
      </c>
      <c r="J476" s="10">
        <v>0.05</v>
      </c>
      <c r="K476">
        <v>24500</v>
      </c>
      <c r="L476">
        <v>23275</v>
      </c>
      <c r="M476">
        <v>16660</v>
      </c>
      <c r="N476">
        <v>1086</v>
      </c>
      <c r="O476">
        <v>118</v>
      </c>
      <c r="P476">
        <f>INDEX(Raw_product_master[Standard_Cost_Per_Unit],MATCH(Cleaned_Sales_data[[#This Row],[Product]],Raw_product_master[Product],0))</f>
        <v>2380</v>
      </c>
      <c r="Q476">
        <v>5411</v>
      </c>
      <c r="R476" s="11">
        <v>0.23248120300751901</v>
      </c>
      <c r="S476" s="11">
        <f>INDEX(Raw_product_master[Target_Margin], MATCH(Cleaned_Sales_data[[#This Row],[Product]],Raw_product_master[Product], 0 ))</f>
        <v>0.2</v>
      </c>
      <c r="T476" t="str">
        <f>IF(Cleaned_Sales_data[[#This Row],[Profit]]&gt;0, "Profitable", "Loss")</f>
        <v>Profitable</v>
      </c>
      <c r="U476" t="str">
        <f>_xlfn.IFS(Cleaned_Sales_data[[#This Row],[Profit]]&gt;=10000, "High", Cleaned_Sales_data[[#This Row],[Profit]]&gt;=5000, "Medium", Cleaned_Sales_data[[#This Row],[Profit]]&gt;=0, "Low", Cleaned_Sales_data[[#This Row],[Profit]] &lt;0, "Loss")</f>
        <v>Medium</v>
      </c>
      <c r="V476" t="str">
        <f t="shared" si="7"/>
        <v>On Target</v>
      </c>
      <c r="W476" s="3">
        <v>46143</v>
      </c>
    </row>
    <row r="477" spans="1:23">
      <c r="A477" t="s">
        <v>597</v>
      </c>
      <c r="B477" s="3">
        <v>45763</v>
      </c>
      <c r="C477" t="s">
        <v>53</v>
      </c>
      <c r="D477" t="str">
        <f>INDEX(Raw_product_master[Category],MATCH(Cleaned_Sales_data[[#This Row],[Product]],Raw_product_master[Product],0))</f>
        <v>Accessories</v>
      </c>
      <c r="E477" t="s">
        <v>19</v>
      </c>
      <c r="F477" t="s">
        <v>26</v>
      </c>
      <c r="G477" t="s">
        <v>21</v>
      </c>
      <c r="H477">
        <v>6</v>
      </c>
      <c r="I477">
        <v>1500</v>
      </c>
      <c r="J477" s="10">
        <v>0.05</v>
      </c>
      <c r="K477">
        <v>9000</v>
      </c>
      <c r="L477">
        <v>8550</v>
      </c>
      <c r="M477">
        <v>4950</v>
      </c>
      <c r="N477">
        <v>646</v>
      </c>
      <c r="O477">
        <v>934</v>
      </c>
      <c r="P477">
        <f>INDEX(Raw_product_master[Standard_Cost_Per_Unit],MATCH(Cleaned_Sales_data[[#This Row],[Product]],Raw_product_master[Product],0))</f>
        <v>825</v>
      </c>
      <c r="Q477">
        <v>2020</v>
      </c>
      <c r="R477" s="11">
        <v>0.23625730994152</v>
      </c>
      <c r="S477" s="11">
        <f>INDEX(Raw_product_master[Target_Margin], MATCH(Cleaned_Sales_data[[#This Row],[Product]],Raw_product_master[Product], 0 ))</f>
        <v>0.3</v>
      </c>
      <c r="T477" t="str">
        <f>IF(Cleaned_Sales_data[[#This Row],[Profit]]&gt;0, "Profitable", "Loss")</f>
        <v>Profitable</v>
      </c>
      <c r="U477" t="str">
        <f>_xlfn.IFS(Cleaned_Sales_data[[#This Row],[Profit]]&gt;=10000, "High", Cleaned_Sales_data[[#This Row],[Profit]]&gt;=5000, "Medium", Cleaned_Sales_data[[#This Row],[Profit]]&gt;=0, "Low", Cleaned_Sales_data[[#This Row],[Profit]] &lt;0, "Loss")</f>
        <v>Low</v>
      </c>
      <c r="V477" t="str">
        <f t="shared" si="7"/>
        <v>UnderPerforming</v>
      </c>
      <c r="W477" s="3">
        <v>45748</v>
      </c>
    </row>
    <row r="478" spans="1:23">
      <c r="A478" t="s">
        <v>601</v>
      </c>
      <c r="B478" s="3">
        <v>45894</v>
      </c>
      <c r="C478" t="s">
        <v>46</v>
      </c>
      <c r="D478" t="str">
        <f>INDEX(Raw_product_master[Category],MATCH(Cleaned_Sales_data[[#This Row],[Product]],Raw_product_master[Product],0))</f>
        <v>Office Equipment</v>
      </c>
      <c r="E478" t="s">
        <v>63</v>
      </c>
      <c r="F478" t="s">
        <v>26</v>
      </c>
      <c r="G478" t="s">
        <v>21</v>
      </c>
      <c r="H478">
        <v>3</v>
      </c>
      <c r="I478">
        <v>18000</v>
      </c>
      <c r="J478" s="10">
        <v>0.05</v>
      </c>
      <c r="K478">
        <v>54000</v>
      </c>
      <c r="L478">
        <v>51300</v>
      </c>
      <c r="M478">
        <v>43200</v>
      </c>
      <c r="N478">
        <v>1123</v>
      </c>
      <c r="O478">
        <v>2117</v>
      </c>
      <c r="P478">
        <f>INDEX(Raw_product_master[Standard_Cost_Per_Unit],MATCH(Cleaned_Sales_data[[#This Row],[Product]],Raw_product_master[Product],0))</f>
        <v>14400</v>
      </c>
      <c r="Q478">
        <v>4860</v>
      </c>
      <c r="R478" s="11">
        <v>9.4736842105263203E-2</v>
      </c>
      <c r="S478" s="11">
        <f>INDEX(Raw_product_master[Target_Margin], MATCH(Cleaned_Sales_data[[#This Row],[Product]],Raw_product_master[Product], 0 ))</f>
        <v>0.15</v>
      </c>
      <c r="T478" t="str">
        <f>IF(Cleaned_Sales_data[[#This Row],[Profit]]&gt;0, "Profitable", "Loss")</f>
        <v>Profitable</v>
      </c>
      <c r="U478" t="str">
        <f>_xlfn.IFS(Cleaned_Sales_data[[#This Row],[Profit]]&gt;=10000, "High", Cleaned_Sales_data[[#This Row],[Profit]]&gt;=5000, "Medium", Cleaned_Sales_data[[#This Row],[Profit]]&gt;=0, "Low", Cleaned_Sales_data[[#This Row],[Profit]] &lt;0, "Loss")</f>
        <v>Low</v>
      </c>
      <c r="V478" t="str">
        <f t="shared" si="7"/>
        <v>UnderPerforming</v>
      </c>
      <c r="W478" s="3">
        <v>45870</v>
      </c>
    </row>
    <row r="479" spans="1:23">
      <c r="A479" t="s">
        <v>615</v>
      </c>
      <c r="B479" s="3">
        <v>45795</v>
      </c>
      <c r="C479" t="s">
        <v>50</v>
      </c>
      <c r="D479" t="str">
        <f>INDEX(Raw_product_master[Category],MATCH(Cleaned_Sales_data[[#This Row],[Product]],Raw_product_master[Product],0))</f>
        <v>Accessories</v>
      </c>
      <c r="E479" t="s">
        <v>25</v>
      </c>
      <c r="F479" t="s">
        <v>26</v>
      </c>
      <c r="G479" t="s">
        <v>21</v>
      </c>
      <c r="H479">
        <v>7</v>
      </c>
      <c r="I479">
        <v>2500</v>
      </c>
      <c r="J479" s="10">
        <v>0.05</v>
      </c>
      <c r="K479">
        <v>17500</v>
      </c>
      <c r="L479">
        <v>16625</v>
      </c>
      <c r="M479">
        <v>10850</v>
      </c>
      <c r="N479">
        <v>386</v>
      </c>
      <c r="O479">
        <v>2007</v>
      </c>
      <c r="P479">
        <f>INDEX(Raw_product_master[Standard_Cost_Per_Unit],MATCH(Cleaned_Sales_data[[#This Row],[Product]],Raw_product_master[Product],0))</f>
        <v>1550</v>
      </c>
      <c r="Q479">
        <v>3382</v>
      </c>
      <c r="R479" s="11">
        <v>0.20342857142857099</v>
      </c>
      <c r="S479" s="11">
        <f>INDEX(Raw_product_master[Target_Margin], MATCH(Cleaned_Sales_data[[#This Row],[Product]],Raw_product_master[Product], 0 ))</f>
        <v>0.25</v>
      </c>
      <c r="T479" t="str">
        <f>IF(Cleaned_Sales_data[[#This Row],[Profit]]&gt;0, "Profitable", "Loss")</f>
        <v>Profitable</v>
      </c>
      <c r="U479" t="str">
        <f>_xlfn.IFS(Cleaned_Sales_data[[#This Row],[Profit]]&gt;=10000, "High", Cleaned_Sales_data[[#This Row],[Profit]]&gt;=5000, "Medium", Cleaned_Sales_data[[#This Row],[Profit]]&gt;=0, "Low", Cleaned_Sales_data[[#This Row],[Profit]] &lt;0, "Loss")</f>
        <v>Low</v>
      </c>
      <c r="V479" t="str">
        <f t="shared" si="7"/>
        <v>UnderPerforming</v>
      </c>
      <c r="W479" s="3">
        <v>45778</v>
      </c>
    </row>
    <row r="480" spans="1:23">
      <c r="A480" t="s">
        <v>616</v>
      </c>
      <c r="B480" s="3">
        <v>45998</v>
      </c>
      <c r="C480" t="s">
        <v>46</v>
      </c>
      <c r="D480" t="str">
        <f>INDEX(Raw_product_master[Category],MATCH(Cleaned_Sales_data[[#This Row],[Product]],Raw_product_master[Product],0))</f>
        <v>Office Equipment</v>
      </c>
      <c r="E480" t="s">
        <v>31</v>
      </c>
      <c r="F480" t="s">
        <v>26</v>
      </c>
      <c r="G480" t="s">
        <v>21</v>
      </c>
      <c r="H480">
        <v>2</v>
      </c>
      <c r="I480">
        <v>18000</v>
      </c>
      <c r="J480" s="10">
        <v>0</v>
      </c>
      <c r="K480">
        <v>36000</v>
      </c>
      <c r="L480">
        <v>36000</v>
      </c>
      <c r="M480">
        <v>28800</v>
      </c>
      <c r="N480">
        <v>1126</v>
      </c>
      <c r="O480">
        <v>2276</v>
      </c>
      <c r="P480">
        <f>INDEX(Raw_product_master[Standard_Cost_Per_Unit],MATCH(Cleaned_Sales_data[[#This Row],[Product]],Raw_product_master[Product],0))</f>
        <v>14400</v>
      </c>
      <c r="Q480">
        <v>3798</v>
      </c>
      <c r="R480" s="11">
        <v>0.1055</v>
      </c>
      <c r="S480" s="11">
        <f>INDEX(Raw_product_master[Target_Margin], MATCH(Cleaned_Sales_data[[#This Row],[Product]],Raw_product_master[Product], 0 ))</f>
        <v>0.15</v>
      </c>
      <c r="T480" t="str">
        <f>IF(Cleaned_Sales_data[[#This Row],[Profit]]&gt;0, "Profitable", "Loss")</f>
        <v>Profitable</v>
      </c>
      <c r="U480" t="str">
        <f>_xlfn.IFS(Cleaned_Sales_data[[#This Row],[Profit]]&gt;=10000, "High", Cleaned_Sales_data[[#This Row],[Profit]]&gt;=5000, "Medium", Cleaned_Sales_data[[#This Row],[Profit]]&gt;=0, "Low", Cleaned_Sales_data[[#This Row],[Profit]] &lt;0, "Loss")</f>
        <v>Low</v>
      </c>
      <c r="V480" t="str">
        <f t="shared" si="7"/>
        <v>UnderPerforming</v>
      </c>
      <c r="W480" s="3">
        <v>45992</v>
      </c>
    </row>
    <row r="481" spans="1:23">
      <c r="A481" t="s">
        <v>617</v>
      </c>
      <c r="B481" s="3">
        <v>45838</v>
      </c>
      <c r="C481" t="s">
        <v>53</v>
      </c>
      <c r="D481" t="str">
        <f>INDEX(Raw_product_master[Category],MATCH(Cleaned_Sales_data[[#This Row],[Product]],Raw_product_master[Product],0))</f>
        <v>Accessories</v>
      </c>
      <c r="E481" t="s">
        <v>25</v>
      </c>
      <c r="F481" t="s">
        <v>26</v>
      </c>
      <c r="G481" t="s">
        <v>21</v>
      </c>
      <c r="H481">
        <v>7</v>
      </c>
      <c r="I481">
        <v>1500</v>
      </c>
      <c r="J481" s="10">
        <v>0.05</v>
      </c>
      <c r="K481">
        <v>10500</v>
      </c>
      <c r="L481">
        <v>9975</v>
      </c>
      <c r="M481">
        <v>5775</v>
      </c>
      <c r="N481">
        <v>1571</v>
      </c>
      <c r="O481">
        <v>420</v>
      </c>
      <c r="P481">
        <f>INDEX(Raw_product_master[Standard_Cost_Per_Unit],MATCH(Cleaned_Sales_data[[#This Row],[Product]],Raw_product_master[Product],0))</f>
        <v>825</v>
      </c>
      <c r="Q481">
        <v>2209</v>
      </c>
      <c r="R481" s="11">
        <v>0.22145363408521301</v>
      </c>
      <c r="S481" s="11">
        <f>INDEX(Raw_product_master[Target_Margin], MATCH(Cleaned_Sales_data[[#This Row],[Product]],Raw_product_master[Product], 0 ))</f>
        <v>0.3</v>
      </c>
      <c r="T481" t="str">
        <f>IF(Cleaned_Sales_data[[#This Row],[Profit]]&gt;0, "Profitable", "Loss")</f>
        <v>Profitable</v>
      </c>
      <c r="U481" t="str">
        <f>_xlfn.IFS(Cleaned_Sales_data[[#This Row],[Profit]]&gt;=10000, "High", Cleaned_Sales_data[[#This Row],[Profit]]&gt;=5000, "Medium", Cleaned_Sales_data[[#This Row],[Profit]]&gt;=0, "Low", Cleaned_Sales_data[[#This Row],[Profit]] &lt;0, "Loss")</f>
        <v>Low</v>
      </c>
      <c r="V481" t="str">
        <f t="shared" si="7"/>
        <v>UnderPerforming</v>
      </c>
      <c r="W481" s="3">
        <v>45809</v>
      </c>
    </row>
    <row r="482" spans="1:23">
      <c r="A482" t="s">
        <v>627</v>
      </c>
      <c r="B482" s="3">
        <v>46109</v>
      </c>
      <c r="C482" t="s">
        <v>61</v>
      </c>
      <c r="D482" t="str">
        <f>INDEX(Raw_product_master[Category],MATCH(Cleaned_Sales_data[[#This Row],[Product]],Raw_product_master[Product],0))</f>
        <v>Accessories</v>
      </c>
      <c r="E482" t="s">
        <v>51</v>
      </c>
      <c r="F482" t="s">
        <v>26</v>
      </c>
      <c r="G482" t="s">
        <v>21</v>
      </c>
      <c r="H482">
        <v>3</v>
      </c>
      <c r="I482">
        <v>4500</v>
      </c>
      <c r="J482" s="10">
        <v>0.03</v>
      </c>
      <c r="K482">
        <v>13500</v>
      </c>
      <c r="L482">
        <v>13095</v>
      </c>
      <c r="M482">
        <v>8775</v>
      </c>
      <c r="N482">
        <v>322</v>
      </c>
      <c r="O482">
        <v>1523</v>
      </c>
      <c r="P482">
        <f>INDEX(Raw_product_master[Standard_Cost_Per_Unit],MATCH(Cleaned_Sales_data[[#This Row],[Product]],Raw_product_master[Product],0))</f>
        <v>2925</v>
      </c>
      <c r="Q482">
        <v>2475</v>
      </c>
      <c r="R482" s="11">
        <v>0.189003436426117</v>
      </c>
      <c r="S482" s="11">
        <f>INDEX(Raw_product_master[Target_Margin], MATCH(Cleaned_Sales_data[[#This Row],[Product]],Raw_product_master[Product], 0 ))</f>
        <v>0.22</v>
      </c>
      <c r="T482" t="str">
        <f>IF(Cleaned_Sales_data[[#This Row],[Profit]]&gt;0, "Profitable", "Loss")</f>
        <v>Profitable</v>
      </c>
      <c r="U482" t="str">
        <f>_xlfn.IFS(Cleaned_Sales_data[[#This Row],[Profit]]&gt;=10000, "High", Cleaned_Sales_data[[#This Row],[Profit]]&gt;=5000, "Medium", Cleaned_Sales_data[[#This Row],[Profit]]&gt;=0, "Low", Cleaned_Sales_data[[#This Row],[Profit]] &lt;0, "Loss")</f>
        <v>Low</v>
      </c>
      <c r="V482" t="str">
        <f t="shared" si="7"/>
        <v>UnderPerforming</v>
      </c>
      <c r="W482" s="3">
        <v>46082</v>
      </c>
    </row>
    <row r="483" spans="1:23">
      <c r="A483" t="s">
        <v>650</v>
      </c>
      <c r="B483" s="3">
        <v>45949</v>
      </c>
      <c r="C483" t="s">
        <v>61</v>
      </c>
      <c r="D483" t="str">
        <f>INDEX(Raw_product_master[Category],MATCH(Cleaned_Sales_data[[#This Row],[Product]],Raw_product_master[Product],0))</f>
        <v>Accessories</v>
      </c>
      <c r="E483" t="s">
        <v>25</v>
      </c>
      <c r="F483" t="s">
        <v>26</v>
      </c>
      <c r="G483" t="s">
        <v>21</v>
      </c>
      <c r="H483">
        <v>2</v>
      </c>
      <c r="I483">
        <v>4500</v>
      </c>
      <c r="J483" s="10">
        <v>0.15</v>
      </c>
      <c r="K483">
        <v>9000</v>
      </c>
      <c r="L483">
        <v>7650</v>
      </c>
      <c r="M483">
        <v>5850</v>
      </c>
      <c r="N483">
        <v>490</v>
      </c>
      <c r="O483">
        <v>1019</v>
      </c>
      <c r="P483">
        <f>INDEX(Raw_product_master[Standard_Cost_Per_Unit],MATCH(Cleaned_Sales_data[[#This Row],[Product]],Raw_product_master[Product],0))</f>
        <v>2925</v>
      </c>
      <c r="Q483">
        <v>291</v>
      </c>
      <c r="R483" s="11">
        <v>3.8039215686274497E-2</v>
      </c>
      <c r="S483" s="11">
        <f>INDEX(Raw_product_master[Target_Margin], MATCH(Cleaned_Sales_data[[#This Row],[Product]],Raw_product_master[Product], 0 ))</f>
        <v>0.22</v>
      </c>
      <c r="T483" t="str">
        <f>IF(Cleaned_Sales_data[[#This Row],[Profit]]&gt;0, "Profitable", "Loss")</f>
        <v>Profitable</v>
      </c>
      <c r="U483" t="str">
        <f>_xlfn.IFS(Cleaned_Sales_data[[#This Row],[Profit]]&gt;=10000, "High", Cleaned_Sales_data[[#This Row],[Profit]]&gt;=5000, "Medium", Cleaned_Sales_data[[#This Row],[Profit]]&gt;=0, "Low", Cleaned_Sales_data[[#This Row],[Profit]] &lt;0, "Loss")</f>
        <v>Low</v>
      </c>
      <c r="V483" t="str">
        <f t="shared" si="7"/>
        <v>UnderPerforming</v>
      </c>
      <c r="W483" s="3">
        <v>45931</v>
      </c>
    </row>
    <row r="484" spans="1:23">
      <c r="A484" t="s">
        <v>654</v>
      </c>
      <c r="B484" s="3">
        <v>46047</v>
      </c>
      <c r="C484" t="s">
        <v>75</v>
      </c>
      <c r="D484" t="str">
        <f>INDEX(Raw_product_master[Category],MATCH(Cleaned_Sales_data[[#This Row],[Product]],Raw_product_master[Product],0))</f>
        <v>Computers</v>
      </c>
      <c r="E484" t="s">
        <v>34</v>
      </c>
      <c r="F484" t="s">
        <v>26</v>
      </c>
      <c r="G484" t="s">
        <v>21</v>
      </c>
      <c r="H484">
        <v>3</v>
      </c>
      <c r="I484">
        <v>65000</v>
      </c>
      <c r="J484" s="10">
        <v>0.15</v>
      </c>
      <c r="K484">
        <v>195000</v>
      </c>
      <c r="L484">
        <v>165750</v>
      </c>
      <c r="M484">
        <v>163800</v>
      </c>
      <c r="N484">
        <v>798</v>
      </c>
      <c r="O484">
        <v>1213</v>
      </c>
      <c r="P484">
        <f>INDEX(Raw_product_master[Standard_Cost_Per_Unit],MATCH(Cleaned_Sales_data[[#This Row],[Product]],Raw_product_master[Product],0))</f>
        <v>54600</v>
      </c>
      <c r="Q484">
        <v>-61</v>
      </c>
      <c r="R484" s="11">
        <v>-3.6802413273001502E-4</v>
      </c>
      <c r="S484" s="11">
        <f>INDEX(Raw_product_master[Target_Margin], MATCH(Cleaned_Sales_data[[#This Row],[Product]],Raw_product_master[Product], 0 ))</f>
        <v>0.12</v>
      </c>
      <c r="T484" t="str">
        <f>IF(Cleaned_Sales_data[[#This Row],[Profit]]&gt;0, "Profitable", "Loss")</f>
        <v>Loss</v>
      </c>
      <c r="U484" t="str">
        <f>_xlfn.IFS(Cleaned_Sales_data[[#This Row],[Profit]]&gt;=10000, "High", Cleaned_Sales_data[[#This Row],[Profit]]&gt;=5000, "Medium", Cleaned_Sales_data[[#This Row],[Profit]]&gt;=0, "Low", Cleaned_Sales_data[[#This Row],[Profit]] &lt;0, "Loss")</f>
        <v>Loss</v>
      </c>
      <c r="V484" t="str">
        <f t="shared" si="7"/>
        <v>UnderPerforming</v>
      </c>
      <c r="W484" s="3">
        <v>46023</v>
      </c>
    </row>
    <row r="485" spans="1:23">
      <c r="A485" t="s">
        <v>660</v>
      </c>
      <c r="B485" s="3">
        <v>46073</v>
      </c>
      <c r="C485" t="s">
        <v>50</v>
      </c>
      <c r="D485" t="str">
        <f>INDEX(Raw_product_master[Category],MATCH(Cleaned_Sales_data[[#This Row],[Product]],Raw_product_master[Product],0))</f>
        <v>Accessories</v>
      </c>
      <c r="E485" t="s">
        <v>51</v>
      </c>
      <c r="F485" t="s">
        <v>26</v>
      </c>
      <c r="G485" t="s">
        <v>21</v>
      </c>
      <c r="H485">
        <v>7</v>
      </c>
      <c r="I485">
        <v>2500</v>
      </c>
      <c r="J485" s="10">
        <v>0.05</v>
      </c>
      <c r="K485">
        <v>17500</v>
      </c>
      <c r="L485">
        <v>16625</v>
      </c>
      <c r="M485">
        <v>10850</v>
      </c>
      <c r="N485">
        <v>1153</v>
      </c>
      <c r="O485">
        <v>528</v>
      </c>
      <c r="P485">
        <f>INDEX(Raw_product_master[Standard_Cost_Per_Unit],MATCH(Cleaned_Sales_data[[#This Row],[Product]],Raw_product_master[Product],0))</f>
        <v>1550</v>
      </c>
      <c r="Q485">
        <v>4094</v>
      </c>
      <c r="R485" s="11">
        <v>0.24625563909774401</v>
      </c>
      <c r="S485" s="11">
        <f>INDEX(Raw_product_master[Target_Margin], MATCH(Cleaned_Sales_data[[#This Row],[Product]],Raw_product_master[Product], 0 ))</f>
        <v>0.25</v>
      </c>
      <c r="T485" t="str">
        <f>IF(Cleaned_Sales_data[[#This Row],[Profit]]&gt;0, "Profitable", "Loss")</f>
        <v>Profitable</v>
      </c>
      <c r="U485" t="str">
        <f>_xlfn.IFS(Cleaned_Sales_data[[#This Row],[Profit]]&gt;=10000, "High", Cleaned_Sales_data[[#This Row],[Profit]]&gt;=5000, "Medium", Cleaned_Sales_data[[#This Row],[Profit]]&gt;=0, "Low", Cleaned_Sales_data[[#This Row],[Profit]] &lt;0, "Loss")</f>
        <v>Low</v>
      </c>
      <c r="V485" t="str">
        <f t="shared" si="7"/>
        <v>UnderPerforming</v>
      </c>
      <c r="W485" s="3">
        <v>46054</v>
      </c>
    </row>
    <row r="486" spans="1:23">
      <c r="A486" t="s">
        <v>669</v>
      </c>
      <c r="B486" s="3">
        <v>45775</v>
      </c>
      <c r="C486" t="s">
        <v>61</v>
      </c>
      <c r="D486" t="str">
        <f>INDEX(Raw_product_master[Category],MATCH(Cleaned_Sales_data[[#This Row],[Product]],Raw_product_master[Product],0))</f>
        <v>Accessories</v>
      </c>
      <c r="E486" t="s">
        <v>25</v>
      </c>
      <c r="F486" t="s">
        <v>26</v>
      </c>
      <c r="G486" t="s">
        <v>21</v>
      </c>
      <c r="H486">
        <v>7</v>
      </c>
      <c r="I486">
        <v>4500</v>
      </c>
      <c r="J486" s="10">
        <v>0.05</v>
      </c>
      <c r="K486">
        <v>31500</v>
      </c>
      <c r="L486">
        <v>29925</v>
      </c>
      <c r="M486">
        <v>20475</v>
      </c>
      <c r="N486">
        <v>1492</v>
      </c>
      <c r="O486">
        <v>247</v>
      </c>
      <c r="P486">
        <f>INDEX(Raw_product_master[Standard_Cost_Per_Unit],MATCH(Cleaned_Sales_data[[#This Row],[Product]],Raw_product_master[Product],0))</f>
        <v>2925</v>
      </c>
      <c r="Q486">
        <v>7711</v>
      </c>
      <c r="R486" s="11">
        <v>0.25767752715121101</v>
      </c>
      <c r="S486" s="11">
        <f>INDEX(Raw_product_master[Target_Margin], MATCH(Cleaned_Sales_data[[#This Row],[Product]],Raw_product_master[Product], 0 ))</f>
        <v>0.22</v>
      </c>
      <c r="T486" t="str">
        <f>IF(Cleaned_Sales_data[[#This Row],[Profit]]&gt;0, "Profitable", "Loss")</f>
        <v>Profitable</v>
      </c>
      <c r="U486" t="str">
        <f>_xlfn.IFS(Cleaned_Sales_data[[#This Row],[Profit]]&gt;=10000, "High", Cleaned_Sales_data[[#This Row],[Profit]]&gt;=5000, "Medium", Cleaned_Sales_data[[#This Row],[Profit]]&gt;=0, "Low", Cleaned_Sales_data[[#This Row],[Profit]] &lt;0, "Loss")</f>
        <v>Medium</v>
      </c>
      <c r="V486" t="str">
        <f t="shared" si="7"/>
        <v>On Target</v>
      </c>
      <c r="W486" s="3">
        <v>45748</v>
      </c>
    </row>
    <row r="487" spans="1:23">
      <c r="A487" t="s">
        <v>670</v>
      </c>
      <c r="B487" s="3">
        <v>45771</v>
      </c>
      <c r="C487" t="s">
        <v>18</v>
      </c>
      <c r="D487" t="str">
        <f>INDEX(Raw_product_master[Category],MATCH(Cleaned_Sales_data[[#This Row],[Product]],Raw_product_master[Product],0))</f>
        <v>Computers</v>
      </c>
      <c r="E487" t="s">
        <v>63</v>
      </c>
      <c r="F487" t="s">
        <v>26</v>
      </c>
      <c r="G487" t="s">
        <v>21</v>
      </c>
      <c r="H487">
        <v>1</v>
      </c>
      <c r="I487">
        <v>32000</v>
      </c>
      <c r="J487" s="10">
        <v>0.05</v>
      </c>
      <c r="K487">
        <v>32000</v>
      </c>
      <c r="L487">
        <v>30400</v>
      </c>
      <c r="M487">
        <v>26240</v>
      </c>
      <c r="N487">
        <v>787</v>
      </c>
      <c r="O487">
        <v>594</v>
      </c>
      <c r="P487">
        <f>INDEX(Raw_product_master[Standard_Cost_Per_Unit],MATCH(Cleaned_Sales_data[[#This Row],[Product]],Raw_product_master[Product],0))</f>
        <v>26240</v>
      </c>
      <c r="Q487">
        <v>2779</v>
      </c>
      <c r="R487" s="11">
        <v>9.1414473684210504E-2</v>
      </c>
      <c r="S487" s="11">
        <f>INDEX(Raw_product_master[Target_Margin], MATCH(Cleaned_Sales_data[[#This Row],[Product]],Raw_product_master[Product], 0 ))</f>
        <v>0.12</v>
      </c>
      <c r="T487" t="str">
        <f>IF(Cleaned_Sales_data[[#This Row],[Profit]]&gt;0, "Profitable", "Loss")</f>
        <v>Profitable</v>
      </c>
      <c r="U487" t="str">
        <f>_xlfn.IFS(Cleaned_Sales_data[[#This Row],[Profit]]&gt;=10000, "High", Cleaned_Sales_data[[#This Row],[Profit]]&gt;=5000, "Medium", Cleaned_Sales_data[[#This Row],[Profit]]&gt;=0, "Low", Cleaned_Sales_data[[#This Row],[Profit]] &lt;0, "Loss")</f>
        <v>Low</v>
      </c>
      <c r="V487" t="str">
        <f t="shared" si="7"/>
        <v>UnderPerforming</v>
      </c>
      <c r="W487" s="3">
        <v>45748</v>
      </c>
    </row>
    <row r="488" spans="1:23">
      <c r="A488" t="s">
        <v>671</v>
      </c>
      <c r="B488" s="3">
        <v>46085</v>
      </c>
      <c r="C488" t="s">
        <v>18</v>
      </c>
      <c r="D488" t="str">
        <f>INDEX(Raw_product_master[Category],MATCH(Cleaned_Sales_data[[#This Row],[Product]],Raw_product_master[Product],0))</f>
        <v>Computers</v>
      </c>
      <c r="E488" t="s">
        <v>63</v>
      </c>
      <c r="F488" t="s">
        <v>26</v>
      </c>
      <c r="G488" t="s">
        <v>21</v>
      </c>
      <c r="H488">
        <v>1</v>
      </c>
      <c r="I488">
        <v>32000</v>
      </c>
      <c r="J488" s="10">
        <v>0.08</v>
      </c>
      <c r="K488">
        <v>32000</v>
      </c>
      <c r="L488">
        <v>29440</v>
      </c>
      <c r="M488">
        <v>26240</v>
      </c>
      <c r="N488">
        <v>1237</v>
      </c>
      <c r="O488">
        <v>473</v>
      </c>
      <c r="P488">
        <f>INDEX(Raw_product_master[Standard_Cost_Per_Unit],MATCH(Cleaned_Sales_data[[#This Row],[Product]],Raw_product_master[Product],0))</f>
        <v>26240</v>
      </c>
      <c r="Q488">
        <v>1490</v>
      </c>
      <c r="R488" s="11">
        <v>5.0611413043478298E-2</v>
      </c>
      <c r="S488" s="11">
        <f>INDEX(Raw_product_master[Target_Margin], MATCH(Cleaned_Sales_data[[#This Row],[Product]],Raw_product_master[Product], 0 ))</f>
        <v>0.12</v>
      </c>
      <c r="T488" t="str">
        <f>IF(Cleaned_Sales_data[[#This Row],[Profit]]&gt;0, "Profitable", "Loss")</f>
        <v>Profitable</v>
      </c>
      <c r="U488" t="str">
        <f>_xlfn.IFS(Cleaned_Sales_data[[#This Row],[Profit]]&gt;=10000, "High", Cleaned_Sales_data[[#This Row],[Profit]]&gt;=5000, "Medium", Cleaned_Sales_data[[#This Row],[Profit]]&gt;=0, "Low", Cleaned_Sales_data[[#This Row],[Profit]] &lt;0, "Loss")</f>
        <v>Low</v>
      </c>
      <c r="V488" t="str">
        <f t="shared" si="7"/>
        <v>UnderPerforming</v>
      </c>
      <c r="W488" s="3">
        <v>46082</v>
      </c>
    </row>
    <row r="489" spans="1:23">
      <c r="A489" t="s">
        <v>676</v>
      </c>
      <c r="B489" s="3">
        <v>46000</v>
      </c>
      <c r="C489" t="s">
        <v>75</v>
      </c>
      <c r="D489" t="str">
        <f>INDEX(Raw_product_master[Category],MATCH(Cleaned_Sales_data[[#This Row],[Product]],Raw_product_master[Product],0))</f>
        <v>Computers</v>
      </c>
      <c r="E489" t="s">
        <v>19</v>
      </c>
      <c r="F489" t="s">
        <v>26</v>
      </c>
      <c r="G489" t="s">
        <v>21</v>
      </c>
      <c r="H489">
        <v>1</v>
      </c>
      <c r="I489">
        <v>65000</v>
      </c>
      <c r="J489" s="10">
        <v>0.05</v>
      </c>
      <c r="K489">
        <v>65000</v>
      </c>
      <c r="L489">
        <v>61750</v>
      </c>
      <c r="M489">
        <v>54600</v>
      </c>
      <c r="N489">
        <v>826</v>
      </c>
      <c r="O489">
        <v>163</v>
      </c>
      <c r="P489">
        <f>INDEX(Raw_product_master[Standard_Cost_Per_Unit],MATCH(Cleaned_Sales_data[[#This Row],[Product]],Raw_product_master[Product],0))</f>
        <v>54600</v>
      </c>
      <c r="Q489">
        <v>6161</v>
      </c>
      <c r="R489" s="11">
        <v>9.9773279352226699E-2</v>
      </c>
      <c r="S489" s="11">
        <f>INDEX(Raw_product_master[Target_Margin], MATCH(Cleaned_Sales_data[[#This Row],[Product]],Raw_product_master[Product], 0 ))</f>
        <v>0.12</v>
      </c>
      <c r="T489" t="str">
        <f>IF(Cleaned_Sales_data[[#This Row],[Profit]]&gt;0, "Profitable", "Loss")</f>
        <v>Profitable</v>
      </c>
      <c r="U489" t="str">
        <f>_xlfn.IFS(Cleaned_Sales_data[[#This Row],[Profit]]&gt;=10000, "High", Cleaned_Sales_data[[#This Row],[Profit]]&gt;=5000, "Medium", Cleaned_Sales_data[[#This Row],[Profit]]&gt;=0, "Low", Cleaned_Sales_data[[#This Row],[Profit]] &lt;0, "Loss")</f>
        <v>Medium</v>
      </c>
      <c r="V489" t="str">
        <f t="shared" si="7"/>
        <v>UnderPerforming</v>
      </c>
      <c r="W489" s="3">
        <v>45992</v>
      </c>
    </row>
    <row r="490" spans="1:23">
      <c r="A490" t="s">
        <v>724</v>
      </c>
      <c r="B490" s="3">
        <v>45711</v>
      </c>
      <c r="C490" t="s">
        <v>50</v>
      </c>
      <c r="D490" t="str">
        <f>INDEX(Raw_product_master[Category],MATCH(Cleaned_Sales_data[[#This Row],[Product]],Raw_product_master[Product],0))</f>
        <v>Accessories</v>
      </c>
      <c r="E490" t="s">
        <v>25</v>
      </c>
      <c r="F490" t="s">
        <v>26</v>
      </c>
      <c r="G490" t="s">
        <v>21</v>
      </c>
      <c r="H490">
        <v>5</v>
      </c>
      <c r="I490">
        <v>2500</v>
      </c>
      <c r="J490" s="10">
        <v>0.15</v>
      </c>
      <c r="K490">
        <v>12500</v>
      </c>
      <c r="L490">
        <v>10625</v>
      </c>
      <c r="M490">
        <v>7750</v>
      </c>
      <c r="N490">
        <v>691</v>
      </c>
      <c r="O490">
        <v>160</v>
      </c>
      <c r="P490">
        <f>INDEX(Raw_product_master[Standard_Cost_Per_Unit],MATCH(Cleaned_Sales_data[[#This Row],[Product]],Raw_product_master[Product],0))</f>
        <v>1550</v>
      </c>
      <c r="Q490">
        <v>2024</v>
      </c>
      <c r="R490" s="11">
        <v>0.19049411764705901</v>
      </c>
      <c r="S490" s="11">
        <f>INDEX(Raw_product_master[Target_Margin], MATCH(Cleaned_Sales_data[[#This Row],[Product]],Raw_product_master[Product], 0 ))</f>
        <v>0.25</v>
      </c>
      <c r="T490" t="str">
        <f>IF(Cleaned_Sales_data[[#This Row],[Profit]]&gt;0, "Profitable", "Loss")</f>
        <v>Profitable</v>
      </c>
      <c r="U490" t="str">
        <f>_xlfn.IFS(Cleaned_Sales_data[[#This Row],[Profit]]&gt;=10000, "High", Cleaned_Sales_data[[#This Row],[Profit]]&gt;=5000, "Medium", Cleaned_Sales_data[[#This Row],[Profit]]&gt;=0, "Low", Cleaned_Sales_data[[#This Row],[Profit]] &lt;0, "Loss")</f>
        <v>Low</v>
      </c>
      <c r="V490" t="str">
        <f t="shared" si="7"/>
        <v>UnderPerforming</v>
      </c>
      <c r="W490" s="3">
        <v>45689</v>
      </c>
    </row>
    <row r="491" spans="1:23">
      <c r="A491" t="s">
        <v>741</v>
      </c>
      <c r="B491" s="3">
        <v>45930</v>
      </c>
      <c r="C491" t="s">
        <v>46</v>
      </c>
      <c r="D491" t="str">
        <f>INDEX(Raw_product_master[Category],MATCH(Cleaned_Sales_data[[#This Row],[Product]],Raw_product_master[Product],0))</f>
        <v>Office Equipment</v>
      </c>
      <c r="E491" t="s">
        <v>31</v>
      </c>
      <c r="F491" t="s">
        <v>26</v>
      </c>
      <c r="G491" t="s">
        <v>21</v>
      </c>
      <c r="H491">
        <v>1</v>
      </c>
      <c r="I491">
        <v>18000</v>
      </c>
      <c r="J491" s="10">
        <v>0.03</v>
      </c>
      <c r="K491">
        <v>18000</v>
      </c>
      <c r="L491">
        <v>17460</v>
      </c>
      <c r="M491">
        <v>14400</v>
      </c>
      <c r="N491">
        <v>1009</v>
      </c>
      <c r="O491">
        <v>886</v>
      </c>
      <c r="P491">
        <f>INDEX(Raw_product_master[Standard_Cost_Per_Unit],MATCH(Cleaned_Sales_data[[#This Row],[Product]],Raw_product_master[Product],0))</f>
        <v>14400</v>
      </c>
      <c r="Q491">
        <v>1165</v>
      </c>
      <c r="R491" s="11">
        <v>6.6723940435280599E-2</v>
      </c>
      <c r="S491" s="11">
        <f>INDEX(Raw_product_master[Target_Margin], MATCH(Cleaned_Sales_data[[#This Row],[Product]],Raw_product_master[Product], 0 ))</f>
        <v>0.15</v>
      </c>
      <c r="T491" t="str">
        <f>IF(Cleaned_Sales_data[[#This Row],[Profit]]&gt;0, "Profitable", "Loss")</f>
        <v>Profitable</v>
      </c>
      <c r="U491" t="str">
        <f>_xlfn.IFS(Cleaned_Sales_data[[#This Row],[Profit]]&gt;=10000, "High", Cleaned_Sales_data[[#This Row],[Profit]]&gt;=5000, "Medium", Cleaned_Sales_data[[#This Row],[Profit]]&gt;=0, "Low", Cleaned_Sales_data[[#This Row],[Profit]] &lt;0, "Loss")</f>
        <v>Low</v>
      </c>
      <c r="V491" t="str">
        <f t="shared" si="7"/>
        <v>UnderPerforming</v>
      </c>
      <c r="W491" s="3">
        <v>45901</v>
      </c>
    </row>
    <row r="492" spans="1:23">
      <c r="A492" t="s">
        <v>742</v>
      </c>
      <c r="B492" s="3">
        <v>46012</v>
      </c>
      <c r="C492" t="s">
        <v>18</v>
      </c>
      <c r="D492" t="str">
        <f>INDEX(Raw_product_master[Category],MATCH(Cleaned_Sales_data[[#This Row],[Product]],Raw_product_master[Product],0))</f>
        <v>Computers</v>
      </c>
      <c r="E492" t="s">
        <v>31</v>
      </c>
      <c r="F492" t="s">
        <v>26</v>
      </c>
      <c r="G492" t="s">
        <v>21</v>
      </c>
      <c r="H492">
        <v>3</v>
      </c>
      <c r="I492">
        <v>32000</v>
      </c>
      <c r="J492" s="10">
        <v>0.05</v>
      </c>
      <c r="K492">
        <v>96000</v>
      </c>
      <c r="L492">
        <v>91200</v>
      </c>
      <c r="M492">
        <v>78720</v>
      </c>
      <c r="N492">
        <v>766</v>
      </c>
      <c r="O492">
        <v>765</v>
      </c>
      <c r="P492">
        <f>INDEX(Raw_product_master[Standard_Cost_Per_Unit],MATCH(Cleaned_Sales_data[[#This Row],[Product]],Raw_product_master[Product],0))</f>
        <v>26240</v>
      </c>
      <c r="Q492">
        <v>10949</v>
      </c>
      <c r="R492" s="11">
        <v>0.120054824561404</v>
      </c>
      <c r="S492" s="11">
        <f>INDEX(Raw_product_master[Target_Margin], MATCH(Cleaned_Sales_data[[#This Row],[Product]],Raw_product_master[Product], 0 ))</f>
        <v>0.12</v>
      </c>
      <c r="T492" t="str">
        <f>IF(Cleaned_Sales_data[[#This Row],[Profit]]&gt;0, "Profitable", "Loss")</f>
        <v>Profitable</v>
      </c>
      <c r="U492" t="str">
        <f>_xlfn.IFS(Cleaned_Sales_data[[#This Row],[Profit]]&gt;=10000, "High", Cleaned_Sales_data[[#This Row],[Profit]]&gt;=5000, "Medium", Cleaned_Sales_data[[#This Row],[Profit]]&gt;=0, "Low", Cleaned_Sales_data[[#This Row],[Profit]] &lt;0, "Loss")</f>
        <v>High</v>
      </c>
      <c r="V492" t="str">
        <f t="shared" si="7"/>
        <v>On Target</v>
      </c>
      <c r="W492" s="3">
        <v>45992</v>
      </c>
    </row>
    <row r="493" spans="1:23">
      <c r="A493" t="s">
        <v>747</v>
      </c>
      <c r="B493" s="3">
        <v>46114</v>
      </c>
      <c r="C493" t="s">
        <v>24</v>
      </c>
      <c r="D493" t="str">
        <f>INDEX(Raw_product_master[Category],MATCH(Cleaned_Sales_data[[#This Row],[Product]],Raw_product_master[Product],0))</f>
        <v>Accessories</v>
      </c>
      <c r="E493" t="s">
        <v>51</v>
      </c>
      <c r="F493" t="s">
        <v>26</v>
      </c>
      <c r="G493" t="s">
        <v>21</v>
      </c>
      <c r="H493">
        <v>6</v>
      </c>
      <c r="I493">
        <v>3500</v>
      </c>
      <c r="J493" s="10">
        <v>0.03</v>
      </c>
      <c r="K493">
        <v>21000</v>
      </c>
      <c r="L493">
        <v>20370</v>
      </c>
      <c r="M493">
        <v>14280</v>
      </c>
      <c r="N493">
        <v>809</v>
      </c>
      <c r="O493">
        <v>2429</v>
      </c>
      <c r="P493">
        <f>INDEX(Raw_product_master[Standard_Cost_Per_Unit],MATCH(Cleaned_Sales_data[[#This Row],[Product]],Raw_product_master[Product],0))</f>
        <v>2380</v>
      </c>
      <c r="Q493">
        <v>2852</v>
      </c>
      <c r="R493" s="11">
        <v>0.14000981836033399</v>
      </c>
      <c r="S493" s="11">
        <f>INDEX(Raw_product_master[Target_Margin], MATCH(Cleaned_Sales_data[[#This Row],[Product]],Raw_product_master[Product], 0 ))</f>
        <v>0.2</v>
      </c>
      <c r="T493" t="str">
        <f>IF(Cleaned_Sales_data[[#This Row],[Profit]]&gt;0, "Profitable", "Loss")</f>
        <v>Profitable</v>
      </c>
      <c r="U493" t="str">
        <f>_xlfn.IFS(Cleaned_Sales_data[[#This Row],[Profit]]&gt;=10000, "High", Cleaned_Sales_data[[#This Row],[Profit]]&gt;=5000, "Medium", Cleaned_Sales_data[[#This Row],[Profit]]&gt;=0, "Low", Cleaned_Sales_data[[#This Row],[Profit]] &lt;0, "Loss")</f>
        <v>Low</v>
      </c>
      <c r="V493" t="str">
        <f t="shared" si="7"/>
        <v>UnderPerforming</v>
      </c>
      <c r="W493" s="3">
        <v>46113</v>
      </c>
    </row>
    <row r="494" spans="1:23">
      <c r="A494" t="s">
        <v>803</v>
      </c>
      <c r="B494" s="3">
        <v>45760</v>
      </c>
      <c r="C494" t="s">
        <v>75</v>
      </c>
      <c r="D494" t="str">
        <f>INDEX(Raw_product_master[Category],MATCH(Cleaned_Sales_data[[#This Row],[Product]],Raw_product_master[Product],0))</f>
        <v>Computers</v>
      </c>
      <c r="E494" t="s">
        <v>31</v>
      </c>
      <c r="F494" t="s">
        <v>26</v>
      </c>
      <c r="G494" t="s">
        <v>21</v>
      </c>
      <c r="H494">
        <v>2</v>
      </c>
      <c r="I494">
        <v>65000</v>
      </c>
      <c r="J494" s="10">
        <v>0.03</v>
      </c>
      <c r="K494">
        <v>130000</v>
      </c>
      <c r="L494">
        <v>126100</v>
      </c>
      <c r="M494">
        <v>109200</v>
      </c>
      <c r="N494">
        <v>1319</v>
      </c>
      <c r="O494">
        <v>1057</v>
      </c>
      <c r="P494">
        <f>INDEX(Raw_product_master[Standard_Cost_Per_Unit],MATCH(Cleaned_Sales_data[[#This Row],[Product]],Raw_product_master[Product],0))</f>
        <v>54600</v>
      </c>
      <c r="Q494">
        <v>14524</v>
      </c>
      <c r="R494" s="11">
        <v>0.115178429817605</v>
      </c>
      <c r="S494" s="11">
        <f>INDEX(Raw_product_master[Target_Margin], MATCH(Cleaned_Sales_data[[#This Row],[Product]],Raw_product_master[Product], 0 ))</f>
        <v>0.12</v>
      </c>
      <c r="T494" t="str">
        <f>IF(Cleaned_Sales_data[[#This Row],[Profit]]&gt;0, "Profitable", "Loss")</f>
        <v>Profitable</v>
      </c>
      <c r="U494" t="str">
        <f>_xlfn.IFS(Cleaned_Sales_data[[#This Row],[Profit]]&gt;=10000, "High", Cleaned_Sales_data[[#This Row],[Profit]]&gt;=5000, "Medium", Cleaned_Sales_data[[#This Row],[Profit]]&gt;=0, "Low", Cleaned_Sales_data[[#This Row],[Profit]] &lt;0, "Loss")</f>
        <v>High</v>
      </c>
      <c r="V494" t="str">
        <f t="shared" si="7"/>
        <v>UnderPerforming</v>
      </c>
      <c r="W494" s="3">
        <v>45748</v>
      </c>
    </row>
    <row r="495" spans="1:23">
      <c r="A495" t="s">
        <v>33</v>
      </c>
      <c r="B495" s="3">
        <v>45847</v>
      </c>
      <c r="C495" t="s">
        <v>18</v>
      </c>
      <c r="D495" t="str">
        <f>INDEX(Raw_product_master[Category],MATCH(Cleaned_Sales_data[[#This Row],[Product]],Raw_product_master[Product],0))</f>
        <v>Computers</v>
      </c>
      <c r="E495" t="s">
        <v>34</v>
      </c>
      <c r="F495" t="s">
        <v>26</v>
      </c>
      <c r="G495" t="s">
        <v>35</v>
      </c>
      <c r="H495">
        <v>2</v>
      </c>
      <c r="I495">
        <v>32000</v>
      </c>
      <c r="J495" s="10">
        <v>0</v>
      </c>
      <c r="K495">
        <v>64000</v>
      </c>
      <c r="L495">
        <v>64000</v>
      </c>
      <c r="M495">
        <v>52480</v>
      </c>
      <c r="N495">
        <v>899</v>
      </c>
      <c r="O495">
        <v>1075</v>
      </c>
      <c r="P495">
        <f>INDEX(Raw_product_master[Standard_Cost_Per_Unit],MATCH(Cleaned_Sales_data[[#This Row],[Product]],Raw_product_master[Product],0))</f>
        <v>26240</v>
      </c>
      <c r="Q495">
        <v>9546</v>
      </c>
      <c r="R495" s="11">
        <v>0.14915624999999999</v>
      </c>
      <c r="S495" s="11">
        <f>INDEX(Raw_product_master[Target_Margin], MATCH(Cleaned_Sales_data[[#This Row],[Product]],Raw_product_master[Product], 0 ))</f>
        <v>0.12</v>
      </c>
      <c r="T495" t="str">
        <f>IF(Cleaned_Sales_data[[#This Row],[Profit]]&gt;0, "Profitable", "Loss")</f>
        <v>Profitable</v>
      </c>
      <c r="U495" t="str">
        <f>_xlfn.IFS(Cleaned_Sales_data[[#This Row],[Profit]]&gt;=10000, "High", Cleaned_Sales_data[[#This Row],[Profit]]&gt;=5000, "Medium", Cleaned_Sales_data[[#This Row],[Profit]]&gt;=0, "Low", Cleaned_Sales_data[[#This Row],[Profit]] &lt;0, "Loss")</f>
        <v>Medium</v>
      </c>
      <c r="V495" t="str">
        <f t="shared" si="7"/>
        <v>On Target</v>
      </c>
      <c r="W495" s="3">
        <v>45839</v>
      </c>
    </row>
    <row r="496" spans="1:23">
      <c r="A496" t="s">
        <v>42</v>
      </c>
      <c r="B496" s="3">
        <v>46047</v>
      </c>
      <c r="C496" t="s">
        <v>18</v>
      </c>
      <c r="D496" t="str">
        <f>INDEX(Raw_product_master[Category],MATCH(Cleaned_Sales_data[[#This Row],[Product]],Raw_product_master[Product],0))</f>
        <v>Computers</v>
      </c>
      <c r="E496" t="s">
        <v>34</v>
      </c>
      <c r="F496" t="s">
        <v>26</v>
      </c>
      <c r="G496" t="s">
        <v>35</v>
      </c>
      <c r="H496">
        <v>3</v>
      </c>
      <c r="I496">
        <v>32000</v>
      </c>
      <c r="J496" s="10">
        <v>0.15</v>
      </c>
      <c r="K496">
        <v>96000</v>
      </c>
      <c r="L496">
        <v>81600</v>
      </c>
      <c r="M496">
        <v>78720</v>
      </c>
      <c r="N496">
        <v>1785</v>
      </c>
      <c r="O496">
        <v>1121</v>
      </c>
      <c r="P496">
        <f>INDEX(Raw_product_master[Standard_Cost_Per_Unit],MATCH(Cleaned_Sales_data[[#This Row],[Product]],Raw_product_master[Product],0))</f>
        <v>26240</v>
      </c>
      <c r="Q496">
        <v>-26</v>
      </c>
      <c r="R496" s="11">
        <v>-3.1862745098039201E-4</v>
      </c>
      <c r="S496" s="11">
        <f>INDEX(Raw_product_master[Target_Margin], MATCH(Cleaned_Sales_data[[#This Row],[Product]],Raw_product_master[Product], 0 ))</f>
        <v>0.12</v>
      </c>
      <c r="T496" t="str">
        <f>IF(Cleaned_Sales_data[[#This Row],[Profit]]&gt;0, "Profitable", "Loss")</f>
        <v>Loss</v>
      </c>
      <c r="U496" t="str">
        <f>_xlfn.IFS(Cleaned_Sales_data[[#This Row],[Profit]]&gt;=10000, "High", Cleaned_Sales_data[[#This Row],[Profit]]&gt;=5000, "Medium", Cleaned_Sales_data[[#This Row],[Profit]]&gt;=0, "Low", Cleaned_Sales_data[[#This Row],[Profit]] &lt;0, "Loss")</f>
        <v>Loss</v>
      </c>
      <c r="V496" t="str">
        <f t="shared" si="7"/>
        <v>UnderPerforming</v>
      </c>
      <c r="W496" s="3">
        <v>46023</v>
      </c>
    </row>
    <row r="497" spans="1:23">
      <c r="A497" t="s">
        <v>78</v>
      </c>
      <c r="B497" s="3">
        <v>45761</v>
      </c>
      <c r="C497" t="s">
        <v>75</v>
      </c>
      <c r="D497" t="str">
        <f>INDEX(Raw_product_master[Category],MATCH(Cleaned_Sales_data[[#This Row],[Product]],Raw_product_master[Product],0))</f>
        <v>Computers</v>
      </c>
      <c r="E497" t="s">
        <v>31</v>
      </c>
      <c r="F497" t="s">
        <v>26</v>
      </c>
      <c r="G497" t="s">
        <v>35</v>
      </c>
      <c r="H497">
        <v>3</v>
      </c>
      <c r="I497">
        <v>65000</v>
      </c>
      <c r="J497" s="10">
        <v>0.15</v>
      </c>
      <c r="K497">
        <v>195000</v>
      </c>
      <c r="L497">
        <v>165750</v>
      </c>
      <c r="M497">
        <v>163800</v>
      </c>
      <c r="N497">
        <v>1643</v>
      </c>
      <c r="O497">
        <v>1545</v>
      </c>
      <c r="P497">
        <f>INDEX(Raw_product_master[Standard_Cost_Per_Unit],MATCH(Cleaned_Sales_data[[#This Row],[Product]],Raw_product_master[Product],0))</f>
        <v>54600</v>
      </c>
      <c r="Q497">
        <v>-1238</v>
      </c>
      <c r="R497" s="11">
        <v>-7.4690799396681801E-3</v>
      </c>
      <c r="S497" s="11">
        <f>INDEX(Raw_product_master[Target_Margin], MATCH(Cleaned_Sales_data[[#This Row],[Product]],Raw_product_master[Product], 0 ))</f>
        <v>0.12</v>
      </c>
      <c r="T497" t="str">
        <f>IF(Cleaned_Sales_data[[#This Row],[Profit]]&gt;0, "Profitable", "Loss")</f>
        <v>Loss</v>
      </c>
      <c r="U497" t="str">
        <f>_xlfn.IFS(Cleaned_Sales_data[[#This Row],[Profit]]&gt;=10000, "High", Cleaned_Sales_data[[#This Row],[Profit]]&gt;=5000, "Medium", Cleaned_Sales_data[[#This Row],[Profit]]&gt;=0, "Low", Cleaned_Sales_data[[#This Row],[Profit]] &lt;0, "Loss")</f>
        <v>Loss</v>
      </c>
      <c r="V497" t="str">
        <f t="shared" si="7"/>
        <v>UnderPerforming</v>
      </c>
      <c r="W497" s="3">
        <v>45748</v>
      </c>
    </row>
    <row r="498" spans="1:23">
      <c r="A498" t="s">
        <v>94</v>
      </c>
      <c r="B498" s="3">
        <v>45926</v>
      </c>
      <c r="C498" t="s">
        <v>53</v>
      </c>
      <c r="D498" t="str">
        <f>INDEX(Raw_product_master[Category],MATCH(Cleaned_Sales_data[[#This Row],[Product]],Raw_product_master[Product],0))</f>
        <v>Accessories</v>
      </c>
      <c r="E498" t="s">
        <v>25</v>
      </c>
      <c r="F498" t="s">
        <v>26</v>
      </c>
      <c r="G498" t="s">
        <v>35</v>
      </c>
      <c r="H498">
        <v>6</v>
      </c>
      <c r="I498">
        <v>1500</v>
      </c>
      <c r="J498" s="10">
        <v>0</v>
      </c>
      <c r="K498">
        <v>9000</v>
      </c>
      <c r="L498">
        <v>9000</v>
      </c>
      <c r="M498">
        <v>4950</v>
      </c>
      <c r="N498">
        <v>1083</v>
      </c>
      <c r="O498">
        <v>146</v>
      </c>
      <c r="P498">
        <f>INDEX(Raw_product_master[Standard_Cost_Per_Unit],MATCH(Cleaned_Sales_data[[#This Row],[Product]],Raw_product_master[Product],0))</f>
        <v>825</v>
      </c>
      <c r="Q498">
        <v>2821</v>
      </c>
      <c r="R498" s="11">
        <v>0.31344444444444403</v>
      </c>
      <c r="S498" s="11">
        <f>INDEX(Raw_product_master[Target_Margin], MATCH(Cleaned_Sales_data[[#This Row],[Product]],Raw_product_master[Product], 0 ))</f>
        <v>0.3</v>
      </c>
      <c r="T498" t="str">
        <f>IF(Cleaned_Sales_data[[#This Row],[Profit]]&gt;0, "Profitable", "Loss")</f>
        <v>Profitable</v>
      </c>
      <c r="U498" t="str">
        <f>_xlfn.IFS(Cleaned_Sales_data[[#This Row],[Profit]]&gt;=10000, "High", Cleaned_Sales_data[[#This Row],[Profit]]&gt;=5000, "Medium", Cleaned_Sales_data[[#This Row],[Profit]]&gt;=0, "Low", Cleaned_Sales_data[[#This Row],[Profit]] &lt;0, "Loss")</f>
        <v>Low</v>
      </c>
      <c r="V498" t="str">
        <f t="shared" si="7"/>
        <v>On Target</v>
      </c>
      <c r="W498" s="3">
        <v>45901</v>
      </c>
    </row>
    <row r="499" spans="1:23">
      <c r="A499" t="s">
        <v>97</v>
      </c>
      <c r="B499" s="3">
        <v>46104</v>
      </c>
      <c r="C499" t="s">
        <v>75</v>
      </c>
      <c r="D499" t="str">
        <f>INDEX(Raw_product_master[Category],MATCH(Cleaned_Sales_data[[#This Row],[Product]],Raw_product_master[Product],0))</f>
        <v>Computers</v>
      </c>
      <c r="E499" t="s">
        <v>51</v>
      </c>
      <c r="F499" t="s">
        <v>26</v>
      </c>
      <c r="G499" t="s">
        <v>35</v>
      </c>
      <c r="H499">
        <v>1</v>
      </c>
      <c r="I499">
        <v>65000</v>
      </c>
      <c r="J499" s="10">
        <v>0.05</v>
      </c>
      <c r="K499">
        <v>65000</v>
      </c>
      <c r="L499">
        <v>61750</v>
      </c>
      <c r="M499">
        <v>54600</v>
      </c>
      <c r="N499">
        <v>1495</v>
      </c>
      <c r="O499">
        <v>1312</v>
      </c>
      <c r="P499">
        <f>INDEX(Raw_product_master[Standard_Cost_Per_Unit],MATCH(Cleaned_Sales_data[[#This Row],[Product]],Raw_product_master[Product],0))</f>
        <v>54600</v>
      </c>
      <c r="Q499">
        <v>4343</v>
      </c>
      <c r="R499" s="11">
        <v>7.0331983805668005E-2</v>
      </c>
      <c r="S499" s="11">
        <f>INDEX(Raw_product_master[Target_Margin], MATCH(Cleaned_Sales_data[[#This Row],[Product]],Raw_product_master[Product], 0 ))</f>
        <v>0.12</v>
      </c>
      <c r="T499" t="str">
        <f>IF(Cleaned_Sales_data[[#This Row],[Profit]]&gt;0, "Profitable", "Loss")</f>
        <v>Profitable</v>
      </c>
      <c r="U499" t="str">
        <f>_xlfn.IFS(Cleaned_Sales_data[[#This Row],[Profit]]&gt;=10000, "High", Cleaned_Sales_data[[#This Row],[Profit]]&gt;=5000, "Medium", Cleaned_Sales_data[[#This Row],[Profit]]&gt;=0, "Low", Cleaned_Sales_data[[#This Row],[Profit]] &lt;0, "Loss")</f>
        <v>Low</v>
      </c>
      <c r="V499" t="str">
        <f t="shared" si="7"/>
        <v>UnderPerforming</v>
      </c>
      <c r="W499" s="3">
        <v>46082</v>
      </c>
    </row>
    <row r="500" spans="1:23">
      <c r="A500" t="s">
        <v>102</v>
      </c>
      <c r="B500" s="3">
        <v>46132</v>
      </c>
      <c r="C500" t="s">
        <v>18</v>
      </c>
      <c r="D500" t="str">
        <f>INDEX(Raw_product_master[Category],MATCH(Cleaned_Sales_data[[#This Row],[Product]],Raw_product_master[Product],0))</f>
        <v>Computers</v>
      </c>
      <c r="E500" t="s">
        <v>31</v>
      </c>
      <c r="F500" t="s">
        <v>26</v>
      </c>
      <c r="G500" t="s">
        <v>35</v>
      </c>
      <c r="H500">
        <v>2</v>
      </c>
      <c r="I500">
        <v>32000</v>
      </c>
      <c r="J500" s="10">
        <v>0</v>
      </c>
      <c r="K500">
        <v>64000</v>
      </c>
      <c r="L500">
        <v>64000</v>
      </c>
      <c r="M500">
        <v>52480</v>
      </c>
      <c r="N500">
        <v>1095</v>
      </c>
      <c r="O500">
        <v>2307</v>
      </c>
      <c r="P500">
        <f>INDEX(Raw_product_master[Standard_Cost_Per_Unit],MATCH(Cleaned_Sales_data[[#This Row],[Product]],Raw_product_master[Product],0))</f>
        <v>26240</v>
      </c>
      <c r="Q500">
        <v>8118</v>
      </c>
      <c r="R500" s="11">
        <v>0.12684375000000001</v>
      </c>
      <c r="S500" s="11">
        <f>INDEX(Raw_product_master[Target_Margin], MATCH(Cleaned_Sales_data[[#This Row],[Product]],Raw_product_master[Product], 0 ))</f>
        <v>0.12</v>
      </c>
      <c r="T500" t="str">
        <f>IF(Cleaned_Sales_data[[#This Row],[Profit]]&gt;0, "Profitable", "Loss")</f>
        <v>Profitable</v>
      </c>
      <c r="U500" t="str">
        <f>_xlfn.IFS(Cleaned_Sales_data[[#This Row],[Profit]]&gt;=10000, "High", Cleaned_Sales_data[[#This Row],[Profit]]&gt;=5000, "Medium", Cleaned_Sales_data[[#This Row],[Profit]]&gt;=0, "Low", Cleaned_Sales_data[[#This Row],[Profit]] &lt;0, "Loss")</f>
        <v>Medium</v>
      </c>
      <c r="V500" t="str">
        <f t="shared" si="7"/>
        <v>On Target</v>
      </c>
      <c r="W500" s="3">
        <v>46113</v>
      </c>
    </row>
    <row r="501" spans="1:23">
      <c r="A501" t="s">
        <v>107</v>
      </c>
      <c r="B501" s="3">
        <v>45753</v>
      </c>
      <c r="C501" t="s">
        <v>75</v>
      </c>
      <c r="D501" t="str">
        <f>INDEX(Raw_product_master[Category],MATCH(Cleaned_Sales_data[[#This Row],[Product]],Raw_product_master[Product],0))</f>
        <v>Computers</v>
      </c>
      <c r="E501" t="s">
        <v>34</v>
      </c>
      <c r="F501" t="s">
        <v>26</v>
      </c>
      <c r="G501" t="s">
        <v>35</v>
      </c>
      <c r="H501">
        <v>3</v>
      </c>
      <c r="I501">
        <v>65000</v>
      </c>
      <c r="J501" s="10">
        <v>0.2</v>
      </c>
      <c r="K501">
        <v>195000</v>
      </c>
      <c r="L501">
        <v>156000</v>
      </c>
      <c r="M501">
        <v>163800</v>
      </c>
      <c r="N501">
        <v>1771</v>
      </c>
      <c r="O501">
        <v>1077</v>
      </c>
      <c r="P501">
        <f>INDEX(Raw_product_master[Standard_Cost_Per_Unit],MATCH(Cleaned_Sales_data[[#This Row],[Product]],Raw_product_master[Product],0))</f>
        <v>54600</v>
      </c>
      <c r="Q501">
        <v>-10648</v>
      </c>
      <c r="R501" s="11">
        <v>-6.8256410256410299E-2</v>
      </c>
      <c r="S501" s="11">
        <f>INDEX(Raw_product_master[Target_Margin], MATCH(Cleaned_Sales_data[[#This Row],[Product]],Raw_product_master[Product], 0 ))</f>
        <v>0.12</v>
      </c>
      <c r="T501" t="str">
        <f>IF(Cleaned_Sales_data[[#This Row],[Profit]]&gt;0, "Profitable", "Loss")</f>
        <v>Loss</v>
      </c>
      <c r="U501" t="str">
        <f>_xlfn.IFS(Cleaned_Sales_data[[#This Row],[Profit]]&gt;=10000, "High", Cleaned_Sales_data[[#This Row],[Profit]]&gt;=5000, "Medium", Cleaned_Sales_data[[#This Row],[Profit]]&gt;=0, "Low", Cleaned_Sales_data[[#This Row],[Profit]] &lt;0, "Loss")</f>
        <v>Loss</v>
      </c>
      <c r="V501" t="str">
        <f t="shared" si="7"/>
        <v>UnderPerforming</v>
      </c>
      <c r="W501" s="3">
        <v>45748</v>
      </c>
    </row>
    <row r="502" spans="1:23">
      <c r="A502" t="s">
        <v>117</v>
      </c>
      <c r="B502" s="3">
        <v>46018</v>
      </c>
      <c r="C502" t="s">
        <v>61</v>
      </c>
      <c r="D502" t="str">
        <f>INDEX(Raw_product_master[Category],MATCH(Cleaned_Sales_data[[#This Row],[Product]],Raw_product_master[Product],0))</f>
        <v>Accessories</v>
      </c>
      <c r="E502" t="s">
        <v>63</v>
      </c>
      <c r="F502" t="s">
        <v>26</v>
      </c>
      <c r="G502" t="s">
        <v>35</v>
      </c>
      <c r="H502">
        <v>2</v>
      </c>
      <c r="I502">
        <v>4500</v>
      </c>
      <c r="J502" s="10">
        <v>0.1</v>
      </c>
      <c r="K502">
        <v>9000</v>
      </c>
      <c r="L502">
        <v>8100</v>
      </c>
      <c r="M502">
        <v>5850</v>
      </c>
      <c r="N502">
        <v>655</v>
      </c>
      <c r="O502">
        <v>928</v>
      </c>
      <c r="P502">
        <f>INDEX(Raw_product_master[Standard_Cost_Per_Unit],MATCH(Cleaned_Sales_data[[#This Row],[Product]],Raw_product_master[Product],0))</f>
        <v>2925</v>
      </c>
      <c r="Q502">
        <v>667</v>
      </c>
      <c r="R502" s="11">
        <v>8.2345679012345699E-2</v>
      </c>
      <c r="S502" s="11">
        <f>INDEX(Raw_product_master[Target_Margin], MATCH(Cleaned_Sales_data[[#This Row],[Product]],Raw_product_master[Product], 0 ))</f>
        <v>0.22</v>
      </c>
      <c r="T502" t="str">
        <f>IF(Cleaned_Sales_data[[#This Row],[Profit]]&gt;0, "Profitable", "Loss")</f>
        <v>Profitable</v>
      </c>
      <c r="U502" t="str">
        <f>_xlfn.IFS(Cleaned_Sales_data[[#This Row],[Profit]]&gt;=10000, "High", Cleaned_Sales_data[[#This Row],[Profit]]&gt;=5000, "Medium", Cleaned_Sales_data[[#This Row],[Profit]]&gt;=0, "Low", Cleaned_Sales_data[[#This Row],[Profit]] &lt;0, "Loss")</f>
        <v>Low</v>
      </c>
      <c r="V502" t="str">
        <f t="shared" si="7"/>
        <v>UnderPerforming</v>
      </c>
      <c r="W502" s="3">
        <v>45992</v>
      </c>
    </row>
    <row r="503" spans="1:23">
      <c r="A503" t="s">
        <v>125</v>
      </c>
      <c r="B503" s="3">
        <v>45834</v>
      </c>
      <c r="C503" t="s">
        <v>75</v>
      </c>
      <c r="D503" t="str">
        <f>INDEX(Raw_product_master[Category],MATCH(Cleaned_Sales_data[[#This Row],[Product]],Raw_product_master[Product],0))</f>
        <v>Computers</v>
      </c>
      <c r="E503" t="s">
        <v>19</v>
      </c>
      <c r="F503" t="s">
        <v>26</v>
      </c>
      <c r="G503" t="s">
        <v>35</v>
      </c>
      <c r="H503">
        <v>2</v>
      </c>
      <c r="I503">
        <v>65000</v>
      </c>
      <c r="J503" s="10">
        <v>0.1</v>
      </c>
      <c r="K503">
        <v>130000</v>
      </c>
      <c r="L503">
        <v>117000</v>
      </c>
      <c r="M503">
        <v>109200</v>
      </c>
      <c r="N503">
        <v>423</v>
      </c>
      <c r="O503">
        <v>1362</v>
      </c>
      <c r="P503">
        <f>INDEX(Raw_product_master[Standard_Cost_Per_Unit],MATCH(Cleaned_Sales_data[[#This Row],[Product]],Raw_product_master[Product],0))</f>
        <v>54600</v>
      </c>
      <c r="Q503">
        <v>6015</v>
      </c>
      <c r="R503" s="11">
        <v>5.14102564102564E-2</v>
      </c>
      <c r="S503" s="11">
        <f>INDEX(Raw_product_master[Target_Margin], MATCH(Cleaned_Sales_data[[#This Row],[Product]],Raw_product_master[Product], 0 ))</f>
        <v>0.12</v>
      </c>
      <c r="T503" t="str">
        <f>IF(Cleaned_Sales_data[[#This Row],[Profit]]&gt;0, "Profitable", "Loss")</f>
        <v>Profitable</v>
      </c>
      <c r="U503" t="str">
        <f>_xlfn.IFS(Cleaned_Sales_data[[#This Row],[Profit]]&gt;=10000, "High", Cleaned_Sales_data[[#This Row],[Profit]]&gt;=5000, "Medium", Cleaned_Sales_data[[#This Row],[Profit]]&gt;=0, "Low", Cleaned_Sales_data[[#This Row],[Profit]] &lt;0, "Loss")</f>
        <v>Medium</v>
      </c>
      <c r="V503" t="str">
        <f t="shared" si="7"/>
        <v>UnderPerforming</v>
      </c>
      <c r="W503" s="3">
        <v>45809</v>
      </c>
    </row>
    <row r="504" spans="1:23">
      <c r="A504" t="s">
        <v>137</v>
      </c>
      <c r="B504" s="3">
        <v>45750</v>
      </c>
      <c r="C504" t="s">
        <v>46</v>
      </c>
      <c r="D504" t="str">
        <f>INDEX(Raw_product_master[Category],MATCH(Cleaned_Sales_data[[#This Row],[Product]],Raw_product_master[Product],0))</f>
        <v>Office Equipment</v>
      </c>
      <c r="E504" t="s">
        <v>25</v>
      </c>
      <c r="F504" t="s">
        <v>26</v>
      </c>
      <c r="G504" t="s">
        <v>35</v>
      </c>
      <c r="H504">
        <v>1</v>
      </c>
      <c r="I504">
        <v>18000</v>
      </c>
      <c r="J504" s="10">
        <v>0.15</v>
      </c>
      <c r="K504">
        <v>18000</v>
      </c>
      <c r="L504">
        <v>15300</v>
      </c>
      <c r="M504">
        <v>14400</v>
      </c>
      <c r="N504">
        <v>1418</v>
      </c>
      <c r="O504">
        <v>766</v>
      </c>
      <c r="P504">
        <f>INDEX(Raw_product_master[Standard_Cost_Per_Unit],MATCH(Cleaned_Sales_data[[#This Row],[Product]],Raw_product_master[Product],0))</f>
        <v>14400</v>
      </c>
      <c r="Q504">
        <v>-1284</v>
      </c>
      <c r="R504" s="11">
        <v>-8.3921568627450996E-2</v>
      </c>
      <c r="S504" s="11">
        <f>INDEX(Raw_product_master[Target_Margin], MATCH(Cleaned_Sales_data[[#This Row],[Product]],Raw_product_master[Product], 0 ))</f>
        <v>0.15</v>
      </c>
      <c r="T504" t="str">
        <f>IF(Cleaned_Sales_data[[#This Row],[Profit]]&gt;0, "Profitable", "Loss")</f>
        <v>Loss</v>
      </c>
      <c r="U504" t="str">
        <f>_xlfn.IFS(Cleaned_Sales_data[[#This Row],[Profit]]&gt;=10000, "High", Cleaned_Sales_data[[#This Row],[Profit]]&gt;=5000, "Medium", Cleaned_Sales_data[[#This Row],[Profit]]&gt;=0, "Low", Cleaned_Sales_data[[#This Row],[Profit]] &lt;0, "Loss")</f>
        <v>Loss</v>
      </c>
      <c r="V504" t="str">
        <f t="shared" si="7"/>
        <v>UnderPerforming</v>
      </c>
      <c r="W504" s="3">
        <v>45748</v>
      </c>
    </row>
    <row r="505" spans="1:23">
      <c r="A505" t="s">
        <v>150</v>
      </c>
      <c r="B505" s="3">
        <v>45658</v>
      </c>
      <c r="C505" t="s">
        <v>50</v>
      </c>
      <c r="D505" t="str">
        <f>INDEX(Raw_product_master[Category],MATCH(Cleaned_Sales_data[[#This Row],[Product]],Raw_product_master[Product],0))</f>
        <v>Accessories</v>
      </c>
      <c r="E505" t="s">
        <v>25</v>
      </c>
      <c r="F505" t="s">
        <v>26</v>
      </c>
      <c r="G505" t="s">
        <v>35</v>
      </c>
      <c r="H505">
        <v>4</v>
      </c>
      <c r="I505">
        <v>2500</v>
      </c>
      <c r="J505" s="10">
        <v>0.08</v>
      </c>
      <c r="K505">
        <v>10000</v>
      </c>
      <c r="L505">
        <v>9200</v>
      </c>
      <c r="M505">
        <v>6200</v>
      </c>
      <c r="N505">
        <v>312</v>
      </c>
      <c r="O505">
        <v>2287</v>
      </c>
      <c r="P505">
        <f>INDEX(Raw_product_master[Standard_Cost_Per_Unit],MATCH(Cleaned_Sales_data[[#This Row],[Product]],Raw_product_master[Product],0))</f>
        <v>1550</v>
      </c>
      <c r="Q505">
        <v>401</v>
      </c>
      <c r="R505" s="11">
        <v>4.3586956521739099E-2</v>
      </c>
      <c r="S505" s="11">
        <f>INDEX(Raw_product_master[Target_Margin], MATCH(Cleaned_Sales_data[[#This Row],[Product]],Raw_product_master[Product], 0 ))</f>
        <v>0.25</v>
      </c>
      <c r="T505" t="str">
        <f>IF(Cleaned_Sales_data[[#This Row],[Profit]]&gt;0, "Profitable", "Loss")</f>
        <v>Profitable</v>
      </c>
      <c r="U505" t="str">
        <f>_xlfn.IFS(Cleaned_Sales_data[[#This Row],[Profit]]&gt;=10000, "High", Cleaned_Sales_data[[#This Row],[Profit]]&gt;=5000, "Medium", Cleaned_Sales_data[[#This Row],[Profit]]&gt;=0, "Low", Cleaned_Sales_data[[#This Row],[Profit]] &lt;0, "Loss")</f>
        <v>Low</v>
      </c>
      <c r="V505" t="str">
        <f t="shared" si="7"/>
        <v>UnderPerforming</v>
      </c>
      <c r="W505" s="3">
        <v>45658</v>
      </c>
    </row>
    <row r="506" spans="1:23">
      <c r="A506" t="s">
        <v>160</v>
      </c>
      <c r="B506" s="3">
        <v>45775</v>
      </c>
      <c r="C506" t="s">
        <v>75</v>
      </c>
      <c r="D506" t="str">
        <f>INDEX(Raw_product_master[Category],MATCH(Cleaned_Sales_data[[#This Row],[Product]],Raw_product_master[Product],0))</f>
        <v>Computers</v>
      </c>
      <c r="E506" t="s">
        <v>34</v>
      </c>
      <c r="F506" t="s">
        <v>26</v>
      </c>
      <c r="G506" t="s">
        <v>35</v>
      </c>
      <c r="H506">
        <v>2</v>
      </c>
      <c r="I506">
        <v>65000</v>
      </c>
      <c r="J506" s="10">
        <v>0.03</v>
      </c>
      <c r="K506">
        <v>130000</v>
      </c>
      <c r="L506">
        <v>126100</v>
      </c>
      <c r="M506">
        <v>109200</v>
      </c>
      <c r="N506">
        <v>1745</v>
      </c>
      <c r="O506">
        <v>616</v>
      </c>
      <c r="P506">
        <f>INDEX(Raw_product_master[Standard_Cost_Per_Unit],MATCH(Cleaned_Sales_data[[#This Row],[Product]],Raw_product_master[Product],0))</f>
        <v>54600</v>
      </c>
      <c r="Q506">
        <v>14539</v>
      </c>
      <c r="R506" s="11">
        <v>0.115297383029342</v>
      </c>
      <c r="S506" s="11">
        <f>INDEX(Raw_product_master[Target_Margin], MATCH(Cleaned_Sales_data[[#This Row],[Product]],Raw_product_master[Product], 0 ))</f>
        <v>0.12</v>
      </c>
      <c r="T506" t="str">
        <f>IF(Cleaned_Sales_data[[#This Row],[Profit]]&gt;0, "Profitable", "Loss")</f>
        <v>Profitable</v>
      </c>
      <c r="U506" t="str">
        <f>_xlfn.IFS(Cleaned_Sales_data[[#This Row],[Profit]]&gt;=10000, "High", Cleaned_Sales_data[[#This Row],[Profit]]&gt;=5000, "Medium", Cleaned_Sales_data[[#This Row],[Profit]]&gt;=0, "Low", Cleaned_Sales_data[[#This Row],[Profit]] &lt;0, "Loss")</f>
        <v>High</v>
      </c>
      <c r="V506" t="str">
        <f t="shared" si="7"/>
        <v>UnderPerforming</v>
      </c>
      <c r="W506" s="3">
        <v>45748</v>
      </c>
    </row>
    <row r="507" spans="1:23">
      <c r="A507" t="s">
        <v>161</v>
      </c>
      <c r="B507" s="3">
        <v>45981</v>
      </c>
      <c r="C507" t="s">
        <v>24</v>
      </c>
      <c r="D507" t="str">
        <f>INDEX(Raw_product_master[Category],MATCH(Cleaned_Sales_data[[#This Row],[Product]],Raw_product_master[Product],0))</f>
        <v>Accessories</v>
      </c>
      <c r="E507" t="s">
        <v>31</v>
      </c>
      <c r="F507" t="s">
        <v>26</v>
      </c>
      <c r="G507" t="s">
        <v>35</v>
      </c>
      <c r="H507">
        <v>4</v>
      </c>
      <c r="I507">
        <v>3500</v>
      </c>
      <c r="J507" s="10">
        <v>0.05</v>
      </c>
      <c r="K507">
        <v>14000</v>
      </c>
      <c r="L507">
        <v>13300</v>
      </c>
      <c r="M507">
        <v>9520</v>
      </c>
      <c r="N507">
        <v>1380</v>
      </c>
      <c r="O507">
        <v>2194</v>
      </c>
      <c r="P507">
        <f>INDEX(Raw_product_master[Standard_Cost_Per_Unit],MATCH(Cleaned_Sales_data[[#This Row],[Product]],Raw_product_master[Product],0))</f>
        <v>2380</v>
      </c>
      <c r="Q507">
        <v>206</v>
      </c>
      <c r="R507" s="11">
        <v>1.54887218045113E-2</v>
      </c>
      <c r="S507" s="11">
        <f>INDEX(Raw_product_master[Target_Margin], MATCH(Cleaned_Sales_data[[#This Row],[Product]],Raw_product_master[Product], 0 ))</f>
        <v>0.2</v>
      </c>
      <c r="T507" t="str">
        <f>IF(Cleaned_Sales_data[[#This Row],[Profit]]&gt;0, "Profitable", "Loss")</f>
        <v>Profitable</v>
      </c>
      <c r="U507" t="str">
        <f>_xlfn.IFS(Cleaned_Sales_data[[#This Row],[Profit]]&gt;=10000, "High", Cleaned_Sales_data[[#This Row],[Profit]]&gt;=5000, "Medium", Cleaned_Sales_data[[#This Row],[Profit]]&gt;=0, "Low", Cleaned_Sales_data[[#This Row],[Profit]] &lt;0, "Loss")</f>
        <v>Low</v>
      </c>
      <c r="V507" t="str">
        <f t="shared" si="7"/>
        <v>UnderPerforming</v>
      </c>
      <c r="W507" s="3">
        <v>45962</v>
      </c>
    </row>
    <row r="508" spans="1:23">
      <c r="A508" t="s">
        <v>167</v>
      </c>
      <c r="B508" s="3">
        <v>46088</v>
      </c>
      <c r="C508" t="s">
        <v>75</v>
      </c>
      <c r="D508" t="str">
        <f>INDEX(Raw_product_master[Category],MATCH(Cleaned_Sales_data[[#This Row],[Product]],Raw_product_master[Product],0))</f>
        <v>Computers</v>
      </c>
      <c r="E508" t="s">
        <v>63</v>
      </c>
      <c r="F508" t="s">
        <v>26</v>
      </c>
      <c r="G508" t="s">
        <v>35</v>
      </c>
      <c r="H508">
        <v>1</v>
      </c>
      <c r="I508">
        <v>65000</v>
      </c>
      <c r="J508" s="10">
        <v>0.15</v>
      </c>
      <c r="K508">
        <v>65000</v>
      </c>
      <c r="L508">
        <v>55250</v>
      </c>
      <c r="M508">
        <v>54600</v>
      </c>
      <c r="N508">
        <v>766</v>
      </c>
      <c r="O508">
        <v>1035</v>
      </c>
      <c r="P508">
        <f>INDEX(Raw_product_master[Standard_Cost_Per_Unit],MATCH(Cleaned_Sales_data[[#This Row],[Product]],Raw_product_master[Product],0))</f>
        <v>54600</v>
      </c>
      <c r="Q508">
        <v>-1151</v>
      </c>
      <c r="R508" s="11">
        <v>-2.0832579185520401E-2</v>
      </c>
      <c r="S508" s="11">
        <f>INDEX(Raw_product_master[Target_Margin], MATCH(Cleaned_Sales_data[[#This Row],[Product]],Raw_product_master[Product], 0 ))</f>
        <v>0.12</v>
      </c>
      <c r="T508" t="str">
        <f>IF(Cleaned_Sales_data[[#This Row],[Profit]]&gt;0, "Profitable", "Loss")</f>
        <v>Loss</v>
      </c>
      <c r="U508" t="str">
        <f>_xlfn.IFS(Cleaned_Sales_data[[#This Row],[Profit]]&gt;=10000, "High", Cleaned_Sales_data[[#This Row],[Profit]]&gt;=5000, "Medium", Cleaned_Sales_data[[#This Row],[Profit]]&gt;=0, "Low", Cleaned_Sales_data[[#This Row],[Profit]] &lt;0, "Loss")</f>
        <v>Loss</v>
      </c>
      <c r="V508" t="str">
        <f t="shared" si="7"/>
        <v>UnderPerforming</v>
      </c>
      <c r="W508" s="3">
        <v>46082</v>
      </c>
    </row>
    <row r="509" spans="1:23">
      <c r="A509" t="s">
        <v>170</v>
      </c>
      <c r="B509" s="3">
        <v>45720</v>
      </c>
      <c r="C509" t="s">
        <v>61</v>
      </c>
      <c r="D509" t="str">
        <f>INDEX(Raw_product_master[Category],MATCH(Cleaned_Sales_data[[#This Row],[Product]],Raw_product_master[Product],0))</f>
        <v>Accessories</v>
      </c>
      <c r="E509" t="s">
        <v>19</v>
      </c>
      <c r="F509" t="s">
        <v>26</v>
      </c>
      <c r="G509" t="s">
        <v>35</v>
      </c>
      <c r="H509">
        <v>5</v>
      </c>
      <c r="I509">
        <v>4500</v>
      </c>
      <c r="J509" s="10">
        <v>0.15</v>
      </c>
      <c r="K509">
        <v>22500</v>
      </c>
      <c r="L509">
        <v>19125</v>
      </c>
      <c r="M509">
        <v>14625</v>
      </c>
      <c r="N509">
        <v>376</v>
      </c>
      <c r="O509">
        <v>384</v>
      </c>
      <c r="P509">
        <f>INDEX(Raw_product_master[Standard_Cost_Per_Unit],MATCH(Cleaned_Sales_data[[#This Row],[Product]],Raw_product_master[Product],0))</f>
        <v>2925</v>
      </c>
      <c r="Q509">
        <v>3740</v>
      </c>
      <c r="R509" s="11">
        <v>0.19555555555555601</v>
      </c>
      <c r="S509" s="11">
        <f>INDEX(Raw_product_master[Target_Margin], MATCH(Cleaned_Sales_data[[#This Row],[Product]],Raw_product_master[Product], 0 ))</f>
        <v>0.22</v>
      </c>
      <c r="T509" t="str">
        <f>IF(Cleaned_Sales_data[[#This Row],[Profit]]&gt;0, "Profitable", "Loss")</f>
        <v>Profitable</v>
      </c>
      <c r="U509" t="str">
        <f>_xlfn.IFS(Cleaned_Sales_data[[#This Row],[Profit]]&gt;=10000, "High", Cleaned_Sales_data[[#This Row],[Profit]]&gt;=5000, "Medium", Cleaned_Sales_data[[#This Row],[Profit]]&gt;=0, "Low", Cleaned_Sales_data[[#This Row],[Profit]] &lt;0, "Loss")</f>
        <v>Low</v>
      </c>
      <c r="V509" t="str">
        <f t="shared" si="7"/>
        <v>UnderPerforming</v>
      </c>
      <c r="W509" s="3">
        <v>45717</v>
      </c>
    </row>
    <row r="510" spans="1:23">
      <c r="A510" t="s">
        <v>174</v>
      </c>
      <c r="B510" s="3">
        <v>45771</v>
      </c>
      <c r="C510" t="s">
        <v>18</v>
      </c>
      <c r="D510" t="str">
        <f>INDEX(Raw_product_master[Category],MATCH(Cleaned_Sales_data[[#This Row],[Product]],Raw_product_master[Product],0))</f>
        <v>Computers</v>
      </c>
      <c r="E510" t="s">
        <v>34</v>
      </c>
      <c r="F510" t="s">
        <v>26</v>
      </c>
      <c r="G510" t="s">
        <v>35</v>
      </c>
      <c r="H510">
        <v>2</v>
      </c>
      <c r="I510">
        <v>32000</v>
      </c>
      <c r="J510" s="10">
        <v>0.08</v>
      </c>
      <c r="K510">
        <v>64000</v>
      </c>
      <c r="L510">
        <v>58880</v>
      </c>
      <c r="M510">
        <v>52480</v>
      </c>
      <c r="N510">
        <v>1187</v>
      </c>
      <c r="O510">
        <v>1236</v>
      </c>
      <c r="P510">
        <f>INDEX(Raw_product_master[Standard_Cost_Per_Unit],MATCH(Cleaned_Sales_data[[#This Row],[Product]],Raw_product_master[Product],0))</f>
        <v>26240</v>
      </c>
      <c r="Q510">
        <v>3977</v>
      </c>
      <c r="R510" s="11">
        <v>6.7544157608695601E-2</v>
      </c>
      <c r="S510" s="11">
        <f>INDEX(Raw_product_master[Target_Margin], MATCH(Cleaned_Sales_data[[#This Row],[Product]],Raw_product_master[Product], 0 ))</f>
        <v>0.12</v>
      </c>
      <c r="T510" t="str">
        <f>IF(Cleaned_Sales_data[[#This Row],[Profit]]&gt;0, "Profitable", "Loss")</f>
        <v>Profitable</v>
      </c>
      <c r="U510" t="str">
        <f>_xlfn.IFS(Cleaned_Sales_data[[#This Row],[Profit]]&gt;=10000, "High", Cleaned_Sales_data[[#This Row],[Profit]]&gt;=5000, "Medium", Cleaned_Sales_data[[#This Row],[Profit]]&gt;=0, "Low", Cleaned_Sales_data[[#This Row],[Profit]] &lt;0, "Loss")</f>
        <v>Low</v>
      </c>
      <c r="V510" t="str">
        <f t="shared" si="7"/>
        <v>UnderPerforming</v>
      </c>
      <c r="W510" s="3">
        <v>45748</v>
      </c>
    </row>
    <row r="511" spans="1:23">
      <c r="A511" t="s">
        <v>175</v>
      </c>
      <c r="B511" s="3">
        <v>46115</v>
      </c>
      <c r="C511" t="s">
        <v>75</v>
      </c>
      <c r="D511" t="str">
        <f>INDEX(Raw_product_master[Category],MATCH(Cleaned_Sales_data[[#This Row],[Product]],Raw_product_master[Product],0))</f>
        <v>Computers</v>
      </c>
      <c r="E511" t="s">
        <v>19</v>
      </c>
      <c r="F511" t="s">
        <v>26</v>
      </c>
      <c r="G511" t="s">
        <v>35</v>
      </c>
      <c r="H511">
        <v>1</v>
      </c>
      <c r="I511">
        <v>65000</v>
      </c>
      <c r="J511" s="10">
        <v>0</v>
      </c>
      <c r="K511">
        <v>65000</v>
      </c>
      <c r="L511">
        <v>65000</v>
      </c>
      <c r="M511">
        <v>54600</v>
      </c>
      <c r="N511">
        <v>999</v>
      </c>
      <c r="O511">
        <v>877</v>
      </c>
      <c r="P511">
        <f>INDEX(Raw_product_master[Standard_Cost_Per_Unit],MATCH(Cleaned_Sales_data[[#This Row],[Product]],Raw_product_master[Product],0))</f>
        <v>54600</v>
      </c>
      <c r="Q511">
        <v>8524</v>
      </c>
      <c r="R511" s="11">
        <v>0.13113846153846201</v>
      </c>
      <c r="S511" s="11">
        <f>INDEX(Raw_product_master[Target_Margin], MATCH(Cleaned_Sales_data[[#This Row],[Product]],Raw_product_master[Product], 0 ))</f>
        <v>0.12</v>
      </c>
      <c r="T511" t="str">
        <f>IF(Cleaned_Sales_data[[#This Row],[Profit]]&gt;0, "Profitable", "Loss")</f>
        <v>Profitable</v>
      </c>
      <c r="U511" t="str">
        <f>_xlfn.IFS(Cleaned_Sales_data[[#This Row],[Profit]]&gt;=10000, "High", Cleaned_Sales_data[[#This Row],[Profit]]&gt;=5000, "Medium", Cleaned_Sales_data[[#This Row],[Profit]]&gt;=0, "Low", Cleaned_Sales_data[[#This Row],[Profit]] &lt;0, "Loss")</f>
        <v>Medium</v>
      </c>
      <c r="V511" t="str">
        <f t="shared" si="7"/>
        <v>On Target</v>
      </c>
      <c r="W511" s="3">
        <v>46113</v>
      </c>
    </row>
    <row r="512" spans="1:23">
      <c r="A512" t="s">
        <v>189</v>
      </c>
      <c r="B512" s="3">
        <v>45805</v>
      </c>
      <c r="C512" t="s">
        <v>61</v>
      </c>
      <c r="D512" t="str">
        <f>INDEX(Raw_product_master[Category],MATCH(Cleaned_Sales_data[[#This Row],[Product]],Raw_product_master[Product],0))</f>
        <v>Accessories</v>
      </c>
      <c r="E512" t="s">
        <v>19</v>
      </c>
      <c r="F512" t="s">
        <v>26</v>
      </c>
      <c r="G512" t="s">
        <v>35</v>
      </c>
      <c r="H512">
        <v>6</v>
      </c>
      <c r="I512">
        <v>4500</v>
      </c>
      <c r="J512" s="10">
        <v>0.1</v>
      </c>
      <c r="K512">
        <v>27000</v>
      </c>
      <c r="L512">
        <v>24300</v>
      </c>
      <c r="M512">
        <v>17550</v>
      </c>
      <c r="N512">
        <v>1512</v>
      </c>
      <c r="O512">
        <v>1885</v>
      </c>
      <c r="P512">
        <f>INDEX(Raw_product_master[Standard_Cost_Per_Unit],MATCH(Cleaned_Sales_data[[#This Row],[Product]],Raw_product_master[Product],0))</f>
        <v>2925</v>
      </c>
      <c r="Q512">
        <v>3353</v>
      </c>
      <c r="R512" s="11">
        <v>0.13798353909465</v>
      </c>
      <c r="S512" s="11">
        <f>INDEX(Raw_product_master[Target_Margin], MATCH(Cleaned_Sales_data[[#This Row],[Product]],Raw_product_master[Product], 0 ))</f>
        <v>0.22</v>
      </c>
      <c r="T512" t="str">
        <f>IF(Cleaned_Sales_data[[#This Row],[Profit]]&gt;0, "Profitable", "Loss")</f>
        <v>Profitable</v>
      </c>
      <c r="U512" t="str">
        <f>_xlfn.IFS(Cleaned_Sales_data[[#This Row],[Profit]]&gt;=10000, "High", Cleaned_Sales_data[[#This Row],[Profit]]&gt;=5000, "Medium", Cleaned_Sales_data[[#This Row],[Profit]]&gt;=0, "Low", Cleaned_Sales_data[[#This Row],[Profit]] &lt;0, "Loss")</f>
        <v>Low</v>
      </c>
      <c r="V512" t="str">
        <f t="shared" si="7"/>
        <v>UnderPerforming</v>
      </c>
      <c r="W512" s="3">
        <v>45778</v>
      </c>
    </row>
    <row r="513" spans="1:23">
      <c r="A513" t="s">
        <v>198</v>
      </c>
      <c r="B513" s="3">
        <v>45755</v>
      </c>
      <c r="C513" t="s">
        <v>75</v>
      </c>
      <c r="D513" t="str">
        <f>INDEX(Raw_product_master[Category],MATCH(Cleaned_Sales_data[[#This Row],[Product]],Raw_product_master[Product],0))</f>
        <v>Computers</v>
      </c>
      <c r="E513" t="s">
        <v>19</v>
      </c>
      <c r="F513" t="s">
        <v>26</v>
      </c>
      <c r="G513" t="s">
        <v>35</v>
      </c>
      <c r="H513">
        <v>2</v>
      </c>
      <c r="I513">
        <v>65000</v>
      </c>
      <c r="J513" s="10">
        <v>0.08</v>
      </c>
      <c r="K513">
        <v>130000</v>
      </c>
      <c r="L513">
        <v>119600</v>
      </c>
      <c r="M513">
        <v>109200</v>
      </c>
      <c r="N513">
        <v>1194</v>
      </c>
      <c r="O513">
        <v>2335</v>
      </c>
      <c r="P513">
        <f>INDEX(Raw_product_master[Standard_Cost_Per_Unit],MATCH(Cleaned_Sales_data[[#This Row],[Product]],Raw_product_master[Product],0))</f>
        <v>54600</v>
      </c>
      <c r="Q513">
        <v>6871</v>
      </c>
      <c r="R513" s="11">
        <v>5.7449832775919703E-2</v>
      </c>
      <c r="S513" s="11">
        <f>INDEX(Raw_product_master[Target_Margin], MATCH(Cleaned_Sales_data[[#This Row],[Product]],Raw_product_master[Product], 0 ))</f>
        <v>0.12</v>
      </c>
      <c r="T513" t="str">
        <f>IF(Cleaned_Sales_data[[#This Row],[Profit]]&gt;0, "Profitable", "Loss")</f>
        <v>Profitable</v>
      </c>
      <c r="U513" t="str">
        <f>_xlfn.IFS(Cleaned_Sales_data[[#This Row],[Profit]]&gt;=10000, "High", Cleaned_Sales_data[[#This Row],[Profit]]&gt;=5000, "Medium", Cleaned_Sales_data[[#This Row],[Profit]]&gt;=0, "Low", Cleaned_Sales_data[[#This Row],[Profit]] &lt;0, "Loss")</f>
        <v>Medium</v>
      </c>
      <c r="V513" t="str">
        <f t="shared" si="7"/>
        <v>UnderPerforming</v>
      </c>
      <c r="W513" s="3">
        <v>45748</v>
      </c>
    </row>
    <row r="514" spans="1:23">
      <c r="A514" t="s">
        <v>199</v>
      </c>
      <c r="B514" s="3">
        <v>46054</v>
      </c>
      <c r="C514" t="s">
        <v>18</v>
      </c>
      <c r="D514" t="str">
        <f>INDEX(Raw_product_master[Category],MATCH(Cleaned_Sales_data[[#This Row],[Product]],Raw_product_master[Product],0))</f>
        <v>Computers</v>
      </c>
      <c r="E514" t="s">
        <v>25</v>
      </c>
      <c r="F514" t="s">
        <v>26</v>
      </c>
      <c r="G514" t="s">
        <v>35</v>
      </c>
      <c r="H514">
        <v>3</v>
      </c>
      <c r="I514">
        <v>32000</v>
      </c>
      <c r="J514" s="10">
        <v>0</v>
      </c>
      <c r="K514">
        <v>96000</v>
      </c>
      <c r="L514">
        <v>96000</v>
      </c>
      <c r="M514">
        <v>78720</v>
      </c>
      <c r="N514">
        <v>1750</v>
      </c>
      <c r="O514">
        <v>1472</v>
      </c>
      <c r="P514">
        <f>INDEX(Raw_product_master[Standard_Cost_Per_Unit],MATCH(Cleaned_Sales_data[[#This Row],[Product]],Raw_product_master[Product],0))</f>
        <v>26240</v>
      </c>
      <c r="Q514">
        <v>14058</v>
      </c>
      <c r="R514" s="11">
        <v>0.1464375</v>
      </c>
      <c r="S514" s="11">
        <f>INDEX(Raw_product_master[Target_Margin], MATCH(Cleaned_Sales_data[[#This Row],[Product]],Raw_product_master[Product], 0 ))</f>
        <v>0.12</v>
      </c>
      <c r="T514" t="str">
        <f>IF(Cleaned_Sales_data[[#This Row],[Profit]]&gt;0, "Profitable", "Loss")</f>
        <v>Profitable</v>
      </c>
      <c r="U514" t="str">
        <f>_xlfn.IFS(Cleaned_Sales_data[[#This Row],[Profit]]&gt;=10000, "High", Cleaned_Sales_data[[#This Row],[Profit]]&gt;=5000, "Medium", Cleaned_Sales_data[[#This Row],[Profit]]&gt;=0, "Low", Cleaned_Sales_data[[#This Row],[Profit]] &lt;0, "Loss")</f>
        <v>High</v>
      </c>
      <c r="V514" t="str">
        <f t="shared" ref="V514:V577" si="8">IF(R514&lt;S514, "UnderPerforming", "On Target")</f>
        <v>On Target</v>
      </c>
      <c r="W514" s="3">
        <v>46054</v>
      </c>
    </row>
    <row r="515" spans="1:23">
      <c r="A515" t="s">
        <v>202</v>
      </c>
      <c r="B515" s="3">
        <v>46016</v>
      </c>
      <c r="C515" t="s">
        <v>46</v>
      </c>
      <c r="D515" t="str">
        <f>INDEX(Raw_product_master[Category],MATCH(Cleaned_Sales_data[[#This Row],[Product]],Raw_product_master[Product],0))</f>
        <v>Office Equipment</v>
      </c>
      <c r="E515" t="s">
        <v>31</v>
      </c>
      <c r="F515" t="s">
        <v>26</v>
      </c>
      <c r="G515" t="s">
        <v>35</v>
      </c>
      <c r="H515">
        <v>3</v>
      </c>
      <c r="I515">
        <v>18000</v>
      </c>
      <c r="J515" s="10">
        <v>0.05</v>
      </c>
      <c r="K515">
        <v>54000</v>
      </c>
      <c r="L515">
        <v>51300</v>
      </c>
      <c r="M515">
        <v>43200</v>
      </c>
      <c r="N515">
        <v>1125</v>
      </c>
      <c r="O515">
        <v>1020</v>
      </c>
      <c r="P515">
        <f>INDEX(Raw_product_master[Standard_Cost_Per_Unit],MATCH(Cleaned_Sales_data[[#This Row],[Product]],Raw_product_master[Product],0))</f>
        <v>14400</v>
      </c>
      <c r="Q515">
        <v>5955</v>
      </c>
      <c r="R515" s="11">
        <v>0.11608187134502899</v>
      </c>
      <c r="S515" s="11">
        <f>INDEX(Raw_product_master[Target_Margin], MATCH(Cleaned_Sales_data[[#This Row],[Product]],Raw_product_master[Product], 0 ))</f>
        <v>0.15</v>
      </c>
      <c r="T515" t="str">
        <f>IF(Cleaned_Sales_data[[#This Row],[Profit]]&gt;0, "Profitable", "Loss")</f>
        <v>Profitable</v>
      </c>
      <c r="U515" t="str">
        <f>_xlfn.IFS(Cleaned_Sales_data[[#This Row],[Profit]]&gt;=10000, "High", Cleaned_Sales_data[[#This Row],[Profit]]&gt;=5000, "Medium", Cleaned_Sales_data[[#This Row],[Profit]]&gt;=0, "Low", Cleaned_Sales_data[[#This Row],[Profit]] &lt;0, "Loss")</f>
        <v>Medium</v>
      </c>
      <c r="V515" t="str">
        <f t="shared" si="8"/>
        <v>UnderPerforming</v>
      </c>
      <c r="W515" s="3">
        <v>45992</v>
      </c>
    </row>
    <row r="516" spans="1:23">
      <c r="A516" t="s">
        <v>207</v>
      </c>
      <c r="B516" s="3">
        <v>46174</v>
      </c>
      <c r="C516" t="s">
        <v>75</v>
      </c>
      <c r="D516" t="str">
        <f>INDEX(Raw_product_master[Category],MATCH(Cleaned_Sales_data[[#This Row],[Product]],Raw_product_master[Product],0))</f>
        <v>Computers</v>
      </c>
      <c r="E516" t="s">
        <v>51</v>
      </c>
      <c r="F516" t="s">
        <v>26</v>
      </c>
      <c r="G516" t="s">
        <v>35</v>
      </c>
      <c r="H516">
        <v>2</v>
      </c>
      <c r="I516">
        <v>65000</v>
      </c>
      <c r="J516" s="10">
        <v>0</v>
      </c>
      <c r="K516">
        <v>130000</v>
      </c>
      <c r="L516">
        <v>130000</v>
      </c>
      <c r="M516">
        <v>109200</v>
      </c>
      <c r="N516">
        <v>705</v>
      </c>
      <c r="O516">
        <v>2406</v>
      </c>
      <c r="P516">
        <f>INDEX(Raw_product_master[Standard_Cost_Per_Unit],MATCH(Cleaned_Sales_data[[#This Row],[Product]],Raw_product_master[Product],0))</f>
        <v>54600</v>
      </c>
      <c r="Q516">
        <v>17689</v>
      </c>
      <c r="R516" s="11">
        <v>0.136069230769231</v>
      </c>
      <c r="S516" s="11">
        <f>INDEX(Raw_product_master[Target_Margin], MATCH(Cleaned_Sales_data[[#This Row],[Product]],Raw_product_master[Product], 0 ))</f>
        <v>0.12</v>
      </c>
      <c r="T516" t="str">
        <f>IF(Cleaned_Sales_data[[#This Row],[Profit]]&gt;0, "Profitable", "Loss")</f>
        <v>Profitable</v>
      </c>
      <c r="U516" t="str">
        <f>_xlfn.IFS(Cleaned_Sales_data[[#This Row],[Profit]]&gt;=10000, "High", Cleaned_Sales_data[[#This Row],[Profit]]&gt;=5000, "Medium", Cleaned_Sales_data[[#This Row],[Profit]]&gt;=0, "Low", Cleaned_Sales_data[[#This Row],[Profit]] &lt;0, "Loss")</f>
        <v>High</v>
      </c>
      <c r="V516" t="str">
        <f t="shared" si="8"/>
        <v>On Target</v>
      </c>
      <c r="W516" s="3">
        <v>46174</v>
      </c>
    </row>
    <row r="517" spans="1:23">
      <c r="A517" t="s">
        <v>217</v>
      </c>
      <c r="B517" s="3">
        <v>46105</v>
      </c>
      <c r="C517" t="s">
        <v>75</v>
      </c>
      <c r="D517" t="str">
        <f>INDEX(Raw_product_master[Category],MATCH(Cleaned_Sales_data[[#This Row],[Product]],Raw_product_master[Product],0))</f>
        <v>Computers</v>
      </c>
      <c r="E517" t="s">
        <v>51</v>
      </c>
      <c r="F517" t="s">
        <v>26</v>
      </c>
      <c r="G517" t="s">
        <v>35</v>
      </c>
      <c r="H517">
        <v>1</v>
      </c>
      <c r="I517">
        <v>65000</v>
      </c>
      <c r="J517" s="10">
        <v>0.08</v>
      </c>
      <c r="K517">
        <v>65000</v>
      </c>
      <c r="L517">
        <v>59800</v>
      </c>
      <c r="M517">
        <v>54600</v>
      </c>
      <c r="N517">
        <v>1446</v>
      </c>
      <c r="O517">
        <v>799</v>
      </c>
      <c r="P517">
        <f>INDEX(Raw_product_master[Standard_Cost_Per_Unit],MATCH(Cleaned_Sales_data[[#This Row],[Product]],Raw_product_master[Product],0))</f>
        <v>54600</v>
      </c>
      <c r="Q517">
        <v>2955</v>
      </c>
      <c r="R517" s="11">
        <v>4.9414715719063501E-2</v>
      </c>
      <c r="S517" s="11">
        <f>INDEX(Raw_product_master[Target_Margin], MATCH(Cleaned_Sales_data[[#This Row],[Product]],Raw_product_master[Product], 0 ))</f>
        <v>0.12</v>
      </c>
      <c r="T517" t="str">
        <f>IF(Cleaned_Sales_data[[#This Row],[Profit]]&gt;0, "Profitable", "Loss")</f>
        <v>Profitable</v>
      </c>
      <c r="U517" t="str">
        <f>_xlfn.IFS(Cleaned_Sales_data[[#This Row],[Profit]]&gt;=10000, "High", Cleaned_Sales_data[[#This Row],[Profit]]&gt;=5000, "Medium", Cleaned_Sales_data[[#This Row],[Profit]]&gt;=0, "Low", Cleaned_Sales_data[[#This Row],[Profit]] &lt;0, "Loss")</f>
        <v>Low</v>
      </c>
      <c r="V517" t="str">
        <f t="shared" si="8"/>
        <v>UnderPerforming</v>
      </c>
      <c r="W517" s="3">
        <v>46082</v>
      </c>
    </row>
    <row r="518" spans="1:23">
      <c r="A518" t="s">
        <v>224</v>
      </c>
      <c r="B518" s="3">
        <v>45678</v>
      </c>
      <c r="C518" t="s">
        <v>61</v>
      </c>
      <c r="D518" t="str">
        <f>INDEX(Raw_product_master[Category],MATCH(Cleaned_Sales_data[[#This Row],[Product]],Raw_product_master[Product],0))</f>
        <v>Accessories</v>
      </c>
      <c r="E518" t="s">
        <v>51</v>
      </c>
      <c r="F518" t="s">
        <v>26</v>
      </c>
      <c r="G518" t="s">
        <v>35</v>
      </c>
      <c r="H518">
        <v>4</v>
      </c>
      <c r="I518">
        <v>4500</v>
      </c>
      <c r="J518" s="10">
        <v>0.08</v>
      </c>
      <c r="K518">
        <v>18000</v>
      </c>
      <c r="L518">
        <v>16560</v>
      </c>
      <c r="M518">
        <v>11700</v>
      </c>
      <c r="N518">
        <v>1762</v>
      </c>
      <c r="O518">
        <v>1088</v>
      </c>
      <c r="P518">
        <f>INDEX(Raw_product_master[Standard_Cost_Per_Unit],MATCH(Cleaned_Sales_data[[#This Row],[Product]],Raw_product_master[Product],0))</f>
        <v>2925</v>
      </c>
      <c r="Q518">
        <v>2010</v>
      </c>
      <c r="R518" s="11">
        <v>0.12137681159420299</v>
      </c>
      <c r="S518" s="11">
        <f>INDEX(Raw_product_master[Target_Margin], MATCH(Cleaned_Sales_data[[#This Row],[Product]],Raw_product_master[Product], 0 ))</f>
        <v>0.22</v>
      </c>
      <c r="T518" t="str">
        <f>IF(Cleaned_Sales_data[[#This Row],[Profit]]&gt;0, "Profitable", "Loss")</f>
        <v>Profitable</v>
      </c>
      <c r="U518" t="str">
        <f>_xlfn.IFS(Cleaned_Sales_data[[#This Row],[Profit]]&gt;=10000, "High", Cleaned_Sales_data[[#This Row],[Profit]]&gt;=5000, "Medium", Cleaned_Sales_data[[#This Row],[Profit]]&gt;=0, "Low", Cleaned_Sales_data[[#This Row],[Profit]] &lt;0, "Loss")</f>
        <v>Low</v>
      </c>
      <c r="V518" t="str">
        <f t="shared" si="8"/>
        <v>UnderPerforming</v>
      </c>
      <c r="W518" s="3">
        <v>45658</v>
      </c>
    </row>
    <row r="519" spans="1:23">
      <c r="A519" t="s">
        <v>227</v>
      </c>
      <c r="B519" s="3">
        <v>45856</v>
      </c>
      <c r="C519" t="s">
        <v>46</v>
      </c>
      <c r="D519" t="str">
        <f>INDEX(Raw_product_master[Category],MATCH(Cleaned_Sales_data[[#This Row],[Product]],Raw_product_master[Product],0))</f>
        <v>Office Equipment</v>
      </c>
      <c r="E519" t="s">
        <v>19</v>
      </c>
      <c r="F519" t="s">
        <v>26</v>
      </c>
      <c r="G519" t="s">
        <v>35</v>
      </c>
      <c r="H519">
        <v>3</v>
      </c>
      <c r="I519">
        <v>18000</v>
      </c>
      <c r="J519" s="10">
        <v>0.05</v>
      </c>
      <c r="K519">
        <v>54000</v>
      </c>
      <c r="L519">
        <v>51300</v>
      </c>
      <c r="M519">
        <v>43200</v>
      </c>
      <c r="N519">
        <v>1785</v>
      </c>
      <c r="O519">
        <v>2135</v>
      </c>
      <c r="P519">
        <f>INDEX(Raw_product_master[Standard_Cost_Per_Unit],MATCH(Cleaned_Sales_data[[#This Row],[Product]],Raw_product_master[Product],0))</f>
        <v>14400</v>
      </c>
      <c r="Q519">
        <v>4180</v>
      </c>
      <c r="R519" s="11">
        <v>8.1481481481481502E-2</v>
      </c>
      <c r="S519" s="11">
        <f>INDEX(Raw_product_master[Target_Margin], MATCH(Cleaned_Sales_data[[#This Row],[Product]],Raw_product_master[Product], 0 ))</f>
        <v>0.15</v>
      </c>
      <c r="T519" t="str">
        <f>IF(Cleaned_Sales_data[[#This Row],[Profit]]&gt;0, "Profitable", "Loss")</f>
        <v>Profitable</v>
      </c>
      <c r="U519" t="str">
        <f>_xlfn.IFS(Cleaned_Sales_data[[#This Row],[Profit]]&gt;=10000, "High", Cleaned_Sales_data[[#This Row],[Profit]]&gt;=5000, "Medium", Cleaned_Sales_data[[#This Row],[Profit]]&gt;=0, "Low", Cleaned_Sales_data[[#This Row],[Profit]] &lt;0, "Loss")</f>
        <v>Low</v>
      </c>
      <c r="V519" t="str">
        <f t="shared" si="8"/>
        <v>UnderPerforming</v>
      </c>
      <c r="W519" s="3">
        <v>45839</v>
      </c>
    </row>
    <row r="520" spans="1:23">
      <c r="A520" t="s">
        <v>229</v>
      </c>
      <c r="B520" s="3">
        <v>46158</v>
      </c>
      <c r="C520" t="s">
        <v>53</v>
      </c>
      <c r="D520" t="str">
        <f>INDEX(Raw_product_master[Category],MATCH(Cleaned_Sales_data[[#This Row],[Product]],Raw_product_master[Product],0))</f>
        <v>Accessories</v>
      </c>
      <c r="E520" t="s">
        <v>51</v>
      </c>
      <c r="F520" t="s">
        <v>26</v>
      </c>
      <c r="G520" t="s">
        <v>35</v>
      </c>
      <c r="H520">
        <v>4</v>
      </c>
      <c r="I520">
        <v>1500</v>
      </c>
      <c r="J520" s="10">
        <v>0.05</v>
      </c>
      <c r="K520">
        <v>6000</v>
      </c>
      <c r="L520">
        <v>5700</v>
      </c>
      <c r="M520">
        <v>3300</v>
      </c>
      <c r="N520">
        <v>1216</v>
      </c>
      <c r="O520">
        <v>1113</v>
      </c>
      <c r="P520">
        <f>INDEX(Raw_product_master[Standard_Cost_Per_Unit],MATCH(Cleaned_Sales_data[[#This Row],[Product]],Raw_product_master[Product],0))</f>
        <v>825</v>
      </c>
      <c r="Q520">
        <v>71</v>
      </c>
      <c r="R520" s="11">
        <v>1.2456140350877099E-2</v>
      </c>
      <c r="S520" s="11">
        <f>INDEX(Raw_product_master[Target_Margin], MATCH(Cleaned_Sales_data[[#This Row],[Product]],Raw_product_master[Product], 0 ))</f>
        <v>0.3</v>
      </c>
      <c r="T520" t="str">
        <f>IF(Cleaned_Sales_data[[#This Row],[Profit]]&gt;0, "Profitable", "Loss")</f>
        <v>Profitable</v>
      </c>
      <c r="U520" t="str">
        <f>_xlfn.IFS(Cleaned_Sales_data[[#This Row],[Profit]]&gt;=10000, "High", Cleaned_Sales_data[[#This Row],[Profit]]&gt;=5000, "Medium", Cleaned_Sales_data[[#This Row],[Profit]]&gt;=0, "Low", Cleaned_Sales_data[[#This Row],[Profit]] &lt;0, "Loss")</f>
        <v>Low</v>
      </c>
      <c r="V520" t="str">
        <f t="shared" si="8"/>
        <v>UnderPerforming</v>
      </c>
      <c r="W520" s="3">
        <v>46143</v>
      </c>
    </row>
    <row r="521" spans="1:23">
      <c r="A521" t="s">
        <v>248</v>
      </c>
      <c r="B521" s="3">
        <v>45941</v>
      </c>
      <c r="C521" t="s">
        <v>75</v>
      </c>
      <c r="D521" t="str">
        <f>INDEX(Raw_product_master[Category],MATCH(Cleaned_Sales_data[[#This Row],[Product]],Raw_product_master[Product],0))</f>
        <v>Computers</v>
      </c>
      <c r="E521" t="s">
        <v>63</v>
      </c>
      <c r="F521" t="s">
        <v>26</v>
      </c>
      <c r="G521" t="s">
        <v>35</v>
      </c>
      <c r="H521">
        <v>1</v>
      </c>
      <c r="I521">
        <v>65000</v>
      </c>
      <c r="J521" s="10">
        <v>0.05</v>
      </c>
      <c r="K521">
        <v>65000</v>
      </c>
      <c r="L521">
        <v>61750</v>
      </c>
      <c r="M521">
        <v>54600</v>
      </c>
      <c r="N521">
        <v>1171</v>
      </c>
      <c r="O521">
        <v>2460</v>
      </c>
      <c r="P521">
        <f>INDEX(Raw_product_master[Standard_Cost_Per_Unit],MATCH(Cleaned_Sales_data[[#This Row],[Product]],Raw_product_master[Product],0))</f>
        <v>54600</v>
      </c>
      <c r="Q521">
        <v>3519</v>
      </c>
      <c r="R521" s="11">
        <v>5.6987854251012202E-2</v>
      </c>
      <c r="S521" s="11">
        <f>INDEX(Raw_product_master[Target_Margin], MATCH(Cleaned_Sales_data[[#This Row],[Product]],Raw_product_master[Product], 0 ))</f>
        <v>0.12</v>
      </c>
      <c r="T521" t="str">
        <f>IF(Cleaned_Sales_data[[#This Row],[Profit]]&gt;0, "Profitable", "Loss")</f>
        <v>Profitable</v>
      </c>
      <c r="U521" t="str">
        <f>_xlfn.IFS(Cleaned_Sales_data[[#This Row],[Profit]]&gt;=10000, "High", Cleaned_Sales_data[[#This Row],[Profit]]&gt;=5000, "Medium", Cleaned_Sales_data[[#This Row],[Profit]]&gt;=0, "Low", Cleaned_Sales_data[[#This Row],[Profit]] &lt;0, "Loss")</f>
        <v>Low</v>
      </c>
      <c r="V521" t="str">
        <f t="shared" si="8"/>
        <v>UnderPerforming</v>
      </c>
      <c r="W521" s="3">
        <v>45931</v>
      </c>
    </row>
    <row r="522" spans="1:23">
      <c r="A522" t="s">
        <v>260</v>
      </c>
      <c r="B522" s="3">
        <v>45759</v>
      </c>
      <c r="C522" t="s">
        <v>75</v>
      </c>
      <c r="D522" t="str">
        <f>INDEX(Raw_product_master[Category],MATCH(Cleaned_Sales_data[[#This Row],[Product]],Raw_product_master[Product],0))</f>
        <v>Computers</v>
      </c>
      <c r="E522" t="s">
        <v>25</v>
      </c>
      <c r="F522" t="s">
        <v>26</v>
      </c>
      <c r="G522" t="s">
        <v>35</v>
      </c>
      <c r="H522">
        <v>1</v>
      </c>
      <c r="I522">
        <v>65000</v>
      </c>
      <c r="J522" s="10">
        <v>0.08</v>
      </c>
      <c r="K522">
        <v>65000</v>
      </c>
      <c r="L522">
        <v>59800</v>
      </c>
      <c r="M522">
        <v>54600</v>
      </c>
      <c r="N522">
        <v>490</v>
      </c>
      <c r="O522">
        <v>2063</v>
      </c>
      <c r="P522">
        <f>INDEX(Raw_product_master[Standard_Cost_Per_Unit],MATCH(Cleaned_Sales_data[[#This Row],[Product]],Raw_product_master[Product],0))</f>
        <v>54600</v>
      </c>
      <c r="Q522">
        <v>2647</v>
      </c>
      <c r="R522" s="11">
        <v>4.4264214046822702E-2</v>
      </c>
      <c r="S522" s="11">
        <f>INDEX(Raw_product_master[Target_Margin], MATCH(Cleaned_Sales_data[[#This Row],[Product]],Raw_product_master[Product], 0 ))</f>
        <v>0.12</v>
      </c>
      <c r="T522" t="str">
        <f>IF(Cleaned_Sales_data[[#This Row],[Profit]]&gt;0, "Profitable", "Loss")</f>
        <v>Profitable</v>
      </c>
      <c r="U522" t="str">
        <f>_xlfn.IFS(Cleaned_Sales_data[[#This Row],[Profit]]&gt;=10000, "High", Cleaned_Sales_data[[#This Row],[Profit]]&gt;=5000, "Medium", Cleaned_Sales_data[[#This Row],[Profit]]&gt;=0, "Low", Cleaned_Sales_data[[#This Row],[Profit]] &lt;0, "Loss")</f>
        <v>Low</v>
      </c>
      <c r="V522" t="str">
        <f t="shared" si="8"/>
        <v>UnderPerforming</v>
      </c>
      <c r="W522" s="3">
        <v>45748</v>
      </c>
    </row>
    <row r="523" spans="1:23">
      <c r="A523" t="s">
        <v>265</v>
      </c>
      <c r="B523" s="3">
        <v>45813</v>
      </c>
      <c r="C523" t="s">
        <v>46</v>
      </c>
      <c r="D523" t="str">
        <f>INDEX(Raw_product_master[Category],MATCH(Cleaned_Sales_data[[#This Row],[Product]],Raw_product_master[Product],0))</f>
        <v>Office Equipment</v>
      </c>
      <c r="E523" t="s">
        <v>19</v>
      </c>
      <c r="F523" t="s">
        <v>26</v>
      </c>
      <c r="G523" t="s">
        <v>35</v>
      </c>
      <c r="H523">
        <v>1</v>
      </c>
      <c r="I523">
        <v>18000</v>
      </c>
      <c r="J523" s="10">
        <v>0.05</v>
      </c>
      <c r="K523">
        <v>18000</v>
      </c>
      <c r="L523">
        <v>17100</v>
      </c>
      <c r="M523">
        <v>14400</v>
      </c>
      <c r="N523">
        <v>1762</v>
      </c>
      <c r="O523">
        <v>1792</v>
      </c>
      <c r="P523">
        <f>INDEX(Raw_product_master[Standard_Cost_Per_Unit],MATCH(Cleaned_Sales_data[[#This Row],[Product]],Raw_product_master[Product],0))</f>
        <v>14400</v>
      </c>
      <c r="Q523">
        <v>-854</v>
      </c>
      <c r="R523" s="11">
        <v>-4.9941520467836301E-2</v>
      </c>
      <c r="S523" s="11">
        <f>INDEX(Raw_product_master[Target_Margin], MATCH(Cleaned_Sales_data[[#This Row],[Product]],Raw_product_master[Product], 0 ))</f>
        <v>0.15</v>
      </c>
      <c r="T523" t="str">
        <f>IF(Cleaned_Sales_data[[#This Row],[Profit]]&gt;0, "Profitable", "Loss")</f>
        <v>Loss</v>
      </c>
      <c r="U523" t="str">
        <f>_xlfn.IFS(Cleaned_Sales_data[[#This Row],[Profit]]&gt;=10000, "High", Cleaned_Sales_data[[#This Row],[Profit]]&gt;=5000, "Medium", Cleaned_Sales_data[[#This Row],[Profit]]&gt;=0, "Low", Cleaned_Sales_data[[#This Row],[Profit]] &lt;0, "Loss")</f>
        <v>Loss</v>
      </c>
      <c r="V523" t="str">
        <f t="shared" si="8"/>
        <v>UnderPerforming</v>
      </c>
      <c r="W523" s="3">
        <v>45809</v>
      </c>
    </row>
    <row r="524" spans="1:23">
      <c r="A524" t="s">
        <v>269</v>
      </c>
      <c r="B524" s="3">
        <v>45683</v>
      </c>
      <c r="C524" t="s">
        <v>18</v>
      </c>
      <c r="D524" t="str">
        <f>INDEX(Raw_product_master[Category],MATCH(Cleaned_Sales_data[[#This Row],[Product]],Raw_product_master[Product],0))</f>
        <v>Computers</v>
      </c>
      <c r="E524" t="s">
        <v>63</v>
      </c>
      <c r="F524" t="s">
        <v>26</v>
      </c>
      <c r="G524" t="s">
        <v>35</v>
      </c>
      <c r="H524">
        <v>2</v>
      </c>
      <c r="I524">
        <v>32000</v>
      </c>
      <c r="J524" s="10">
        <v>0.1</v>
      </c>
      <c r="K524">
        <v>64000</v>
      </c>
      <c r="L524">
        <v>57600</v>
      </c>
      <c r="M524">
        <v>52480</v>
      </c>
      <c r="N524">
        <v>925</v>
      </c>
      <c r="O524">
        <v>1343</v>
      </c>
      <c r="P524">
        <f>INDEX(Raw_product_master[Standard_Cost_Per_Unit],MATCH(Cleaned_Sales_data[[#This Row],[Product]],Raw_product_master[Product],0))</f>
        <v>26240</v>
      </c>
      <c r="Q524">
        <v>2852</v>
      </c>
      <c r="R524" s="11">
        <v>4.9513888888888899E-2</v>
      </c>
      <c r="S524" s="11">
        <f>INDEX(Raw_product_master[Target_Margin], MATCH(Cleaned_Sales_data[[#This Row],[Product]],Raw_product_master[Product], 0 ))</f>
        <v>0.12</v>
      </c>
      <c r="T524" t="str">
        <f>IF(Cleaned_Sales_data[[#This Row],[Profit]]&gt;0, "Profitable", "Loss")</f>
        <v>Profitable</v>
      </c>
      <c r="U524" t="str">
        <f>_xlfn.IFS(Cleaned_Sales_data[[#This Row],[Profit]]&gt;=10000, "High", Cleaned_Sales_data[[#This Row],[Profit]]&gt;=5000, "Medium", Cleaned_Sales_data[[#This Row],[Profit]]&gt;=0, "Low", Cleaned_Sales_data[[#This Row],[Profit]] &lt;0, "Loss")</f>
        <v>Low</v>
      </c>
      <c r="V524" t="str">
        <f t="shared" si="8"/>
        <v>UnderPerforming</v>
      </c>
      <c r="W524" s="3">
        <v>45658</v>
      </c>
    </row>
    <row r="525" spans="1:23">
      <c r="A525" t="s">
        <v>281</v>
      </c>
      <c r="B525" s="3">
        <v>45978</v>
      </c>
      <c r="C525" t="s">
        <v>61</v>
      </c>
      <c r="D525" t="str">
        <f>INDEX(Raw_product_master[Category],MATCH(Cleaned_Sales_data[[#This Row],[Product]],Raw_product_master[Product],0))</f>
        <v>Accessories</v>
      </c>
      <c r="E525" t="s">
        <v>63</v>
      </c>
      <c r="F525" t="s">
        <v>26</v>
      </c>
      <c r="G525" t="s">
        <v>35</v>
      </c>
      <c r="H525">
        <v>5</v>
      </c>
      <c r="I525">
        <v>4500</v>
      </c>
      <c r="J525" s="10">
        <v>0.1</v>
      </c>
      <c r="K525">
        <v>22500</v>
      </c>
      <c r="L525">
        <v>20250</v>
      </c>
      <c r="M525">
        <v>14625</v>
      </c>
      <c r="N525">
        <v>1471</v>
      </c>
      <c r="O525">
        <v>463</v>
      </c>
      <c r="P525">
        <f>INDEX(Raw_product_master[Standard_Cost_Per_Unit],MATCH(Cleaned_Sales_data[[#This Row],[Product]],Raw_product_master[Product],0))</f>
        <v>2925</v>
      </c>
      <c r="Q525">
        <v>3691</v>
      </c>
      <c r="R525" s="11">
        <v>0.18227160493827199</v>
      </c>
      <c r="S525" s="11">
        <f>INDEX(Raw_product_master[Target_Margin], MATCH(Cleaned_Sales_data[[#This Row],[Product]],Raw_product_master[Product], 0 ))</f>
        <v>0.22</v>
      </c>
      <c r="T525" t="str">
        <f>IF(Cleaned_Sales_data[[#This Row],[Profit]]&gt;0, "Profitable", "Loss")</f>
        <v>Profitable</v>
      </c>
      <c r="U525" t="str">
        <f>_xlfn.IFS(Cleaned_Sales_data[[#This Row],[Profit]]&gt;=10000, "High", Cleaned_Sales_data[[#This Row],[Profit]]&gt;=5000, "Medium", Cleaned_Sales_data[[#This Row],[Profit]]&gt;=0, "Low", Cleaned_Sales_data[[#This Row],[Profit]] &lt;0, "Loss")</f>
        <v>Low</v>
      </c>
      <c r="V525" t="str">
        <f t="shared" si="8"/>
        <v>UnderPerforming</v>
      </c>
      <c r="W525" s="3">
        <v>45962</v>
      </c>
    </row>
    <row r="526" spans="1:23">
      <c r="A526" t="s">
        <v>291</v>
      </c>
      <c r="B526" s="3">
        <v>45700</v>
      </c>
      <c r="C526" t="s">
        <v>30</v>
      </c>
      <c r="D526" t="str">
        <f>INDEX(Raw_product_master[Category],MATCH(Cleaned_Sales_data[[#This Row],[Product]],Raw_product_master[Product],0))</f>
        <v>Displays</v>
      </c>
      <c r="E526" t="s">
        <v>34</v>
      </c>
      <c r="F526" t="s">
        <v>26</v>
      </c>
      <c r="G526" t="s">
        <v>35</v>
      </c>
      <c r="H526">
        <v>1</v>
      </c>
      <c r="I526">
        <v>28000</v>
      </c>
      <c r="J526" s="10">
        <v>0</v>
      </c>
      <c r="K526">
        <v>28000</v>
      </c>
      <c r="L526">
        <v>28000</v>
      </c>
      <c r="M526">
        <v>21840</v>
      </c>
      <c r="N526">
        <v>589</v>
      </c>
      <c r="O526">
        <v>1984</v>
      </c>
      <c r="P526">
        <f>INDEX(Raw_product_master[Standard_Cost_Per_Unit],MATCH(Cleaned_Sales_data[[#This Row],[Product]],Raw_product_master[Product],0))</f>
        <v>21840</v>
      </c>
      <c r="Q526">
        <v>3587</v>
      </c>
      <c r="R526" s="11">
        <v>0.128107142857143</v>
      </c>
      <c r="S526" s="11">
        <f>INDEX(Raw_product_master[Target_Margin], MATCH(Cleaned_Sales_data[[#This Row],[Product]],Raw_product_master[Product], 0 ))</f>
        <v>0.18</v>
      </c>
      <c r="T526" t="str">
        <f>IF(Cleaned_Sales_data[[#This Row],[Profit]]&gt;0, "Profitable", "Loss")</f>
        <v>Profitable</v>
      </c>
      <c r="U526" t="str">
        <f>_xlfn.IFS(Cleaned_Sales_data[[#This Row],[Profit]]&gt;=10000, "High", Cleaned_Sales_data[[#This Row],[Profit]]&gt;=5000, "Medium", Cleaned_Sales_data[[#This Row],[Profit]]&gt;=0, "Low", Cleaned_Sales_data[[#This Row],[Profit]] &lt;0, "Loss")</f>
        <v>Low</v>
      </c>
      <c r="V526" t="str">
        <f t="shared" si="8"/>
        <v>UnderPerforming</v>
      </c>
      <c r="W526" s="3">
        <v>45689</v>
      </c>
    </row>
    <row r="527" spans="1:23">
      <c r="A527" t="s">
        <v>306</v>
      </c>
      <c r="B527" s="3">
        <v>46007</v>
      </c>
      <c r="C527" t="s">
        <v>18</v>
      </c>
      <c r="D527" t="str">
        <f>INDEX(Raw_product_master[Category],MATCH(Cleaned_Sales_data[[#This Row],[Product]],Raw_product_master[Product],0))</f>
        <v>Computers</v>
      </c>
      <c r="E527" t="s">
        <v>34</v>
      </c>
      <c r="F527" t="s">
        <v>26</v>
      </c>
      <c r="G527" t="s">
        <v>35</v>
      </c>
      <c r="H527">
        <v>3</v>
      </c>
      <c r="I527">
        <v>32000</v>
      </c>
      <c r="J527" s="10">
        <v>0.03</v>
      </c>
      <c r="K527">
        <v>96000</v>
      </c>
      <c r="L527">
        <v>93120</v>
      </c>
      <c r="M527">
        <v>78720</v>
      </c>
      <c r="N527">
        <v>1714</v>
      </c>
      <c r="O527">
        <v>1384</v>
      </c>
      <c r="P527">
        <f>INDEX(Raw_product_master[Standard_Cost_Per_Unit],MATCH(Cleaned_Sales_data[[#This Row],[Product]],Raw_product_master[Product],0))</f>
        <v>26240</v>
      </c>
      <c r="Q527">
        <v>11302</v>
      </c>
      <c r="R527" s="11">
        <v>0.121370274914089</v>
      </c>
      <c r="S527" s="11">
        <f>INDEX(Raw_product_master[Target_Margin], MATCH(Cleaned_Sales_data[[#This Row],[Product]],Raw_product_master[Product], 0 ))</f>
        <v>0.12</v>
      </c>
      <c r="T527" t="str">
        <f>IF(Cleaned_Sales_data[[#This Row],[Profit]]&gt;0, "Profitable", "Loss")</f>
        <v>Profitable</v>
      </c>
      <c r="U527" t="str">
        <f>_xlfn.IFS(Cleaned_Sales_data[[#This Row],[Profit]]&gt;=10000, "High", Cleaned_Sales_data[[#This Row],[Profit]]&gt;=5000, "Medium", Cleaned_Sales_data[[#This Row],[Profit]]&gt;=0, "Low", Cleaned_Sales_data[[#This Row],[Profit]] &lt;0, "Loss")</f>
        <v>High</v>
      </c>
      <c r="V527" t="str">
        <f t="shared" si="8"/>
        <v>On Target</v>
      </c>
      <c r="W527" s="3">
        <v>45992</v>
      </c>
    </row>
    <row r="528" spans="1:23">
      <c r="A528" t="s">
        <v>308</v>
      </c>
      <c r="B528" s="3">
        <v>45826</v>
      </c>
      <c r="C528" t="s">
        <v>50</v>
      </c>
      <c r="D528" t="str">
        <f>INDEX(Raw_product_master[Category],MATCH(Cleaned_Sales_data[[#This Row],[Product]],Raw_product_master[Product],0))</f>
        <v>Accessories</v>
      </c>
      <c r="E528" t="s">
        <v>63</v>
      </c>
      <c r="F528" t="s">
        <v>26</v>
      </c>
      <c r="G528" t="s">
        <v>35</v>
      </c>
      <c r="H528">
        <v>1</v>
      </c>
      <c r="I528">
        <v>2500</v>
      </c>
      <c r="J528" s="10">
        <v>0.03</v>
      </c>
      <c r="K528">
        <v>2500</v>
      </c>
      <c r="L528">
        <v>2425</v>
      </c>
      <c r="M528">
        <v>1550</v>
      </c>
      <c r="N528">
        <v>1035</v>
      </c>
      <c r="O528">
        <v>1713</v>
      </c>
      <c r="P528">
        <f>INDEX(Raw_product_master[Standard_Cost_Per_Unit],MATCH(Cleaned_Sales_data[[#This Row],[Product]],Raw_product_master[Product],0))</f>
        <v>1550</v>
      </c>
      <c r="Q528">
        <v>-1873</v>
      </c>
      <c r="R528" s="11">
        <v>-0.77237113402061897</v>
      </c>
      <c r="S528" s="11">
        <f>INDEX(Raw_product_master[Target_Margin], MATCH(Cleaned_Sales_data[[#This Row],[Product]],Raw_product_master[Product], 0 ))</f>
        <v>0.25</v>
      </c>
      <c r="T528" t="str">
        <f>IF(Cleaned_Sales_data[[#This Row],[Profit]]&gt;0, "Profitable", "Loss")</f>
        <v>Loss</v>
      </c>
      <c r="U528" t="str">
        <f>_xlfn.IFS(Cleaned_Sales_data[[#This Row],[Profit]]&gt;=10000, "High", Cleaned_Sales_data[[#This Row],[Profit]]&gt;=5000, "Medium", Cleaned_Sales_data[[#This Row],[Profit]]&gt;=0, "Low", Cleaned_Sales_data[[#This Row],[Profit]] &lt;0, "Loss")</f>
        <v>Loss</v>
      </c>
      <c r="V528" t="str">
        <f t="shared" si="8"/>
        <v>UnderPerforming</v>
      </c>
      <c r="W528" s="3">
        <v>45809</v>
      </c>
    </row>
    <row r="529" spans="1:23">
      <c r="A529" t="s">
        <v>312</v>
      </c>
      <c r="B529" s="3">
        <v>45890</v>
      </c>
      <c r="C529" t="s">
        <v>50</v>
      </c>
      <c r="D529" t="str">
        <f>INDEX(Raw_product_master[Category],MATCH(Cleaned_Sales_data[[#This Row],[Product]],Raw_product_master[Product],0))</f>
        <v>Accessories</v>
      </c>
      <c r="E529" t="s">
        <v>25</v>
      </c>
      <c r="F529" t="s">
        <v>26</v>
      </c>
      <c r="G529" t="s">
        <v>35</v>
      </c>
      <c r="H529">
        <v>2</v>
      </c>
      <c r="I529">
        <v>2500</v>
      </c>
      <c r="J529" s="10">
        <v>0.1</v>
      </c>
      <c r="K529">
        <v>5000</v>
      </c>
      <c r="L529">
        <v>4500</v>
      </c>
      <c r="M529">
        <v>3100</v>
      </c>
      <c r="N529">
        <v>238</v>
      </c>
      <c r="O529">
        <v>879</v>
      </c>
      <c r="P529">
        <f>INDEX(Raw_product_master[Standard_Cost_Per_Unit],MATCH(Cleaned_Sales_data[[#This Row],[Product]],Raw_product_master[Product],0))</f>
        <v>1550</v>
      </c>
      <c r="Q529">
        <v>283</v>
      </c>
      <c r="R529" s="11">
        <v>6.2888888888888897E-2</v>
      </c>
      <c r="S529" s="11">
        <f>INDEX(Raw_product_master[Target_Margin], MATCH(Cleaned_Sales_data[[#This Row],[Product]],Raw_product_master[Product], 0 ))</f>
        <v>0.25</v>
      </c>
      <c r="T529" t="str">
        <f>IF(Cleaned_Sales_data[[#This Row],[Profit]]&gt;0, "Profitable", "Loss")</f>
        <v>Profitable</v>
      </c>
      <c r="U529" t="str">
        <f>_xlfn.IFS(Cleaned_Sales_data[[#This Row],[Profit]]&gt;=10000, "High", Cleaned_Sales_data[[#This Row],[Profit]]&gt;=5000, "Medium", Cleaned_Sales_data[[#This Row],[Profit]]&gt;=0, "Low", Cleaned_Sales_data[[#This Row],[Profit]] &lt;0, "Loss")</f>
        <v>Low</v>
      </c>
      <c r="V529" t="str">
        <f t="shared" si="8"/>
        <v>UnderPerforming</v>
      </c>
      <c r="W529" s="3">
        <v>45870</v>
      </c>
    </row>
    <row r="530" spans="1:23">
      <c r="A530" t="s">
        <v>326</v>
      </c>
      <c r="B530" s="3">
        <v>45960</v>
      </c>
      <c r="C530" t="s">
        <v>18</v>
      </c>
      <c r="D530" t="str">
        <f>INDEX(Raw_product_master[Category],MATCH(Cleaned_Sales_data[[#This Row],[Product]],Raw_product_master[Product],0))</f>
        <v>Computers</v>
      </c>
      <c r="E530" t="s">
        <v>19</v>
      </c>
      <c r="F530" t="s">
        <v>26</v>
      </c>
      <c r="G530" t="s">
        <v>35</v>
      </c>
      <c r="H530">
        <v>1</v>
      </c>
      <c r="I530">
        <v>32000</v>
      </c>
      <c r="J530" s="10">
        <v>0</v>
      </c>
      <c r="K530">
        <v>32000</v>
      </c>
      <c r="L530">
        <v>32000</v>
      </c>
      <c r="M530">
        <v>26240</v>
      </c>
      <c r="N530">
        <v>1336</v>
      </c>
      <c r="O530">
        <v>575</v>
      </c>
      <c r="P530">
        <f>INDEX(Raw_product_master[Standard_Cost_Per_Unit],MATCH(Cleaned_Sales_data[[#This Row],[Product]],Raw_product_master[Product],0))</f>
        <v>26240</v>
      </c>
      <c r="Q530">
        <v>3849</v>
      </c>
      <c r="R530" s="11">
        <v>0.12028125000000001</v>
      </c>
      <c r="S530" s="11">
        <f>INDEX(Raw_product_master[Target_Margin], MATCH(Cleaned_Sales_data[[#This Row],[Product]],Raw_product_master[Product], 0 ))</f>
        <v>0.12</v>
      </c>
      <c r="T530" t="str">
        <f>IF(Cleaned_Sales_data[[#This Row],[Profit]]&gt;0, "Profitable", "Loss")</f>
        <v>Profitable</v>
      </c>
      <c r="U530" t="str">
        <f>_xlfn.IFS(Cleaned_Sales_data[[#This Row],[Profit]]&gt;=10000, "High", Cleaned_Sales_data[[#This Row],[Profit]]&gt;=5000, "Medium", Cleaned_Sales_data[[#This Row],[Profit]]&gt;=0, "Low", Cleaned_Sales_data[[#This Row],[Profit]] &lt;0, "Loss")</f>
        <v>Low</v>
      </c>
      <c r="V530" t="str">
        <f t="shared" si="8"/>
        <v>On Target</v>
      </c>
      <c r="W530" s="3">
        <v>45931</v>
      </c>
    </row>
    <row r="531" spans="1:23">
      <c r="A531" t="s">
        <v>331</v>
      </c>
      <c r="B531" s="3">
        <v>45839</v>
      </c>
      <c r="C531" t="s">
        <v>18</v>
      </c>
      <c r="D531" t="str">
        <f>INDEX(Raw_product_master[Category],MATCH(Cleaned_Sales_data[[#This Row],[Product]],Raw_product_master[Product],0))</f>
        <v>Computers</v>
      </c>
      <c r="E531" t="s">
        <v>34</v>
      </c>
      <c r="F531" t="s">
        <v>26</v>
      </c>
      <c r="G531" t="s">
        <v>35</v>
      </c>
      <c r="H531">
        <v>3</v>
      </c>
      <c r="I531">
        <v>32000</v>
      </c>
      <c r="J531" s="10">
        <v>0.08</v>
      </c>
      <c r="K531">
        <v>96000</v>
      </c>
      <c r="L531">
        <v>88320</v>
      </c>
      <c r="M531">
        <v>78720</v>
      </c>
      <c r="N531">
        <v>840</v>
      </c>
      <c r="O531">
        <v>1961</v>
      </c>
      <c r="P531">
        <f>INDEX(Raw_product_master[Standard_Cost_Per_Unit],MATCH(Cleaned_Sales_data[[#This Row],[Product]],Raw_product_master[Product],0))</f>
        <v>26240</v>
      </c>
      <c r="Q531">
        <v>6799</v>
      </c>
      <c r="R531" s="11">
        <v>7.6981431159420299E-2</v>
      </c>
      <c r="S531" s="11">
        <f>INDEX(Raw_product_master[Target_Margin], MATCH(Cleaned_Sales_data[[#This Row],[Product]],Raw_product_master[Product], 0 ))</f>
        <v>0.12</v>
      </c>
      <c r="T531" t="str">
        <f>IF(Cleaned_Sales_data[[#This Row],[Profit]]&gt;0, "Profitable", "Loss")</f>
        <v>Profitable</v>
      </c>
      <c r="U531" t="str">
        <f>_xlfn.IFS(Cleaned_Sales_data[[#This Row],[Profit]]&gt;=10000, "High", Cleaned_Sales_data[[#This Row],[Profit]]&gt;=5000, "Medium", Cleaned_Sales_data[[#This Row],[Profit]]&gt;=0, "Low", Cleaned_Sales_data[[#This Row],[Profit]] &lt;0, "Loss")</f>
        <v>Medium</v>
      </c>
      <c r="V531" t="str">
        <f t="shared" si="8"/>
        <v>UnderPerforming</v>
      </c>
      <c r="W531" s="3">
        <v>45839</v>
      </c>
    </row>
    <row r="532" spans="1:23">
      <c r="A532" t="s">
        <v>334</v>
      </c>
      <c r="B532" s="3">
        <v>46098</v>
      </c>
      <c r="C532" t="s">
        <v>46</v>
      </c>
      <c r="D532" t="str">
        <f>INDEX(Raw_product_master[Category],MATCH(Cleaned_Sales_data[[#This Row],[Product]],Raw_product_master[Product],0))</f>
        <v>Office Equipment</v>
      </c>
      <c r="E532" t="s">
        <v>51</v>
      </c>
      <c r="F532" t="s">
        <v>26</v>
      </c>
      <c r="G532" t="s">
        <v>35</v>
      </c>
      <c r="H532">
        <v>3</v>
      </c>
      <c r="I532">
        <v>18000</v>
      </c>
      <c r="J532" s="10">
        <v>0</v>
      </c>
      <c r="K532">
        <v>54000</v>
      </c>
      <c r="L532">
        <v>54000</v>
      </c>
      <c r="M532">
        <v>43200</v>
      </c>
      <c r="N532">
        <v>449</v>
      </c>
      <c r="O532">
        <v>974</v>
      </c>
      <c r="P532">
        <f>INDEX(Raw_product_master[Standard_Cost_Per_Unit],MATCH(Cleaned_Sales_data[[#This Row],[Product]],Raw_product_master[Product],0))</f>
        <v>14400</v>
      </c>
      <c r="Q532">
        <v>9377</v>
      </c>
      <c r="R532" s="11">
        <v>0.173648148148148</v>
      </c>
      <c r="S532" s="11">
        <f>INDEX(Raw_product_master[Target_Margin], MATCH(Cleaned_Sales_data[[#This Row],[Product]],Raw_product_master[Product], 0 ))</f>
        <v>0.15</v>
      </c>
      <c r="T532" t="str">
        <f>IF(Cleaned_Sales_data[[#This Row],[Profit]]&gt;0, "Profitable", "Loss")</f>
        <v>Profitable</v>
      </c>
      <c r="U532" t="str">
        <f>_xlfn.IFS(Cleaned_Sales_data[[#This Row],[Profit]]&gt;=10000, "High", Cleaned_Sales_data[[#This Row],[Profit]]&gt;=5000, "Medium", Cleaned_Sales_data[[#This Row],[Profit]]&gt;=0, "Low", Cleaned_Sales_data[[#This Row],[Profit]] &lt;0, "Loss")</f>
        <v>Medium</v>
      </c>
      <c r="V532" t="str">
        <f t="shared" si="8"/>
        <v>On Target</v>
      </c>
      <c r="W532" s="3">
        <v>46082</v>
      </c>
    </row>
    <row r="533" spans="1:23">
      <c r="A533" t="s">
        <v>336</v>
      </c>
      <c r="B533" s="3">
        <v>45739</v>
      </c>
      <c r="C533" t="s">
        <v>46</v>
      </c>
      <c r="D533" t="str">
        <f>INDEX(Raw_product_master[Category],MATCH(Cleaned_Sales_data[[#This Row],[Product]],Raw_product_master[Product],0))</f>
        <v>Office Equipment</v>
      </c>
      <c r="E533" t="s">
        <v>51</v>
      </c>
      <c r="F533" t="s">
        <v>26</v>
      </c>
      <c r="G533" t="s">
        <v>35</v>
      </c>
      <c r="H533">
        <v>2</v>
      </c>
      <c r="I533">
        <v>18000</v>
      </c>
      <c r="J533" s="10">
        <v>0.1</v>
      </c>
      <c r="K533">
        <v>36000</v>
      </c>
      <c r="L533">
        <v>32400</v>
      </c>
      <c r="M533">
        <v>28800</v>
      </c>
      <c r="N533">
        <v>513</v>
      </c>
      <c r="O533">
        <v>2168</v>
      </c>
      <c r="P533">
        <f>INDEX(Raw_product_master[Standard_Cost_Per_Unit],MATCH(Cleaned_Sales_data[[#This Row],[Product]],Raw_product_master[Product],0))</f>
        <v>14400</v>
      </c>
      <c r="Q533">
        <v>919</v>
      </c>
      <c r="R533" s="11">
        <v>2.8364197530864201E-2</v>
      </c>
      <c r="S533" s="11">
        <f>INDEX(Raw_product_master[Target_Margin], MATCH(Cleaned_Sales_data[[#This Row],[Product]],Raw_product_master[Product], 0 ))</f>
        <v>0.15</v>
      </c>
      <c r="T533" t="str">
        <f>IF(Cleaned_Sales_data[[#This Row],[Profit]]&gt;0, "Profitable", "Loss")</f>
        <v>Profitable</v>
      </c>
      <c r="U533" t="str">
        <f>_xlfn.IFS(Cleaned_Sales_data[[#This Row],[Profit]]&gt;=10000, "High", Cleaned_Sales_data[[#This Row],[Profit]]&gt;=5000, "Medium", Cleaned_Sales_data[[#This Row],[Profit]]&gt;=0, "Low", Cleaned_Sales_data[[#This Row],[Profit]] &lt;0, "Loss")</f>
        <v>Low</v>
      </c>
      <c r="V533" t="str">
        <f t="shared" si="8"/>
        <v>UnderPerforming</v>
      </c>
      <c r="W533" s="3">
        <v>45717</v>
      </c>
    </row>
    <row r="534" spans="1:23">
      <c r="A534" t="s">
        <v>338</v>
      </c>
      <c r="B534" s="3">
        <v>46011</v>
      </c>
      <c r="C534" t="s">
        <v>18</v>
      </c>
      <c r="D534" t="str">
        <f>INDEX(Raw_product_master[Category],MATCH(Cleaned_Sales_data[[#This Row],[Product]],Raw_product_master[Product],0))</f>
        <v>Computers</v>
      </c>
      <c r="E534" t="s">
        <v>31</v>
      </c>
      <c r="F534" t="s">
        <v>26</v>
      </c>
      <c r="G534" t="s">
        <v>35</v>
      </c>
      <c r="H534">
        <v>2</v>
      </c>
      <c r="I534">
        <v>32000</v>
      </c>
      <c r="J534" s="10">
        <v>0</v>
      </c>
      <c r="K534">
        <v>64000</v>
      </c>
      <c r="L534">
        <v>64000</v>
      </c>
      <c r="M534">
        <v>52480</v>
      </c>
      <c r="N534">
        <v>797</v>
      </c>
      <c r="O534">
        <v>2436</v>
      </c>
      <c r="P534">
        <f>INDEX(Raw_product_master[Standard_Cost_Per_Unit],MATCH(Cleaned_Sales_data[[#This Row],[Product]],Raw_product_master[Product],0))</f>
        <v>26240</v>
      </c>
      <c r="Q534">
        <v>8287</v>
      </c>
      <c r="R534" s="11">
        <v>0.12948437500000001</v>
      </c>
      <c r="S534" s="11">
        <f>INDEX(Raw_product_master[Target_Margin], MATCH(Cleaned_Sales_data[[#This Row],[Product]],Raw_product_master[Product], 0 ))</f>
        <v>0.12</v>
      </c>
      <c r="T534" t="str">
        <f>IF(Cleaned_Sales_data[[#This Row],[Profit]]&gt;0, "Profitable", "Loss")</f>
        <v>Profitable</v>
      </c>
      <c r="U534" t="str">
        <f>_xlfn.IFS(Cleaned_Sales_data[[#This Row],[Profit]]&gt;=10000, "High", Cleaned_Sales_data[[#This Row],[Profit]]&gt;=5000, "Medium", Cleaned_Sales_data[[#This Row],[Profit]]&gt;=0, "Low", Cleaned_Sales_data[[#This Row],[Profit]] &lt;0, "Loss")</f>
        <v>Medium</v>
      </c>
      <c r="V534" t="str">
        <f t="shared" si="8"/>
        <v>On Target</v>
      </c>
      <c r="W534" s="3">
        <v>45992</v>
      </c>
    </row>
    <row r="535" spans="1:23">
      <c r="A535" t="s">
        <v>342</v>
      </c>
      <c r="B535" s="3">
        <v>46033</v>
      </c>
      <c r="C535" t="s">
        <v>53</v>
      </c>
      <c r="D535" t="str">
        <f>INDEX(Raw_product_master[Category],MATCH(Cleaned_Sales_data[[#This Row],[Product]],Raw_product_master[Product],0))</f>
        <v>Accessories</v>
      </c>
      <c r="E535" t="s">
        <v>51</v>
      </c>
      <c r="F535" t="s">
        <v>26</v>
      </c>
      <c r="G535" t="s">
        <v>35</v>
      </c>
      <c r="H535">
        <v>2</v>
      </c>
      <c r="I535">
        <v>1500</v>
      </c>
      <c r="J535" s="10">
        <v>0.05</v>
      </c>
      <c r="K535">
        <v>3000</v>
      </c>
      <c r="L535">
        <v>2850</v>
      </c>
      <c r="M535">
        <v>1650</v>
      </c>
      <c r="N535">
        <v>1083</v>
      </c>
      <c r="O535">
        <v>2361</v>
      </c>
      <c r="P535">
        <f>INDEX(Raw_product_master[Standard_Cost_Per_Unit],MATCH(Cleaned_Sales_data[[#This Row],[Product]],Raw_product_master[Product],0))</f>
        <v>825</v>
      </c>
      <c r="Q535">
        <v>-2244</v>
      </c>
      <c r="R535" s="11">
        <v>-0.78736842105263205</v>
      </c>
      <c r="S535" s="11">
        <f>INDEX(Raw_product_master[Target_Margin], MATCH(Cleaned_Sales_data[[#This Row],[Product]],Raw_product_master[Product], 0 ))</f>
        <v>0.3</v>
      </c>
      <c r="T535" t="str">
        <f>IF(Cleaned_Sales_data[[#This Row],[Profit]]&gt;0, "Profitable", "Loss")</f>
        <v>Loss</v>
      </c>
      <c r="U535" t="str">
        <f>_xlfn.IFS(Cleaned_Sales_data[[#This Row],[Profit]]&gt;=10000, "High", Cleaned_Sales_data[[#This Row],[Profit]]&gt;=5000, "Medium", Cleaned_Sales_data[[#This Row],[Profit]]&gt;=0, "Low", Cleaned_Sales_data[[#This Row],[Profit]] &lt;0, "Loss")</f>
        <v>Loss</v>
      </c>
      <c r="V535" t="str">
        <f t="shared" si="8"/>
        <v>UnderPerforming</v>
      </c>
      <c r="W535" s="3">
        <v>46023</v>
      </c>
    </row>
    <row r="536" spans="1:23">
      <c r="A536" t="s">
        <v>345</v>
      </c>
      <c r="B536" s="3">
        <v>46161</v>
      </c>
      <c r="C536" t="s">
        <v>50</v>
      </c>
      <c r="D536" t="str">
        <f>INDEX(Raw_product_master[Category],MATCH(Cleaned_Sales_data[[#This Row],[Product]],Raw_product_master[Product],0))</f>
        <v>Accessories</v>
      </c>
      <c r="E536" t="s">
        <v>31</v>
      </c>
      <c r="F536" t="s">
        <v>26</v>
      </c>
      <c r="G536" t="s">
        <v>35</v>
      </c>
      <c r="H536">
        <v>2</v>
      </c>
      <c r="I536">
        <v>2500</v>
      </c>
      <c r="J536" s="10">
        <v>0</v>
      </c>
      <c r="K536">
        <v>5000</v>
      </c>
      <c r="L536">
        <v>5000</v>
      </c>
      <c r="M536">
        <v>3100</v>
      </c>
      <c r="N536">
        <v>908</v>
      </c>
      <c r="O536">
        <v>406</v>
      </c>
      <c r="P536">
        <f>INDEX(Raw_product_master[Standard_Cost_Per_Unit],MATCH(Cleaned_Sales_data[[#This Row],[Product]],Raw_product_master[Product],0))</f>
        <v>1550</v>
      </c>
      <c r="Q536">
        <v>586</v>
      </c>
      <c r="R536" s="11">
        <v>0.1172</v>
      </c>
      <c r="S536" s="11">
        <f>INDEX(Raw_product_master[Target_Margin], MATCH(Cleaned_Sales_data[[#This Row],[Product]],Raw_product_master[Product], 0 ))</f>
        <v>0.25</v>
      </c>
      <c r="T536" t="str">
        <f>IF(Cleaned_Sales_data[[#This Row],[Profit]]&gt;0, "Profitable", "Loss")</f>
        <v>Profitable</v>
      </c>
      <c r="U536" t="str">
        <f>_xlfn.IFS(Cleaned_Sales_data[[#This Row],[Profit]]&gt;=10000, "High", Cleaned_Sales_data[[#This Row],[Profit]]&gt;=5000, "Medium", Cleaned_Sales_data[[#This Row],[Profit]]&gt;=0, "Low", Cleaned_Sales_data[[#This Row],[Profit]] &lt;0, "Loss")</f>
        <v>Low</v>
      </c>
      <c r="V536" t="str">
        <f t="shared" si="8"/>
        <v>UnderPerforming</v>
      </c>
      <c r="W536" s="3">
        <v>46143</v>
      </c>
    </row>
    <row r="537" spans="1:23">
      <c r="A537" t="s">
        <v>348</v>
      </c>
      <c r="B537" s="3">
        <v>45917</v>
      </c>
      <c r="C537" t="s">
        <v>53</v>
      </c>
      <c r="D537" t="str">
        <f>INDEX(Raw_product_master[Category],MATCH(Cleaned_Sales_data[[#This Row],[Product]],Raw_product_master[Product],0))</f>
        <v>Accessories</v>
      </c>
      <c r="E537" t="s">
        <v>34</v>
      </c>
      <c r="F537" t="s">
        <v>26</v>
      </c>
      <c r="G537" t="s">
        <v>35</v>
      </c>
      <c r="H537">
        <v>1</v>
      </c>
      <c r="I537">
        <v>1500</v>
      </c>
      <c r="J537" s="10">
        <v>0</v>
      </c>
      <c r="K537">
        <v>1500</v>
      </c>
      <c r="L537">
        <v>1500</v>
      </c>
      <c r="M537">
        <v>825</v>
      </c>
      <c r="N537">
        <v>1743</v>
      </c>
      <c r="O537">
        <v>712</v>
      </c>
      <c r="P537">
        <f>INDEX(Raw_product_master[Standard_Cost_Per_Unit],MATCH(Cleaned_Sales_data[[#This Row],[Product]],Raw_product_master[Product],0))</f>
        <v>825</v>
      </c>
      <c r="Q537">
        <v>-1780</v>
      </c>
      <c r="R537" s="11">
        <v>-1.1866666666666701</v>
      </c>
      <c r="S537" s="11">
        <f>INDEX(Raw_product_master[Target_Margin], MATCH(Cleaned_Sales_data[[#This Row],[Product]],Raw_product_master[Product], 0 ))</f>
        <v>0.3</v>
      </c>
      <c r="T537" t="str">
        <f>IF(Cleaned_Sales_data[[#This Row],[Profit]]&gt;0, "Profitable", "Loss")</f>
        <v>Loss</v>
      </c>
      <c r="U537" t="str">
        <f>_xlfn.IFS(Cleaned_Sales_data[[#This Row],[Profit]]&gt;=10000, "High", Cleaned_Sales_data[[#This Row],[Profit]]&gt;=5000, "Medium", Cleaned_Sales_data[[#This Row],[Profit]]&gt;=0, "Low", Cleaned_Sales_data[[#This Row],[Profit]] &lt;0, "Loss")</f>
        <v>Loss</v>
      </c>
      <c r="V537" t="str">
        <f t="shared" si="8"/>
        <v>UnderPerforming</v>
      </c>
      <c r="W537" s="3">
        <v>45901</v>
      </c>
    </row>
    <row r="538" spans="1:23">
      <c r="A538" t="s">
        <v>354</v>
      </c>
      <c r="B538" s="3">
        <v>45995</v>
      </c>
      <c r="C538" t="s">
        <v>24</v>
      </c>
      <c r="D538" t="str">
        <f>INDEX(Raw_product_master[Category],MATCH(Cleaned_Sales_data[[#This Row],[Product]],Raw_product_master[Product],0))</f>
        <v>Accessories</v>
      </c>
      <c r="E538" t="s">
        <v>25</v>
      </c>
      <c r="F538" t="s">
        <v>26</v>
      </c>
      <c r="G538" t="s">
        <v>35</v>
      </c>
      <c r="H538">
        <v>3</v>
      </c>
      <c r="I538">
        <v>3500</v>
      </c>
      <c r="J538" s="10">
        <v>0</v>
      </c>
      <c r="K538">
        <v>10500</v>
      </c>
      <c r="L538">
        <v>10500</v>
      </c>
      <c r="M538">
        <v>7140</v>
      </c>
      <c r="N538">
        <v>240</v>
      </c>
      <c r="O538">
        <v>2454</v>
      </c>
      <c r="P538">
        <f>INDEX(Raw_product_master[Standard_Cost_Per_Unit],MATCH(Cleaned_Sales_data[[#This Row],[Product]],Raw_product_master[Product],0))</f>
        <v>2380</v>
      </c>
      <c r="Q538">
        <v>666</v>
      </c>
      <c r="R538" s="11">
        <v>6.3428571428571404E-2</v>
      </c>
      <c r="S538" s="11">
        <f>INDEX(Raw_product_master[Target_Margin], MATCH(Cleaned_Sales_data[[#This Row],[Product]],Raw_product_master[Product], 0 ))</f>
        <v>0.2</v>
      </c>
      <c r="T538" t="str">
        <f>IF(Cleaned_Sales_data[[#This Row],[Profit]]&gt;0, "Profitable", "Loss")</f>
        <v>Profitable</v>
      </c>
      <c r="U538" t="str">
        <f>_xlfn.IFS(Cleaned_Sales_data[[#This Row],[Profit]]&gt;=10000, "High", Cleaned_Sales_data[[#This Row],[Profit]]&gt;=5000, "Medium", Cleaned_Sales_data[[#This Row],[Profit]]&gt;=0, "Low", Cleaned_Sales_data[[#This Row],[Profit]] &lt;0, "Loss")</f>
        <v>Low</v>
      </c>
      <c r="V538" t="str">
        <f t="shared" si="8"/>
        <v>UnderPerforming</v>
      </c>
      <c r="W538" s="3">
        <v>45992</v>
      </c>
    </row>
    <row r="539" spans="1:23">
      <c r="A539" t="s">
        <v>355</v>
      </c>
      <c r="B539" s="3">
        <v>45946</v>
      </c>
      <c r="C539" t="s">
        <v>46</v>
      </c>
      <c r="D539" t="str">
        <f>INDEX(Raw_product_master[Category],MATCH(Cleaned_Sales_data[[#This Row],[Product]],Raw_product_master[Product],0))</f>
        <v>Office Equipment</v>
      </c>
      <c r="E539" t="s">
        <v>31</v>
      </c>
      <c r="F539" t="s">
        <v>26</v>
      </c>
      <c r="G539" t="s">
        <v>35</v>
      </c>
      <c r="H539">
        <v>2</v>
      </c>
      <c r="I539">
        <v>18000</v>
      </c>
      <c r="J539" s="10">
        <v>0.1</v>
      </c>
      <c r="K539">
        <v>36000</v>
      </c>
      <c r="L539">
        <v>32400</v>
      </c>
      <c r="M539">
        <v>28800</v>
      </c>
      <c r="N539">
        <v>819</v>
      </c>
      <c r="O539">
        <v>1774</v>
      </c>
      <c r="P539">
        <f>INDEX(Raw_product_master[Standard_Cost_Per_Unit],MATCH(Cleaned_Sales_data[[#This Row],[Product]],Raw_product_master[Product],0))</f>
        <v>14400</v>
      </c>
      <c r="Q539">
        <v>1007</v>
      </c>
      <c r="R539" s="11">
        <v>3.10802469135802E-2</v>
      </c>
      <c r="S539" s="11">
        <f>INDEX(Raw_product_master[Target_Margin], MATCH(Cleaned_Sales_data[[#This Row],[Product]],Raw_product_master[Product], 0 ))</f>
        <v>0.15</v>
      </c>
      <c r="T539" t="str">
        <f>IF(Cleaned_Sales_data[[#This Row],[Profit]]&gt;0, "Profitable", "Loss")</f>
        <v>Profitable</v>
      </c>
      <c r="U539" t="str">
        <f>_xlfn.IFS(Cleaned_Sales_data[[#This Row],[Profit]]&gt;=10000, "High", Cleaned_Sales_data[[#This Row],[Profit]]&gt;=5000, "Medium", Cleaned_Sales_data[[#This Row],[Profit]]&gt;=0, "Low", Cleaned_Sales_data[[#This Row],[Profit]] &lt;0, "Loss")</f>
        <v>Low</v>
      </c>
      <c r="V539" t="str">
        <f t="shared" si="8"/>
        <v>UnderPerforming</v>
      </c>
      <c r="W539" s="3">
        <v>45931</v>
      </c>
    </row>
    <row r="540" spans="1:23">
      <c r="A540" t="s">
        <v>381</v>
      </c>
      <c r="B540" s="3">
        <v>46107</v>
      </c>
      <c r="C540" t="s">
        <v>75</v>
      </c>
      <c r="D540" t="str">
        <f>INDEX(Raw_product_master[Category],MATCH(Cleaned_Sales_data[[#This Row],[Product]],Raw_product_master[Product],0))</f>
        <v>Computers</v>
      </c>
      <c r="E540" t="s">
        <v>19</v>
      </c>
      <c r="F540" t="s">
        <v>26</v>
      </c>
      <c r="G540" t="s">
        <v>35</v>
      </c>
      <c r="H540">
        <v>3</v>
      </c>
      <c r="I540">
        <v>65000</v>
      </c>
      <c r="J540" s="10">
        <v>0.05</v>
      </c>
      <c r="K540">
        <v>195000</v>
      </c>
      <c r="L540">
        <v>185250</v>
      </c>
      <c r="M540">
        <v>163800</v>
      </c>
      <c r="N540">
        <v>304</v>
      </c>
      <c r="O540">
        <v>301</v>
      </c>
      <c r="P540">
        <f>INDEX(Raw_product_master[Standard_Cost_Per_Unit],MATCH(Cleaned_Sales_data[[#This Row],[Product]],Raw_product_master[Product],0))</f>
        <v>54600</v>
      </c>
      <c r="Q540">
        <v>20845</v>
      </c>
      <c r="R540" s="11">
        <v>0.112523616734143</v>
      </c>
      <c r="S540" s="11">
        <f>INDEX(Raw_product_master[Target_Margin], MATCH(Cleaned_Sales_data[[#This Row],[Product]],Raw_product_master[Product], 0 ))</f>
        <v>0.12</v>
      </c>
      <c r="T540" t="str">
        <f>IF(Cleaned_Sales_data[[#This Row],[Profit]]&gt;0, "Profitable", "Loss")</f>
        <v>Profitable</v>
      </c>
      <c r="U540" t="str">
        <f>_xlfn.IFS(Cleaned_Sales_data[[#This Row],[Profit]]&gt;=10000, "High", Cleaned_Sales_data[[#This Row],[Profit]]&gt;=5000, "Medium", Cleaned_Sales_data[[#This Row],[Profit]]&gt;=0, "Low", Cleaned_Sales_data[[#This Row],[Profit]] &lt;0, "Loss")</f>
        <v>High</v>
      </c>
      <c r="V540" t="str">
        <f t="shared" si="8"/>
        <v>UnderPerforming</v>
      </c>
      <c r="W540" s="3">
        <v>46082</v>
      </c>
    </row>
    <row r="541" spans="1:23">
      <c r="A541" t="s">
        <v>384</v>
      </c>
      <c r="B541" s="3">
        <v>45870</v>
      </c>
      <c r="C541" t="s">
        <v>75</v>
      </c>
      <c r="D541" t="str">
        <f>INDEX(Raw_product_master[Category],MATCH(Cleaned_Sales_data[[#This Row],[Product]],Raw_product_master[Product],0))</f>
        <v>Computers</v>
      </c>
      <c r="E541" t="s">
        <v>34</v>
      </c>
      <c r="F541" t="s">
        <v>26</v>
      </c>
      <c r="G541" t="s">
        <v>35</v>
      </c>
      <c r="H541">
        <v>3</v>
      </c>
      <c r="I541">
        <v>65000</v>
      </c>
      <c r="J541" s="10">
        <v>0.08</v>
      </c>
      <c r="K541">
        <v>195000</v>
      </c>
      <c r="L541">
        <v>179400</v>
      </c>
      <c r="M541">
        <v>163800</v>
      </c>
      <c r="N541">
        <v>1185</v>
      </c>
      <c r="O541">
        <v>1480</v>
      </c>
      <c r="P541">
        <f>INDEX(Raw_product_master[Standard_Cost_Per_Unit],MATCH(Cleaned_Sales_data[[#This Row],[Product]],Raw_product_master[Product],0))</f>
        <v>54600</v>
      </c>
      <c r="Q541">
        <v>12935</v>
      </c>
      <c r="R541" s="11">
        <v>7.21014492753623E-2</v>
      </c>
      <c r="S541" s="11">
        <f>INDEX(Raw_product_master[Target_Margin], MATCH(Cleaned_Sales_data[[#This Row],[Product]],Raw_product_master[Product], 0 ))</f>
        <v>0.12</v>
      </c>
      <c r="T541" t="str">
        <f>IF(Cleaned_Sales_data[[#This Row],[Profit]]&gt;0, "Profitable", "Loss")</f>
        <v>Profitable</v>
      </c>
      <c r="U541" t="str">
        <f>_xlfn.IFS(Cleaned_Sales_data[[#This Row],[Profit]]&gt;=10000, "High", Cleaned_Sales_data[[#This Row],[Profit]]&gt;=5000, "Medium", Cleaned_Sales_data[[#This Row],[Profit]]&gt;=0, "Low", Cleaned_Sales_data[[#This Row],[Profit]] &lt;0, "Loss")</f>
        <v>High</v>
      </c>
      <c r="V541" t="str">
        <f t="shared" si="8"/>
        <v>UnderPerforming</v>
      </c>
      <c r="W541" s="3">
        <v>45870</v>
      </c>
    </row>
    <row r="542" spans="1:23">
      <c r="A542" t="s">
        <v>408</v>
      </c>
      <c r="B542" s="3">
        <v>45761</v>
      </c>
      <c r="C542" t="s">
        <v>53</v>
      </c>
      <c r="D542" t="str">
        <f>INDEX(Raw_product_master[Category],MATCH(Cleaned_Sales_data[[#This Row],[Product]],Raw_product_master[Product],0))</f>
        <v>Accessories</v>
      </c>
      <c r="E542" t="s">
        <v>63</v>
      </c>
      <c r="F542" t="s">
        <v>26</v>
      </c>
      <c r="G542" t="s">
        <v>35</v>
      </c>
      <c r="H542">
        <v>1</v>
      </c>
      <c r="I542">
        <v>1500</v>
      </c>
      <c r="J542" s="10">
        <v>0.1</v>
      </c>
      <c r="K542">
        <v>1500</v>
      </c>
      <c r="L542">
        <v>1350</v>
      </c>
      <c r="M542">
        <v>825</v>
      </c>
      <c r="N542">
        <v>746</v>
      </c>
      <c r="O542">
        <v>2341</v>
      </c>
      <c r="P542">
        <f>INDEX(Raw_product_master[Standard_Cost_Per_Unit],MATCH(Cleaned_Sales_data[[#This Row],[Product]],Raw_product_master[Product],0))</f>
        <v>825</v>
      </c>
      <c r="Q542">
        <v>-2562</v>
      </c>
      <c r="R542" s="11">
        <v>-1.89777777777778</v>
      </c>
      <c r="S542" s="11">
        <f>INDEX(Raw_product_master[Target_Margin], MATCH(Cleaned_Sales_data[[#This Row],[Product]],Raw_product_master[Product], 0 ))</f>
        <v>0.3</v>
      </c>
      <c r="T542" t="str">
        <f>IF(Cleaned_Sales_data[[#This Row],[Profit]]&gt;0, "Profitable", "Loss")</f>
        <v>Loss</v>
      </c>
      <c r="U542" t="str">
        <f>_xlfn.IFS(Cleaned_Sales_data[[#This Row],[Profit]]&gt;=10000, "High", Cleaned_Sales_data[[#This Row],[Profit]]&gt;=5000, "Medium", Cleaned_Sales_data[[#This Row],[Profit]]&gt;=0, "Low", Cleaned_Sales_data[[#This Row],[Profit]] &lt;0, "Loss")</f>
        <v>Loss</v>
      </c>
      <c r="V542" t="str">
        <f t="shared" si="8"/>
        <v>UnderPerforming</v>
      </c>
      <c r="W542" s="3">
        <v>45748</v>
      </c>
    </row>
    <row r="543" spans="1:23">
      <c r="A543" t="s">
        <v>417</v>
      </c>
      <c r="B543" s="3">
        <v>45753</v>
      </c>
      <c r="C543" t="s">
        <v>75</v>
      </c>
      <c r="D543" t="str">
        <f>INDEX(Raw_product_master[Category],MATCH(Cleaned_Sales_data[[#This Row],[Product]],Raw_product_master[Product],0))</f>
        <v>Computers</v>
      </c>
      <c r="E543" t="s">
        <v>34</v>
      </c>
      <c r="F543" t="s">
        <v>26</v>
      </c>
      <c r="G543" t="s">
        <v>35</v>
      </c>
      <c r="H543">
        <v>3</v>
      </c>
      <c r="I543">
        <v>65000</v>
      </c>
      <c r="J543" s="10">
        <v>0.03</v>
      </c>
      <c r="K543">
        <v>195000</v>
      </c>
      <c r="L543">
        <v>189150</v>
      </c>
      <c r="M543">
        <v>163800</v>
      </c>
      <c r="N543">
        <v>1377</v>
      </c>
      <c r="O543">
        <v>1909</v>
      </c>
      <c r="P543">
        <f>INDEX(Raw_product_master[Standard_Cost_Per_Unit],MATCH(Cleaned_Sales_data[[#This Row],[Product]],Raw_product_master[Product],0))</f>
        <v>54600</v>
      </c>
      <c r="Q543">
        <v>22064</v>
      </c>
      <c r="R543" s="11">
        <v>0.11664816283373</v>
      </c>
      <c r="S543" s="11">
        <f>INDEX(Raw_product_master[Target_Margin], MATCH(Cleaned_Sales_data[[#This Row],[Product]],Raw_product_master[Product], 0 ))</f>
        <v>0.12</v>
      </c>
      <c r="T543" t="str">
        <f>IF(Cleaned_Sales_data[[#This Row],[Profit]]&gt;0, "Profitable", "Loss")</f>
        <v>Profitable</v>
      </c>
      <c r="U543" t="str">
        <f>_xlfn.IFS(Cleaned_Sales_data[[#This Row],[Profit]]&gt;=10000, "High", Cleaned_Sales_data[[#This Row],[Profit]]&gt;=5000, "Medium", Cleaned_Sales_data[[#This Row],[Profit]]&gt;=0, "Low", Cleaned_Sales_data[[#This Row],[Profit]] &lt;0, "Loss")</f>
        <v>High</v>
      </c>
      <c r="V543" t="str">
        <f t="shared" si="8"/>
        <v>UnderPerforming</v>
      </c>
      <c r="W543" s="3">
        <v>45748</v>
      </c>
    </row>
    <row r="544" spans="1:23">
      <c r="A544" t="s">
        <v>425</v>
      </c>
      <c r="B544" s="3">
        <v>45806</v>
      </c>
      <c r="C544" t="s">
        <v>18</v>
      </c>
      <c r="D544" t="str">
        <f>INDEX(Raw_product_master[Category],MATCH(Cleaned_Sales_data[[#This Row],[Product]],Raw_product_master[Product],0))</f>
        <v>Computers</v>
      </c>
      <c r="E544" t="s">
        <v>31</v>
      </c>
      <c r="F544" t="s">
        <v>26</v>
      </c>
      <c r="G544" t="s">
        <v>35</v>
      </c>
      <c r="H544">
        <v>2</v>
      </c>
      <c r="I544">
        <v>32000</v>
      </c>
      <c r="J544" s="10">
        <v>0.1</v>
      </c>
      <c r="K544">
        <v>64000</v>
      </c>
      <c r="L544">
        <v>57600</v>
      </c>
      <c r="M544">
        <v>52480</v>
      </c>
      <c r="N544">
        <v>525</v>
      </c>
      <c r="O544">
        <v>1039</v>
      </c>
      <c r="P544">
        <f>INDEX(Raw_product_master[Standard_Cost_Per_Unit],MATCH(Cleaned_Sales_data[[#This Row],[Product]],Raw_product_master[Product],0))</f>
        <v>26240</v>
      </c>
      <c r="Q544">
        <v>3556</v>
      </c>
      <c r="R544" s="11">
        <v>6.1736111111111103E-2</v>
      </c>
      <c r="S544" s="11">
        <f>INDEX(Raw_product_master[Target_Margin], MATCH(Cleaned_Sales_data[[#This Row],[Product]],Raw_product_master[Product], 0 ))</f>
        <v>0.12</v>
      </c>
      <c r="T544" t="str">
        <f>IF(Cleaned_Sales_data[[#This Row],[Profit]]&gt;0, "Profitable", "Loss")</f>
        <v>Profitable</v>
      </c>
      <c r="U544" t="str">
        <f>_xlfn.IFS(Cleaned_Sales_data[[#This Row],[Profit]]&gt;=10000, "High", Cleaned_Sales_data[[#This Row],[Profit]]&gt;=5000, "Medium", Cleaned_Sales_data[[#This Row],[Profit]]&gt;=0, "Low", Cleaned_Sales_data[[#This Row],[Profit]] &lt;0, "Loss")</f>
        <v>Low</v>
      </c>
      <c r="V544" t="str">
        <f t="shared" si="8"/>
        <v>UnderPerforming</v>
      </c>
      <c r="W544" s="3">
        <v>45778</v>
      </c>
    </row>
    <row r="545" spans="1:23">
      <c r="A545" t="s">
        <v>438</v>
      </c>
      <c r="B545" s="3">
        <v>46079</v>
      </c>
      <c r="C545" t="s">
        <v>24</v>
      </c>
      <c r="D545" t="str">
        <f>INDEX(Raw_product_master[Category],MATCH(Cleaned_Sales_data[[#This Row],[Product]],Raw_product_master[Product],0))</f>
        <v>Accessories</v>
      </c>
      <c r="E545" t="s">
        <v>19</v>
      </c>
      <c r="F545" t="s">
        <v>26</v>
      </c>
      <c r="G545" t="s">
        <v>35</v>
      </c>
      <c r="H545">
        <v>4</v>
      </c>
      <c r="I545">
        <v>3500</v>
      </c>
      <c r="J545" s="10">
        <v>0.08</v>
      </c>
      <c r="K545">
        <v>14000</v>
      </c>
      <c r="L545">
        <v>12880</v>
      </c>
      <c r="M545">
        <v>9520</v>
      </c>
      <c r="N545">
        <v>658</v>
      </c>
      <c r="O545">
        <v>2395</v>
      </c>
      <c r="P545">
        <f>INDEX(Raw_product_master[Standard_Cost_Per_Unit],MATCH(Cleaned_Sales_data[[#This Row],[Product]],Raw_product_master[Product],0))</f>
        <v>2380</v>
      </c>
      <c r="Q545">
        <v>307</v>
      </c>
      <c r="R545" s="11">
        <v>2.3835403726708101E-2</v>
      </c>
      <c r="S545" s="11">
        <f>INDEX(Raw_product_master[Target_Margin], MATCH(Cleaned_Sales_data[[#This Row],[Product]],Raw_product_master[Product], 0 ))</f>
        <v>0.2</v>
      </c>
      <c r="T545" t="str">
        <f>IF(Cleaned_Sales_data[[#This Row],[Profit]]&gt;0, "Profitable", "Loss")</f>
        <v>Profitable</v>
      </c>
      <c r="U545" t="str">
        <f>_xlfn.IFS(Cleaned_Sales_data[[#This Row],[Profit]]&gt;=10000, "High", Cleaned_Sales_data[[#This Row],[Profit]]&gt;=5000, "Medium", Cleaned_Sales_data[[#This Row],[Profit]]&gt;=0, "Low", Cleaned_Sales_data[[#This Row],[Profit]] &lt;0, "Loss")</f>
        <v>Low</v>
      </c>
      <c r="V545" t="str">
        <f t="shared" si="8"/>
        <v>UnderPerforming</v>
      </c>
      <c r="W545" s="3">
        <v>46054</v>
      </c>
    </row>
    <row r="546" spans="1:23">
      <c r="A546" t="s">
        <v>447</v>
      </c>
      <c r="B546" s="3">
        <v>46108</v>
      </c>
      <c r="C546" t="s">
        <v>46</v>
      </c>
      <c r="D546" t="str">
        <f>INDEX(Raw_product_master[Category],MATCH(Cleaned_Sales_data[[#This Row],[Product]],Raw_product_master[Product],0))</f>
        <v>Office Equipment</v>
      </c>
      <c r="E546" t="s">
        <v>31</v>
      </c>
      <c r="F546" t="s">
        <v>26</v>
      </c>
      <c r="G546" t="s">
        <v>35</v>
      </c>
      <c r="H546">
        <v>3</v>
      </c>
      <c r="I546">
        <v>18000</v>
      </c>
      <c r="J546" s="10">
        <v>0.03</v>
      </c>
      <c r="K546">
        <v>54000</v>
      </c>
      <c r="L546">
        <v>52380</v>
      </c>
      <c r="M546">
        <v>43200</v>
      </c>
      <c r="N546">
        <v>1378</v>
      </c>
      <c r="O546">
        <v>448</v>
      </c>
      <c r="P546">
        <f>INDEX(Raw_product_master[Standard_Cost_Per_Unit],MATCH(Cleaned_Sales_data[[#This Row],[Product]],Raw_product_master[Product],0))</f>
        <v>14400</v>
      </c>
      <c r="Q546">
        <v>7354</v>
      </c>
      <c r="R546" s="11">
        <v>0.14039709812905701</v>
      </c>
      <c r="S546" s="11">
        <f>INDEX(Raw_product_master[Target_Margin], MATCH(Cleaned_Sales_data[[#This Row],[Product]],Raw_product_master[Product], 0 ))</f>
        <v>0.15</v>
      </c>
      <c r="T546" t="str">
        <f>IF(Cleaned_Sales_data[[#This Row],[Profit]]&gt;0, "Profitable", "Loss")</f>
        <v>Profitable</v>
      </c>
      <c r="U546" t="str">
        <f>_xlfn.IFS(Cleaned_Sales_data[[#This Row],[Profit]]&gt;=10000, "High", Cleaned_Sales_data[[#This Row],[Profit]]&gt;=5000, "Medium", Cleaned_Sales_data[[#This Row],[Profit]]&gt;=0, "Low", Cleaned_Sales_data[[#This Row],[Profit]] &lt;0, "Loss")</f>
        <v>Medium</v>
      </c>
      <c r="V546" t="str">
        <f t="shared" si="8"/>
        <v>UnderPerforming</v>
      </c>
      <c r="W546" s="3">
        <v>46082</v>
      </c>
    </row>
    <row r="547" spans="1:23">
      <c r="A547" t="s">
        <v>448</v>
      </c>
      <c r="B547" s="3">
        <v>45786</v>
      </c>
      <c r="C547" t="s">
        <v>75</v>
      </c>
      <c r="D547" t="str">
        <f>INDEX(Raw_product_master[Category],MATCH(Cleaned_Sales_data[[#This Row],[Product]],Raw_product_master[Product],0))</f>
        <v>Computers</v>
      </c>
      <c r="E547" t="s">
        <v>63</v>
      </c>
      <c r="F547" t="s">
        <v>26</v>
      </c>
      <c r="G547" t="s">
        <v>35</v>
      </c>
      <c r="H547">
        <v>2</v>
      </c>
      <c r="I547">
        <v>65000</v>
      </c>
      <c r="J547" s="10">
        <v>0.05</v>
      </c>
      <c r="K547">
        <v>130000</v>
      </c>
      <c r="L547">
        <v>123500</v>
      </c>
      <c r="M547">
        <v>109200</v>
      </c>
      <c r="N547">
        <v>866</v>
      </c>
      <c r="O547">
        <v>1622</v>
      </c>
      <c r="P547">
        <f>INDEX(Raw_product_master[Standard_Cost_Per_Unit],MATCH(Cleaned_Sales_data[[#This Row],[Product]],Raw_product_master[Product],0))</f>
        <v>54600</v>
      </c>
      <c r="Q547">
        <v>11812</v>
      </c>
      <c r="R547" s="11">
        <v>9.5643724696356305E-2</v>
      </c>
      <c r="S547" s="11">
        <f>INDEX(Raw_product_master[Target_Margin], MATCH(Cleaned_Sales_data[[#This Row],[Product]],Raw_product_master[Product], 0 ))</f>
        <v>0.12</v>
      </c>
      <c r="T547" t="str">
        <f>IF(Cleaned_Sales_data[[#This Row],[Profit]]&gt;0, "Profitable", "Loss")</f>
        <v>Profitable</v>
      </c>
      <c r="U547" t="str">
        <f>_xlfn.IFS(Cleaned_Sales_data[[#This Row],[Profit]]&gt;=10000, "High", Cleaned_Sales_data[[#This Row],[Profit]]&gt;=5000, "Medium", Cleaned_Sales_data[[#This Row],[Profit]]&gt;=0, "Low", Cleaned_Sales_data[[#This Row],[Profit]] &lt;0, "Loss")</f>
        <v>High</v>
      </c>
      <c r="V547" t="str">
        <f t="shared" si="8"/>
        <v>UnderPerforming</v>
      </c>
      <c r="W547" s="3">
        <v>45778</v>
      </c>
    </row>
    <row r="548" spans="1:23">
      <c r="A548" t="s">
        <v>449</v>
      </c>
      <c r="B548" s="3">
        <v>45773</v>
      </c>
      <c r="C548" t="s">
        <v>53</v>
      </c>
      <c r="D548" t="str">
        <f>INDEX(Raw_product_master[Category],MATCH(Cleaned_Sales_data[[#This Row],[Product]],Raw_product_master[Product],0))</f>
        <v>Accessories</v>
      </c>
      <c r="E548" t="s">
        <v>51</v>
      </c>
      <c r="F548" t="s">
        <v>26</v>
      </c>
      <c r="G548" t="s">
        <v>35</v>
      </c>
      <c r="H548">
        <v>4</v>
      </c>
      <c r="I548">
        <v>1500</v>
      </c>
      <c r="J548" s="10">
        <v>0.1</v>
      </c>
      <c r="K548">
        <v>6000</v>
      </c>
      <c r="L548">
        <v>5400</v>
      </c>
      <c r="M548">
        <v>3300</v>
      </c>
      <c r="N548">
        <v>1582</v>
      </c>
      <c r="O548">
        <v>373</v>
      </c>
      <c r="P548">
        <f>INDEX(Raw_product_master[Standard_Cost_Per_Unit],MATCH(Cleaned_Sales_data[[#This Row],[Product]],Raw_product_master[Product],0))</f>
        <v>825</v>
      </c>
      <c r="Q548">
        <v>145</v>
      </c>
      <c r="R548" s="11">
        <v>2.68518518518518E-2</v>
      </c>
      <c r="S548" s="11">
        <f>INDEX(Raw_product_master[Target_Margin], MATCH(Cleaned_Sales_data[[#This Row],[Product]],Raw_product_master[Product], 0 ))</f>
        <v>0.3</v>
      </c>
      <c r="T548" t="str">
        <f>IF(Cleaned_Sales_data[[#This Row],[Profit]]&gt;0, "Profitable", "Loss")</f>
        <v>Profitable</v>
      </c>
      <c r="U548" t="str">
        <f>_xlfn.IFS(Cleaned_Sales_data[[#This Row],[Profit]]&gt;=10000, "High", Cleaned_Sales_data[[#This Row],[Profit]]&gt;=5000, "Medium", Cleaned_Sales_data[[#This Row],[Profit]]&gt;=0, "Low", Cleaned_Sales_data[[#This Row],[Profit]] &lt;0, "Loss")</f>
        <v>Low</v>
      </c>
      <c r="V548" t="str">
        <f t="shared" si="8"/>
        <v>UnderPerforming</v>
      </c>
      <c r="W548" s="3">
        <v>45748</v>
      </c>
    </row>
    <row r="549" spans="1:23">
      <c r="A549" t="s">
        <v>451</v>
      </c>
      <c r="B549" s="3">
        <v>45935</v>
      </c>
      <c r="C549" t="s">
        <v>75</v>
      </c>
      <c r="D549" t="str">
        <f>INDEX(Raw_product_master[Category],MATCH(Cleaned_Sales_data[[#This Row],[Product]],Raw_product_master[Product],0))</f>
        <v>Computers</v>
      </c>
      <c r="E549" t="s">
        <v>25</v>
      </c>
      <c r="F549" t="s">
        <v>26</v>
      </c>
      <c r="G549" t="s">
        <v>35</v>
      </c>
      <c r="H549">
        <v>1</v>
      </c>
      <c r="I549">
        <v>65000</v>
      </c>
      <c r="J549" s="10">
        <v>0.03</v>
      </c>
      <c r="K549">
        <v>65000</v>
      </c>
      <c r="L549">
        <v>63050</v>
      </c>
      <c r="M549">
        <v>54600</v>
      </c>
      <c r="N549">
        <v>1416</v>
      </c>
      <c r="O549">
        <v>1524</v>
      </c>
      <c r="P549">
        <f>INDEX(Raw_product_master[Standard_Cost_Per_Unit],MATCH(Cleaned_Sales_data[[#This Row],[Product]],Raw_product_master[Product],0))</f>
        <v>54600</v>
      </c>
      <c r="Q549">
        <v>5510</v>
      </c>
      <c r="R549" s="11">
        <v>8.7390959555908004E-2</v>
      </c>
      <c r="S549" s="11">
        <f>INDEX(Raw_product_master[Target_Margin], MATCH(Cleaned_Sales_data[[#This Row],[Product]],Raw_product_master[Product], 0 ))</f>
        <v>0.12</v>
      </c>
      <c r="T549" t="str">
        <f>IF(Cleaned_Sales_data[[#This Row],[Profit]]&gt;0, "Profitable", "Loss")</f>
        <v>Profitable</v>
      </c>
      <c r="U549" t="str">
        <f>_xlfn.IFS(Cleaned_Sales_data[[#This Row],[Profit]]&gt;=10000, "High", Cleaned_Sales_data[[#This Row],[Profit]]&gt;=5000, "Medium", Cleaned_Sales_data[[#This Row],[Profit]]&gt;=0, "Low", Cleaned_Sales_data[[#This Row],[Profit]] &lt;0, "Loss")</f>
        <v>Medium</v>
      </c>
      <c r="V549" t="str">
        <f t="shared" si="8"/>
        <v>UnderPerforming</v>
      </c>
      <c r="W549" s="3">
        <v>45931</v>
      </c>
    </row>
    <row r="550" spans="1:23">
      <c r="A550" t="s">
        <v>452</v>
      </c>
      <c r="B550" s="3">
        <v>45756</v>
      </c>
      <c r="C550" t="s">
        <v>53</v>
      </c>
      <c r="D550" t="str">
        <f>INDEX(Raw_product_master[Category],MATCH(Cleaned_Sales_data[[#This Row],[Product]],Raw_product_master[Product],0))</f>
        <v>Accessories</v>
      </c>
      <c r="E550" t="s">
        <v>31</v>
      </c>
      <c r="F550" t="s">
        <v>26</v>
      </c>
      <c r="G550" t="s">
        <v>35</v>
      </c>
      <c r="H550">
        <v>5</v>
      </c>
      <c r="I550">
        <v>1500</v>
      </c>
      <c r="J550" s="10">
        <v>0.1</v>
      </c>
      <c r="K550">
        <v>7500</v>
      </c>
      <c r="L550">
        <v>6750</v>
      </c>
      <c r="M550">
        <v>4125</v>
      </c>
      <c r="N550">
        <v>1023</v>
      </c>
      <c r="O550">
        <v>1046</v>
      </c>
      <c r="P550">
        <f>INDEX(Raw_product_master[Standard_Cost_Per_Unit],MATCH(Cleaned_Sales_data[[#This Row],[Product]],Raw_product_master[Product],0))</f>
        <v>825</v>
      </c>
      <c r="Q550">
        <v>556</v>
      </c>
      <c r="R550" s="11">
        <v>8.2370370370370399E-2</v>
      </c>
      <c r="S550" s="11">
        <f>INDEX(Raw_product_master[Target_Margin], MATCH(Cleaned_Sales_data[[#This Row],[Product]],Raw_product_master[Product], 0 ))</f>
        <v>0.3</v>
      </c>
      <c r="T550" t="str">
        <f>IF(Cleaned_Sales_data[[#This Row],[Profit]]&gt;0, "Profitable", "Loss")</f>
        <v>Profitable</v>
      </c>
      <c r="U550" t="str">
        <f>_xlfn.IFS(Cleaned_Sales_data[[#This Row],[Profit]]&gt;=10000, "High", Cleaned_Sales_data[[#This Row],[Profit]]&gt;=5000, "Medium", Cleaned_Sales_data[[#This Row],[Profit]]&gt;=0, "Low", Cleaned_Sales_data[[#This Row],[Profit]] &lt;0, "Loss")</f>
        <v>Low</v>
      </c>
      <c r="V550" t="str">
        <f t="shared" si="8"/>
        <v>UnderPerforming</v>
      </c>
      <c r="W550" s="3">
        <v>45748</v>
      </c>
    </row>
    <row r="551" spans="1:23">
      <c r="A551" t="s">
        <v>472</v>
      </c>
      <c r="B551" s="3">
        <v>45940</v>
      </c>
      <c r="C551" t="s">
        <v>75</v>
      </c>
      <c r="D551" t="str">
        <f>INDEX(Raw_product_master[Category],MATCH(Cleaned_Sales_data[[#This Row],[Product]],Raw_product_master[Product],0))</f>
        <v>Computers</v>
      </c>
      <c r="E551" t="s">
        <v>31</v>
      </c>
      <c r="F551" t="s">
        <v>26</v>
      </c>
      <c r="G551" t="s">
        <v>35</v>
      </c>
      <c r="H551">
        <v>1</v>
      </c>
      <c r="I551">
        <v>65000</v>
      </c>
      <c r="J551" s="10">
        <v>0</v>
      </c>
      <c r="K551">
        <v>65000</v>
      </c>
      <c r="L551">
        <v>65000</v>
      </c>
      <c r="M551">
        <v>54600</v>
      </c>
      <c r="N551">
        <v>1788</v>
      </c>
      <c r="O551">
        <v>2478</v>
      </c>
      <c r="P551">
        <f>INDEX(Raw_product_master[Standard_Cost_Per_Unit],MATCH(Cleaned_Sales_data[[#This Row],[Product]],Raw_product_master[Product],0))</f>
        <v>54600</v>
      </c>
      <c r="Q551">
        <v>6134</v>
      </c>
      <c r="R551" s="11">
        <v>9.4369230769230802E-2</v>
      </c>
      <c r="S551" s="11">
        <f>INDEX(Raw_product_master[Target_Margin], MATCH(Cleaned_Sales_data[[#This Row],[Product]],Raw_product_master[Product], 0 ))</f>
        <v>0.12</v>
      </c>
      <c r="T551" t="str">
        <f>IF(Cleaned_Sales_data[[#This Row],[Profit]]&gt;0, "Profitable", "Loss")</f>
        <v>Profitable</v>
      </c>
      <c r="U551" t="str">
        <f>_xlfn.IFS(Cleaned_Sales_data[[#This Row],[Profit]]&gt;=10000, "High", Cleaned_Sales_data[[#This Row],[Profit]]&gt;=5000, "Medium", Cleaned_Sales_data[[#This Row],[Profit]]&gt;=0, "Low", Cleaned_Sales_data[[#This Row],[Profit]] &lt;0, "Loss")</f>
        <v>Medium</v>
      </c>
      <c r="V551" t="str">
        <f t="shared" si="8"/>
        <v>UnderPerforming</v>
      </c>
      <c r="W551" s="3">
        <v>45931</v>
      </c>
    </row>
    <row r="552" spans="1:23">
      <c r="A552" t="s">
        <v>473</v>
      </c>
      <c r="B552" s="3">
        <v>45707</v>
      </c>
      <c r="C552" t="s">
        <v>75</v>
      </c>
      <c r="D552" t="str">
        <f>INDEX(Raw_product_master[Category],MATCH(Cleaned_Sales_data[[#This Row],[Product]],Raw_product_master[Product],0))</f>
        <v>Computers</v>
      </c>
      <c r="E552" t="s">
        <v>63</v>
      </c>
      <c r="F552" t="s">
        <v>26</v>
      </c>
      <c r="G552" t="s">
        <v>35</v>
      </c>
      <c r="H552">
        <v>2</v>
      </c>
      <c r="I552">
        <v>65000</v>
      </c>
      <c r="J552" s="10">
        <v>0.08</v>
      </c>
      <c r="K552">
        <v>130000</v>
      </c>
      <c r="L552">
        <v>119600</v>
      </c>
      <c r="M552">
        <v>109200</v>
      </c>
      <c r="N552">
        <v>1087</v>
      </c>
      <c r="O552">
        <v>1441</v>
      </c>
      <c r="P552">
        <f>INDEX(Raw_product_master[Standard_Cost_Per_Unit],MATCH(Cleaned_Sales_data[[#This Row],[Product]],Raw_product_master[Product],0))</f>
        <v>54600</v>
      </c>
      <c r="Q552">
        <v>7872</v>
      </c>
      <c r="R552" s="11">
        <v>6.5819397993311005E-2</v>
      </c>
      <c r="S552" s="11">
        <f>INDEX(Raw_product_master[Target_Margin], MATCH(Cleaned_Sales_data[[#This Row],[Product]],Raw_product_master[Product], 0 ))</f>
        <v>0.12</v>
      </c>
      <c r="T552" t="str">
        <f>IF(Cleaned_Sales_data[[#This Row],[Profit]]&gt;0, "Profitable", "Loss")</f>
        <v>Profitable</v>
      </c>
      <c r="U552" t="str">
        <f>_xlfn.IFS(Cleaned_Sales_data[[#This Row],[Profit]]&gt;=10000, "High", Cleaned_Sales_data[[#This Row],[Profit]]&gt;=5000, "Medium", Cleaned_Sales_data[[#This Row],[Profit]]&gt;=0, "Low", Cleaned_Sales_data[[#This Row],[Profit]] &lt;0, "Loss")</f>
        <v>Medium</v>
      </c>
      <c r="V552" t="str">
        <f t="shared" si="8"/>
        <v>UnderPerforming</v>
      </c>
      <c r="W552" s="3">
        <v>45689</v>
      </c>
    </row>
    <row r="553" spans="1:23">
      <c r="A553" t="s">
        <v>480</v>
      </c>
      <c r="B553" s="3">
        <v>45966</v>
      </c>
      <c r="C553" t="s">
        <v>53</v>
      </c>
      <c r="D553" t="str">
        <f>INDEX(Raw_product_master[Category],MATCH(Cleaned_Sales_data[[#This Row],[Product]],Raw_product_master[Product],0))</f>
        <v>Accessories</v>
      </c>
      <c r="E553" t="s">
        <v>25</v>
      </c>
      <c r="F553" t="s">
        <v>26</v>
      </c>
      <c r="G553" t="s">
        <v>35</v>
      </c>
      <c r="H553">
        <v>4</v>
      </c>
      <c r="I553">
        <v>1500</v>
      </c>
      <c r="J553" s="10">
        <v>0.05</v>
      </c>
      <c r="K553">
        <v>6000</v>
      </c>
      <c r="L553">
        <v>5700</v>
      </c>
      <c r="M553">
        <v>3300</v>
      </c>
      <c r="N553">
        <v>1706</v>
      </c>
      <c r="O553">
        <v>1537</v>
      </c>
      <c r="P553">
        <f>INDEX(Raw_product_master[Standard_Cost_Per_Unit],MATCH(Cleaned_Sales_data[[#This Row],[Product]],Raw_product_master[Product],0))</f>
        <v>825</v>
      </c>
      <c r="Q553">
        <v>-843</v>
      </c>
      <c r="R553" s="11">
        <v>-0.147894736842105</v>
      </c>
      <c r="S553" s="11">
        <f>INDEX(Raw_product_master[Target_Margin], MATCH(Cleaned_Sales_data[[#This Row],[Product]],Raw_product_master[Product], 0 ))</f>
        <v>0.3</v>
      </c>
      <c r="T553" t="str">
        <f>IF(Cleaned_Sales_data[[#This Row],[Profit]]&gt;0, "Profitable", "Loss")</f>
        <v>Loss</v>
      </c>
      <c r="U553" t="str">
        <f>_xlfn.IFS(Cleaned_Sales_data[[#This Row],[Profit]]&gt;=10000, "High", Cleaned_Sales_data[[#This Row],[Profit]]&gt;=5000, "Medium", Cleaned_Sales_data[[#This Row],[Profit]]&gt;=0, "Low", Cleaned_Sales_data[[#This Row],[Profit]] &lt;0, "Loss")</f>
        <v>Loss</v>
      </c>
      <c r="V553" t="str">
        <f t="shared" si="8"/>
        <v>UnderPerforming</v>
      </c>
      <c r="W553" s="3">
        <v>45962</v>
      </c>
    </row>
    <row r="554" spans="1:23">
      <c r="A554" t="s">
        <v>481</v>
      </c>
      <c r="B554" s="3">
        <v>45983</v>
      </c>
      <c r="C554" t="s">
        <v>50</v>
      </c>
      <c r="D554" t="str">
        <f>INDEX(Raw_product_master[Category],MATCH(Cleaned_Sales_data[[#This Row],[Product]],Raw_product_master[Product],0))</f>
        <v>Accessories</v>
      </c>
      <c r="E554" t="s">
        <v>63</v>
      </c>
      <c r="F554" t="s">
        <v>26</v>
      </c>
      <c r="G554" t="s">
        <v>35</v>
      </c>
      <c r="H554">
        <v>2</v>
      </c>
      <c r="I554">
        <v>2500</v>
      </c>
      <c r="J554" s="10">
        <v>0.05</v>
      </c>
      <c r="K554">
        <v>5000</v>
      </c>
      <c r="L554">
        <v>4750</v>
      </c>
      <c r="M554">
        <v>3100</v>
      </c>
      <c r="N554">
        <v>1575</v>
      </c>
      <c r="O554">
        <v>659</v>
      </c>
      <c r="P554">
        <f>INDEX(Raw_product_master[Standard_Cost_Per_Unit],MATCH(Cleaned_Sales_data[[#This Row],[Product]],Raw_product_master[Product],0))</f>
        <v>1550</v>
      </c>
      <c r="Q554">
        <v>-584</v>
      </c>
      <c r="R554" s="11">
        <v>-0.122947368421053</v>
      </c>
      <c r="S554" s="11">
        <f>INDEX(Raw_product_master[Target_Margin], MATCH(Cleaned_Sales_data[[#This Row],[Product]],Raw_product_master[Product], 0 ))</f>
        <v>0.25</v>
      </c>
      <c r="T554" t="str">
        <f>IF(Cleaned_Sales_data[[#This Row],[Profit]]&gt;0, "Profitable", "Loss")</f>
        <v>Loss</v>
      </c>
      <c r="U554" t="str">
        <f>_xlfn.IFS(Cleaned_Sales_data[[#This Row],[Profit]]&gt;=10000, "High", Cleaned_Sales_data[[#This Row],[Profit]]&gt;=5000, "Medium", Cleaned_Sales_data[[#This Row],[Profit]]&gt;=0, "Low", Cleaned_Sales_data[[#This Row],[Profit]] &lt;0, "Loss")</f>
        <v>Loss</v>
      </c>
      <c r="V554" t="str">
        <f t="shared" si="8"/>
        <v>UnderPerforming</v>
      </c>
      <c r="W554" s="3">
        <v>45962</v>
      </c>
    </row>
    <row r="555" spans="1:23">
      <c r="A555" t="s">
        <v>521</v>
      </c>
      <c r="B555" s="3">
        <v>46052</v>
      </c>
      <c r="C555" t="s">
        <v>30</v>
      </c>
      <c r="D555" t="str">
        <f>INDEX(Raw_product_master[Category],MATCH(Cleaned_Sales_data[[#This Row],[Product]],Raw_product_master[Product],0))</f>
        <v>Displays</v>
      </c>
      <c r="E555" t="s">
        <v>63</v>
      </c>
      <c r="F555" t="s">
        <v>26</v>
      </c>
      <c r="G555" t="s">
        <v>35</v>
      </c>
      <c r="H555">
        <v>2</v>
      </c>
      <c r="I555">
        <v>28000</v>
      </c>
      <c r="J555" s="10">
        <v>0.15</v>
      </c>
      <c r="K555">
        <v>56000</v>
      </c>
      <c r="L555">
        <v>47600</v>
      </c>
      <c r="M555">
        <v>43680</v>
      </c>
      <c r="N555">
        <v>849</v>
      </c>
      <c r="O555">
        <v>2447</v>
      </c>
      <c r="P555">
        <f>INDEX(Raw_product_master[Standard_Cost_Per_Unit],MATCH(Cleaned_Sales_data[[#This Row],[Product]],Raw_product_master[Product],0))</f>
        <v>21840</v>
      </c>
      <c r="Q555">
        <v>624</v>
      </c>
      <c r="R555" s="11">
        <v>1.3109243697478999E-2</v>
      </c>
      <c r="S555" s="11">
        <f>INDEX(Raw_product_master[Target_Margin], MATCH(Cleaned_Sales_data[[#This Row],[Product]],Raw_product_master[Product], 0 ))</f>
        <v>0.18</v>
      </c>
      <c r="T555" t="str">
        <f>IF(Cleaned_Sales_data[[#This Row],[Profit]]&gt;0, "Profitable", "Loss")</f>
        <v>Profitable</v>
      </c>
      <c r="U555" t="str">
        <f>_xlfn.IFS(Cleaned_Sales_data[[#This Row],[Profit]]&gt;=10000, "High", Cleaned_Sales_data[[#This Row],[Profit]]&gt;=5000, "Medium", Cleaned_Sales_data[[#This Row],[Profit]]&gt;=0, "Low", Cleaned_Sales_data[[#This Row],[Profit]] &lt;0, "Loss")</f>
        <v>Low</v>
      </c>
      <c r="V555" t="str">
        <f t="shared" si="8"/>
        <v>UnderPerforming</v>
      </c>
      <c r="W555" s="3">
        <v>46023</v>
      </c>
    </row>
    <row r="556" spans="1:23">
      <c r="A556" t="s">
        <v>522</v>
      </c>
      <c r="B556" s="3">
        <v>46041</v>
      </c>
      <c r="C556" t="s">
        <v>50</v>
      </c>
      <c r="D556" t="str">
        <f>INDEX(Raw_product_master[Category],MATCH(Cleaned_Sales_data[[#This Row],[Product]],Raw_product_master[Product],0))</f>
        <v>Accessories</v>
      </c>
      <c r="E556" t="s">
        <v>34</v>
      </c>
      <c r="F556" t="s">
        <v>26</v>
      </c>
      <c r="G556" t="s">
        <v>35</v>
      </c>
      <c r="H556">
        <v>2</v>
      </c>
      <c r="I556">
        <v>2500</v>
      </c>
      <c r="J556" s="10">
        <v>0.05</v>
      </c>
      <c r="K556">
        <v>5000</v>
      </c>
      <c r="L556">
        <v>4750</v>
      </c>
      <c r="M556">
        <v>3100</v>
      </c>
      <c r="N556">
        <v>1541</v>
      </c>
      <c r="O556">
        <v>1492</v>
      </c>
      <c r="P556">
        <f>INDEX(Raw_product_master[Standard_Cost_Per_Unit],MATCH(Cleaned_Sales_data[[#This Row],[Product]],Raw_product_master[Product],0))</f>
        <v>1550</v>
      </c>
      <c r="Q556">
        <v>-1383</v>
      </c>
      <c r="R556" s="11">
        <v>-0.291157894736842</v>
      </c>
      <c r="S556" s="11">
        <f>INDEX(Raw_product_master[Target_Margin], MATCH(Cleaned_Sales_data[[#This Row],[Product]],Raw_product_master[Product], 0 ))</f>
        <v>0.25</v>
      </c>
      <c r="T556" t="str">
        <f>IF(Cleaned_Sales_data[[#This Row],[Profit]]&gt;0, "Profitable", "Loss")</f>
        <v>Loss</v>
      </c>
      <c r="U556" t="str">
        <f>_xlfn.IFS(Cleaned_Sales_data[[#This Row],[Profit]]&gt;=10000, "High", Cleaned_Sales_data[[#This Row],[Profit]]&gt;=5000, "Medium", Cleaned_Sales_data[[#This Row],[Profit]]&gt;=0, "Low", Cleaned_Sales_data[[#This Row],[Profit]] &lt;0, "Loss")</f>
        <v>Loss</v>
      </c>
      <c r="V556" t="str">
        <f t="shared" si="8"/>
        <v>UnderPerforming</v>
      </c>
      <c r="W556" s="3">
        <v>46023</v>
      </c>
    </row>
    <row r="557" spans="1:23">
      <c r="A557" t="s">
        <v>523</v>
      </c>
      <c r="B557" s="3">
        <v>45813</v>
      </c>
      <c r="C557" t="s">
        <v>61</v>
      </c>
      <c r="D557" t="str">
        <f>INDEX(Raw_product_master[Category],MATCH(Cleaned_Sales_data[[#This Row],[Product]],Raw_product_master[Product],0))</f>
        <v>Accessories</v>
      </c>
      <c r="E557" t="s">
        <v>51</v>
      </c>
      <c r="F557" t="s">
        <v>26</v>
      </c>
      <c r="G557" t="s">
        <v>35</v>
      </c>
      <c r="H557">
        <v>3</v>
      </c>
      <c r="I557">
        <v>4500</v>
      </c>
      <c r="J557" s="10">
        <v>0.08</v>
      </c>
      <c r="K557">
        <v>13500</v>
      </c>
      <c r="L557">
        <v>12420</v>
      </c>
      <c r="M557">
        <v>8775</v>
      </c>
      <c r="N557">
        <v>1352</v>
      </c>
      <c r="O557">
        <v>2115</v>
      </c>
      <c r="P557">
        <f>INDEX(Raw_product_master[Standard_Cost_Per_Unit],MATCH(Cleaned_Sales_data[[#This Row],[Product]],Raw_product_master[Product],0))</f>
        <v>2925</v>
      </c>
      <c r="Q557">
        <v>178</v>
      </c>
      <c r="R557" s="11">
        <v>1.43317230273752E-2</v>
      </c>
      <c r="S557" s="11">
        <f>INDEX(Raw_product_master[Target_Margin], MATCH(Cleaned_Sales_data[[#This Row],[Product]],Raw_product_master[Product], 0 ))</f>
        <v>0.22</v>
      </c>
      <c r="T557" t="str">
        <f>IF(Cleaned_Sales_data[[#This Row],[Profit]]&gt;0, "Profitable", "Loss")</f>
        <v>Profitable</v>
      </c>
      <c r="U557" t="str">
        <f>_xlfn.IFS(Cleaned_Sales_data[[#This Row],[Profit]]&gt;=10000, "High", Cleaned_Sales_data[[#This Row],[Profit]]&gt;=5000, "Medium", Cleaned_Sales_data[[#This Row],[Profit]]&gt;=0, "Low", Cleaned_Sales_data[[#This Row],[Profit]] &lt;0, "Loss")</f>
        <v>Low</v>
      </c>
      <c r="V557" t="str">
        <f t="shared" si="8"/>
        <v>UnderPerforming</v>
      </c>
      <c r="W557" s="3">
        <v>45809</v>
      </c>
    </row>
    <row r="558" spans="1:23">
      <c r="A558" t="s">
        <v>538</v>
      </c>
      <c r="B558" s="3">
        <v>46095</v>
      </c>
      <c r="C558" t="s">
        <v>53</v>
      </c>
      <c r="D558" t="str">
        <f>INDEX(Raw_product_master[Category],MATCH(Cleaned_Sales_data[[#This Row],[Product]],Raw_product_master[Product],0))</f>
        <v>Accessories</v>
      </c>
      <c r="E558" t="s">
        <v>25</v>
      </c>
      <c r="F558" t="s">
        <v>26</v>
      </c>
      <c r="G558" t="s">
        <v>35</v>
      </c>
      <c r="H558">
        <v>2</v>
      </c>
      <c r="I558">
        <v>1500</v>
      </c>
      <c r="J558" s="10">
        <v>0.05</v>
      </c>
      <c r="K558">
        <v>3000</v>
      </c>
      <c r="L558">
        <v>2850</v>
      </c>
      <c r="M558">
        <v>1650</v>
      </c>
      <c r="N558">
        <v>1172</v>
      </c>
      <c r="O558">
        <v>1957</v>
      </c>
      <c r="P558">
        <f>INDEX(Raw_product_master[Standard_Cost_Per_Unit],MATCH(Cleaned_Sales_data[[#This Row],[Product]],Raw_product_master[Product],0))</f>
        <v>825</v>
      </c>
      <c r="Q558">
        <v>-1929</v>
      </c>
      <c r="R558" s="11">
        <v>-0.67684210526315802</v>
      </c>
      <c r="S558" s="11">
        <f>INDEX(Raw_product_master[Target_Margin], MATCH(Cleaned_Sales_data[[#This Row],[Product]],Raw_product_master[Product], 0 ))</f>
        <v>0.3</v>
      </c>
      <c r="T558" t="str">
        <f>IF(Cleaned_Sales_data[[#This Row],[Profit]]&gt;0, "Profitable", "Loss")</f>
        <v>Loss</v>
      </c>
      <c r="U558" t="str">
        <f>_xlfn.IFS(Cleaned_Sales_data[[#This Row],[Profit]]&gt;=10000, "High", Cleaned_Sales_data[[#This Row],[Profit]]&gt;=5000, "Medium", Cleaned_Sales_data[[#This Row],[Profit]]&gt;=0, "Low", Cleaned_Sales_data[[#This Row],[Profit]] &lt;0, "Loss")</f>
        <v>Loss</v>
      </c>
      <c r="V558" t="str">
        <f t="shared" si="8"/>
        <v>UnderPerforming</v>
      </c>
      <c r="W558" s="3">
        <v>46082</v>
      </c>
    </row>
    <row r="559" spans="1:23">
      <c r="A559" t="s">
        <v>566</v>
      </c>
      <c r="B559" s="3">
        <v>45796</v>
      </c>
      <c r="C559" t="s">
        <v>50</v>
      </c>
      <c r="D559" t="str">
        <f>INDEX(Raw_product_master[Category],MATCH(Cleaned_Sales_data[[#This Row],[Product]],Raw_product_master[Product],0))</f>
        <v>Accessories</v>
      </c>
      <c r="E559" t="s">
        <v>19</v>
      </c>
      <c r="F559" t="s">
        <v>26</v>
      </c>
      <c r="G559" t="s">
        <v>35</v>
      </c>
      <c r="H559">
        <v>6</v>
      </c>
      <c r="I559">
        <v>2500</v>
      </c>
      <c r="J559" s="10">
        <v>0.1</v>
      </c>
      <c r="K559">
        <v>15000</v>
      </c>
      <c r="L559">
        <v>13500</v>
      </c>
      <c r="M559">
        <v>9300</v>
      </c>
      <c r="N559">
        <v>306</v>
      </c>
      <c r="O559">
        <v>982</v>
      </c>
      <c r="P559">
        <f>INDEX(Raw_product_master[Standard_Cost_Per_Unit],MATCH(Cleaned_Sales_data[[#This Row],[Product]],Raw_product_master[Product],0))</f>
        <v>1550</v>
      </c>
      <c r="Q559">
        <v>2912</v>
      </c>
      <c r="R559" s="11">
        <v>0.21570370370370401</v>
      </c>
      <c r="S559" s="11">
        <f>INDEX(Raw_product_master[Target_Margin], MATCH(Cleaned_Sales_data[[#This Row],[Product]],Raw_product_master[Product], 0 ))</f>
        <v>0.25</v>
      </c>
      <c r="T559" t="str">
        <f>IF(Cleaned_Sales_data[[#This Row],[Profit]]&gt;0, "Profitable", "Loss")</f>
        <v>Profitable</v>
      </c>
      <c r="U559" t="str">
        <f>_xlfn.IFS(Cleaned_Sales_data[[#This Row],[Profit]]&gt;=10000, "High", Cleaned_Sales_data[[#This Row],[Profit]]&gt;=5000, "Medium", Cleaned_Sales_data[[#This Row],[Profit]]&gt;=0, "Low", Cleaned_Sales_data[[#This Row],[Profit]] &lt;0, "Loss")</f>
        <v>Low</v>
      </c>
      <c r="V559" t="str">
        <f t="shared" si="8"/>
        <v>UnderPerforming</v>
      </c>
      <c r="W559" s="3">
        <v>45778</v>
      </c>
    </row>
    <row r="560" spans="1:23">
      <c r="A560" t="s">
        <v>569</v>
      </c>
      <c r="B560" s="3">
        <v>45930</v>
      </c>
      <c r="C560" t="s">
        <v>50</v>
      </c>
      <c r="D560" t="str">
        <f>INDEX(Raw_product_master[Category],MATCH(Cleaned_Sales_data[[#This Row],[Product]],Raw_product_master[Product],0))</f>
        <v>Accessories</v>
      </c>
      <c r="E560" t="s">
        <v>34</v>
      </c>
      <c r="F560" t="s">
        <v>26</v>
      </c>
      <c r="G560" t="s">
        <v>35</v>
      </c>
      <c r="H560">
        <v>2</v>
      </c>
      <c r="I560">
        <v>2500</v>
      </c>
      <c r="J560" s="10">
        <v>0.08</v>
      </c>
      <c r="K560">
        <v>5000</v>
      </c>
      <c r="L560">
        <v>4600</v>
      </c>
      <c r="M560">
        <v>3100</v>
      </c>
      <c r="N560">
        <v>1070</v>
      </c>
      <c r="O560">
        <v>767</v>
      </c>
      <c r="P560">
        <f>INDEX(Raw_product_master[Standard_Cost_Per_Unit],MATCH(Cleaned_Sales_data[[#This Row],[Product]],Raw_product_master[Product],0))</f>
        <v>1550</v>
      </c>
      <c r="Q560">
        <v>-337</v>
      </c>
      <c r="R560" s="11">
        <v>-7.3260869565217407E-2</v>
      </c>
      <c r="S560" s="11">
        <f>INDEX(Raw_product_master[Target_Margin], MATCH(Cleaned_Sales_data[[#This Row],[Product]],Raw_product_master[Product], 0 ))</f>
        <v>0.25</v>
      </c>
      <c r="T560" t="str">
        <f>IF(Cleaned_Sales_data[[#This Row],[Profit]]&gt;0, "Profitable", "Loss")</f>
        <v>Loss</v>
      </c>
      <c r="U560" t="str">
        <f>_xlfn.IFS(Cleaned_Sales_data[[#This Row],[Profit]]&gt;=10000, "High", Cleaned_Sales_data[[#This Row],[Profit]]&gt;=5000, "Medium", Cleaned_Sales_data[[#This Row],[Profit]]&gt;=0, "Low", Cleaned_Sales_data[[#This Row],[Profit]] &lt;0, "Loss")</f>
        <v>Loss</v>
      </c>
      <c r="V560" t="str">
        <f t="shared" si="8"/>
        <v>UnderPerforming</v>
      </c>
      <c r="W560" s="3">
        <v>45901</v>
      </c>
    </row>
    <row r="561" spans="1:23">
      <c r="A561" t="s">
        <v>574</v>
      </c>
      <c r="B561" s="3">
        <v>45662</v>
      </c>
      <c r="C561" t="s">
        <v>61</v>
      </c>
      <c r="D561" t="str">
        <f>INDEX(Raw_product_master[Category],MATCH(Cleaned_Sales_data[[#This Row],[Product]],Raw_product_master[Product],0))</f>
        <v>Accessories</v>
      </c>
      <c r="E561" t="s">
        <v>19</v>
      </c>
      <c r="F561" t="s">
        <v>26</v>
      </c>
      <c r="G561" t="s">
        <v>35</v>
      </c>
      <c r="H561">
        <v>2</v>
      </c>
      <c r="I561">
        <v>4500</v>
      </c>
      <c r="J561" s="10">
        <v>0.15</v>
      </c>
      <c r="K561">
        <v>9000</v>
      </c>
      <c r="L561">
        <v>7650</v>
      </c>
      <c r="M561">
        <v>5850</v>
      </c>
      <c r="N561">
        <v>1115</v>
      </c>
      <c r="O561">
        <v>251</v>
      </c>
      <c r="P561">
        <f>INDEX(Raw_product_master[Standard_Cost_Per_Unit],MATCH(Cleaned_Sales_data[[#This Row],[Product]],Raw_product_master[Product],0))</f>
        <v>2925</v>
      </c>
      <c r="Q561">
        <v>434</v>
      </c>
      <c r="R561" s="11">
        <v>5.6732026143790797E-2</v>
      </c>
      <c r="S561" s="11">
        <f>INDEX(Raw_product_master[Target_Margin], MATCH(Cleaned_Sales_data[[#This Row],[Product]],Raw_product_master[Product], 0 ))</f>
        <v>0.22</v>
      </c>
      <c r="T561" t="str">
        <f>IF(Cleaned_Sales_data[[#This Row],[Profit]]&gt;0, "Profitable", "Loss")</f>
        <v>Profitable</v>
      </c>
      <c r="U561" t="str">
        <f>_xlfn.IFS(Cleaned_Sales_data[[#This Row],[Profit]]&gt;=10000, "High", Cleaned_Sales_data[[#This Row],[Profit]]&gt;=5000, "Medium", Cleaned_Sales_data[[#This Row],[Profit]]&gt;=0, "Low", Cleaned_Sales_data[[#This Row],[Profit]] &lt;0, "Loss")</f>
        <v>Low</v>
      </c>
      <c r="V561" t="str">
        <f t="shared" si="8"/>
        <v>UnderPerforming</v>
      </c>
      <c r="W561" s="3">
        <v>45658</v>
      </c>
    </row>
    <row r="562" spans="1:23">
      <c r="A562" t="s">
        <v>586</v>
      </c>
      <c r="B562" s="3">
        <v>46166</v>
      </c>
      <c r="C562" t="s">
        <v>50</v>
      </c>
      <c r="D562" t="str">
        <f>INDEX(Raw_product_master[Category],MATCH(Cleaned_Sales_data[[#This Row],[Product]],Raw_product_master[Product],0))</f>
        <v>Accessories</v>
      </c>
      <c r="E562" t="s">
        <v>19</v>
      </c>
      <c r="F562" t="s">
        <v>26</v>
      </c>
      <c r="G562" t="s">
        <v>35</v>
      </c>
      <c r="H562">
        <v>6</v>
      </c>
      <c r="I562">
        <v>2500</v>
      </c>
      <c r="J562" s="10">
        <v>0.03</v>
      </c>
      <c r="K562">
        <v>15000</v>
      </c>
      <c r="L562">
        <v>14550</v>
      </c>
      <c r="M562">
        <v>9300</v>
      </c>
      <c r="N562">
        <v>271</v>
      </c>
      <c r="O562">
        <v>754</v>
      </c>
      <c r="P562">
        <f>INDEX(Raw_product_master[Standard_Cost_Per_Unit],MATCH(Cleaned_Sales_data[[#This Row],[Product]],Raw_product_master[Product],0))</f>
        <v>1550</v>
      </c>
      <c r="Q562">
        <v>4225</v>
      </c>
      <c r="R562" s="11">
        <v>0.29037800687285198</v>
      </c>
      <c r="S562" s="11">
        <f>INDEX(Raw_product_master[Target_Margin], MATCH(Cleaned_Sales_data[[#This Row],[Product]],Raw_product_master[Product], 0 ))</f>
        <v>0.25</v>
      </c>
      <c r="T562" t="str">
        <f>IF(Cleaned_Sales_data[[#This Row],[Profit]]&gt;0, "Profitable", "Loss")</f>
        <v>Profitable</v>
      </c>
      <c r="U562" t="str">
        <f>_xlfn.IFS(Cleaned_Sales_data[[#This Row],[Profit]]&gt;=10000, "High", Cleaned_Sales_data[[#This Row],[Profit]]&gt;=5000, "Medium", Cleaned_Sales_data[[#This Row],[Profit]]&gt;=0, "Low", Cleaned_Sales_data[[#This Row],[Profit]] &lt;0, "Loss")</f>
        <v>Low</v>
      </c>
      <c r="V562" t="str">
        <f t="shared" si="8"/>
        <v>On Target</v>
      </c>
      <c r="W562" s="3">
        <v>46143</v>
      </c>
    </row>
    <row r="563" spans="1:23">
      <c r="A563" t="s">
        <v>596</v>
      </c>
      <c r="B563" s="3">
        <v>45803</v>
      </c>
      <c r="C563" t="s">
        <v>53</v>
      </c>
      <c r="D563" t="str">
        <f>INDEX(Raw_product_master[Category],MATCH(Cleaned_Sales_data[[#This Row],[Product]],Raw_product_master[Product],0))</f>
        <v>Accessories</v>
      </c>
      <c r="E563" t="s">
        <v>25</v>
      </c>
      <c r="F563" t="s">
        <v>26</v>
      </c>
      <c r="G563" t="s">
        <v>35</v>
      </c>
      <c r="H563">
        <v>4</v>
      </c>
      <c r="I563">
        <v>1500</v>
      </c>
      <c r="J563" s="10">
        <v>0.1</v>
      </c>
      <c r="K563">
        <v>6000</v>
      </c>
      <c r="L563">
        <v>5400</v>
      </c>
      <c r="M563">
        <v>3300</v>
      </c>
      <c r="N563">
        <v>205</v>
      </c>
      <c r="O563">
        <v>387</v>
      </c>
      <c r="P563">
        <f>INDEX(Raw_product_master[Standard_Cost_Per_Unit],MATCH(Cleaned_Sales_data[[#This Row],[Product]],Raw_product_master[Product],0))</f>
        <v>825</v>
      </c>
      <c r="Q563">
        <v>1508</v>
      </c>
      <c r="R563" s="11">
        <v>0.27925925925925899</v>
      </c>
      <c r="S563" s="11">
        <f>INDEX(Raw_product_master[Target_Margin], MATCH(Cleaned_Sales_data[[#This Row],[Product]],Raw_product_master[Product], 0 ))</f>
        <v>0.3</v>
      </c>
      <c r="T563" t="str">
        <f>IF(Cleaned_Sales_data[[#This Row],[Profit]]&gt;0, "Profitable", "Loss")</f>
        <v>Profitable</v>
      </c>
      <c r="U563" t="str">
        <f>_xlfn.IFS(Cleaned_Sales_data[[#This Row],[Profit]]&gt;=10000, "High", Cleaned_Sales_data[[#This Row],[Profit]]&gt;=5000, "Medium", Cleaned_Sales_data[[#This Row],[Profit]]&gt;=0, "Low", Cleaned_Sales_data[[#This Row],[Profit]] &lt;0, "Loss")</f>
        <v>Low</v>
      </c>
      <c r="V563" t="str">
        <f t="shared" si="8"/>
        <v>UnderPerforming</v>
      </c>
      <c r="W563" s="3">
        <v>45778</v>
      </c>
    </row>
    <row r="564" spans="1:23">
      <c r="A564" t="s">
        <v>605</v>
      </c>
      <c r="B564" s="3">
        <v>45896</v>
      </c>
      <c r="C564" t="s">
        <v>30</v>
      </c>
      <c r="D564" t="str">
        <f>INDEX(Raw_product_master[Category],MATCH(Cleaned_Sales_data[[#This Row],[Product]],Raw_product_master[Product],0))</f>
        <v>Displays</v>
      </c>
      <c r="E564" t="s">
        <v>25</v>
      </c>
      <c r="F564" t="s">
        <v>26</v>
      </c>
      <c r="G564" t="s">
        <v>35</v>
      </c>
      <c r="H564">
        <v>2</v>
      </c>
      <c r="I564">
        <v>28000</v>
      </c>
      <c r="J564" s="10">
        <v>0.1</v>
      </c>
      <c r="K564">
        <v>56000</v>
      </c>
      <c r="L564">
        <v>50400</v>
      </c>
      <c r="M564">
        <v>43680</v>
      </c>
      <c r="N564">
        <v>690</v>
      </c>
      <c r="O564">
        <v>530</v>
      </c>
      <c r="P564">
        <f>INDEX(Raw_product_master[Standard_Cost_Per_Unit],MATCH(Cleaned_Sales_data[[#This Row],[Product]],Raw_product_master[Product],0))</f>
        <v>21840</v>
      </c>
      <c r="Q564">
        <v>5500</v>
      </c>
      <c r="R564" s="11">
        <v>0.109126984126984</v>
      </c>
      <c r="S564" s="11">
        <f>INDEX(Raw_product_master[Target_Margin], MATCH(Cleaned_Sales_data[[#This Row],[Product]],Raw_product_master[Product], 0 ))</f>
        <v>0.18</v>
      </c>
      <c r="T564" t="str">
        <f>IF(Cleaned_Sales_data[[#This Row],[Profit]]&gt;0, "Profitable", "Loss")</f>
        <v>Profitable</v>
      </c>
      <c r="U564" t="str">
        <f>_xlfn.IFS(Cleaned_Sales_data[[#This Row],[Profit]]&gt;=10000, "High", Cleaned_Sales_data[[#This Row],[Profit]]&gt;=5000, "Medium", Cleaned_Sales_data[[#This Row],[Profit]]&gt;=0, "Low", Cleaned_Sales_data[[#This Row],[Profit]] &lt;0, "Loss")</f>
        <v>Medium</v>
      </c>
      <c r="V564" t="str">
        <f t="shared" si="8"/>
        <v>UnderPerforming</v>
      </c>
      <c r="W564" s="3">
        <v>45870</v>
      </c>
    </row>
    <row r="565" spans="1:23">
      <c r="A565" t="s">
        <v>608</v>
      </c>
      <c r="B565" s="3">
        <v>46057</v>
      </c>
      <c r="C565" t="s">
        <v>46</v>
      </c>
      <c r="D565" t="str">
        <f>INDEX(Raw_product_master[Category],MATCH(Cleaned_Sales_data[[#This Row],[Product]],Raw_product_master[Product],0))</f>
        <v>Office Equipment</v>
      </c>
      <c r="E565" t="s">
        <v>34</v>
      </c>
      <c r="F565" t="s">
        <v>26</v>
      </c>
      <c r="G565" t="s">
        <v>35</v>
      </c>
      <c r="H565">
        <v>2</v>
      </c>
      <c r="I565">
        <v>18000</v>
      </c>
      <c r="J565" s="10">
        <v>0.05</v>
      </c>
      <c r="K565">
        <v>36000</v>
      </c>
      <c r="L565">
        <v>34200</v>
      </c>
      <c r="M565">
        <v>28800</v>
      </c>
      <c r="N565">
        <v>275</v>
      </c>
      <c r="O565">
        <v>1025</v>
      </c>
      <c r="P565">
        <f>INDEX(Raw_product_master[Standard_Cost_Per_Unit],MATCH(Cleaned_Sales_data[[#This Row],[Product]],Raw_product_master[Product],0))</f>
        <v>14400</v>
      </c>
      <c r="Q565">
        <v>4100</v>
      </c>
      <c r="R565" s="11">
        <v>0.11988304093567199</v>
      </c>
      <c r="S565" s="11">
        <f>INDEX(Raw_product_master[Target_Margin], MATCH(Cleaned_Sales_data[[#This Row],[Product]],Raw_product_master[Product], 0 ))</f>
        <v>0.15</v>
      </c>
      <c r="T565" t="str">
        <f>IF(Cleaned_Sales_data[[#This Row],[Profit]]&gt;0, "Profitable", "Loss")</f>
        <v>Profitable</v>
      </c>
      <c r="U565" t="str">
        <f>_xlfn.IFS(Cleaned_Sales_data[[#This Row],[Profit]]&gt;=10000, "High", Cleaned_Sales_data[[#This Row],[Profit]]&gt;=5000, "Medium", Cleaned_Sales_data[[#This Row],[Profit]]&gt;=0, "Low", Cleaned_Sales_data[[#This Row],[Profit]] &lt;0, "Loss")</f>
        <v>Low</v>
      </c>
      <c r="V565" t="str">
        <f t="shared" si="8"/>
        <v>UnderPerforming</v>
      </c>
      <c r="W565" s="3">
        <v>46054</v>
      </c>
    </row>
    <row r="566" spans="1:23">
      <c r="A566" t="s">
        <v>609</v>
      </c>
      <c r="B566" s="3">
        <v>46088</v>
      </c>
      <c r="C566" t="s">
        <v>53</v>
      </c>
      <c r="D566" t="str">
        <f>INDEX(Raw_product_master[Category],MATCH(Cleaned_Sales_data[[#This Row],[Product]],Raw_product_master[Product],0))</f>
        <v>Accessories</v>
      </c>
      <c r="E566" t="s">
        <v>34</v>
      </c>
      <c r="F566" t="s">
        <v>26</v>
      </c>
      <c r="G566" t="s">
        <v>35</v>
      </c>
      <c r="H566">
        <v>5</v>
      </c>
      <c r="I566">
        <v>1500</v>
      </c>
      <c r="J566" s="10">
        <v>0.05</v>
      </c>
      <c r="K566">
        <v>7500</v>
      </c>
      <c r="L566">
        <v>7125</v>
      </c>
      <c r="M566">
        <v>4125</v>
      </c>
      <c r="N566">
        <v>394</v>
      </c>
      <c r="O566">
        <v>327</v>
      </c>
      <c r="P566">
        <f>INDEX(Raw_product_master[Standard_Cost_Per_Unit],MATCH(Cleaned_Sales_data[[#This Row],[Product]],Raw_product_master[Product],0))</f>
        <v>825</v>
      </c>
      <c r="Q566">
        <v>2279</v>
      </c>
      <c r="R566" s="11">
        <v>0.31985964912280701</v>
      </c>
      <c r="S566" s="11">
        <f>INDEX(Raw_product_master[Target_Margin], MATCH(Cleaned_Sales_data[[#This Row],[Product]],Raw_product_master[Product], 0 ))</f>
        <v>0.3</v>
      </c>
      <c r="T566" t="str">
        <f>IF(Cleaned_Sales_data[[#This Row],[Profit]]&gt;0, "Profitable", "Loss")</f>
        <v>Profitable</v>
      </c>
      <c r="U566" t="str">
        <f>_xlfn.IFS(Cleaned_Sales_data[[#This Row],[Profit]]&gt;=10000, "High", Cleaned_Sales_data[[#This Row],[Profit]]&gt;=5000, "Medium", Cleaned_Sales_data[[#This Row],[Profit]]&gt;=0, "Low", Cleaned_Sales_data[[#This Row],[Profit]] &lt;0, "Loss")</f>
        <v>Low</v>
      </c>
      <c r="V566" t="str">
        <f t="shared" si="8"/>
        <v>On Target</v>
      </c>
      <c r="W566" s="3">
        <v>46082</v>
      </c>
    </row>
    <row r="567" spans="1:23">
      <c r="A567" t="s">
        <v>625</v>
      </c>
      <c r="B567" s="3">
        <v>45807</v>
      </c>
      <c r="C567" t="s">
        <v>30</v>
      </c>
      <c r="D567" t="str">
        <f>INDEX(Raw_product_master[Category],MATCH(Cleaned_Sales_data[[#This Row],[Product]],Raw_product_master[Product],0))</f>
        <v>Displays</v>
      </c>
      <c r="E567" t="s">
        <v>34</v>
      </c>
      <c r="F567" t="s">
        <v>26</v>
      </c>
      <c r="G567" t="s">
        <v>35</v>
      </c>
      <c r="H567">
        <v>2</v>
      </c>
      <c r="I567">
        <v>28000</v>
      </c>
      <c r="J567" s="10">
        <v>0.1</v>
      </c>
      <c r="K567">
        <v>56000</v>
      </c>
      <c r="L567">
        <v>50400</v>
      </c>
      <c r="M567">
        <v>43680</v>
      </c>
      <c r="N567">
        <v>513</v>
      </c>
      <c r="O567">
        <v>431</v>
      </c>
      <c r="P567">
        <f>INDEX(Raw_product_master[Standard_Cost_Per_Unit],MATCH(Cleaned_Sales_data[[#This Row],[Product]],Raw_product_master[Product],0))</f>
        <v>21840</v>
      </c>
      <c r="Q567">
        <v>5776</v>
      </c>
      <c r="R567" s="11">
        <v>0.114603174603175</v>
      </c>
      <c r="S567" s="11">
        <f>INDEX(Raw_product_master[Target_Margin], MATCH(Cleaned_Sales_data[[#This Row],[Product]],Raw_product_master[Product], 0 ))</f>
        <v>0.18</v>
      </c>
      <c r="T567" t="str">
        <f>IF(Cleaned_Sales_data[[#This Row],[Profit]]&gt;0, "Profitable", "Loss")</f>
        <v>Profitable</v>
      </c>
      <c r="U567" t="str">
        <f>_xlfn.IFS(Cleaned_Sales_data[[#This Row],[Profit]]&gt;=10000, "High", Cleaned_Sales_data[[#This Row],[Profit]]&gt;=5000, "Medium", Cleaned_Sales_data[[#This Row],[Profit]]&gt;=0, "Low", Cleaned_Sales_data[[#This Row],[Profit]] &lt;0, "Loss")</f>
        <v>Medium</v>
      </c>
      <c r="V567" t="str">
        <f t="shared" si="8"/>
        <v>UnderPerforming</v>
      </c>
      <c r="W567" s="3">
        <v>45778</v>
      </c>
    </row>
    <row r="568" spans="1:23">
      <c r="A568" t="s">
        <v>631</v>
      </c>
      <c r="B568" s="3">
        <v>45948</v>
      </c>
      <c r="C568" t="s">
        <v>61</v>
      </c>
      <c r="D568" t="str">
        <f>INDEX(Raw_product_master[Category],MATCH(Cleaned_Sales_data[[#This Row],[Product]],Raw_product_master[Product],0))</f>
        <v>Accessories</v>
      </c>
      <c r="E568" t="s">
        <v>51</v>
      </c>
      <c r="F568" t="s">
        <v>26</v>
      </c>
      <c r="G568" t="s">
        <v>35</v>
      </c>
      <c r="H568">
        <v>6</v>
      </c>
      <c r="I568">
        <v>4500</v>
      </c>
      <c r="J568" s="10">
        <v>0.08</v>
      </c>
      <c r="K568">
        <v>27000</v>
      </c>
      <c r="L568">
        <v>24840</v>
      </c>
      <c r="M568">
        <v>17550</v>
      </c>
      <c r="N568">
        <v>1135</v>
      </c>
      <c r="O568">
        <v>2398</v>
      </c>
      <c r="P568">
        <f>INDEX(Raw_product_master[Standard_Cost_Per_Unit],MATCH(Cleaned_Sales_data[[#This Row],[Product]],Raw_product_master[Product],0))</f>
        <v>2925</v>
      </c>
      <c r="Q568">
        <v>3757</v>
      </c>
      <c r="R568" s="11">
        <v>0.151247987117552</v>
      </c>
      <c r="S568" s="11">
        <f>INDEX(Raw_product_master[Target_Margin], MATCH(Cleaned_Sales_data[[#This Row],[Product]],Raw_product_master[Product], 0 ))</f>
        <v>0.22</v>
      </c>
      <c r="T568" t="str">
        <f>IF(Cleaned_Sales_data[[#This Row],[Profit]]&gt;0, "Profitable", "Loss")</f>
        <v>Profitable</v>
      </c>
      <c r="U568" t="str">
        <f>_xlfn.IFS(Cleaned_Sales_data[[#This Row],[Profit]]&gt;=10000, "High", Cleaned_Sales_data[[#This Row],[Profit]]&gt;=5000, "Medium", Cleaned_Sales_data[[#This Row],[Profit]]&gt;=0, "Low", Cleaned_Sales_data[[#This Row],[Profit]] &lt;0, "Loss")</f>
        <v>Low</v>
      </c>
      <c r="V568" t="str">
        <f t="shared" si="8"/>
        <v>UnderPerforming</v>
      </c>
      <c r="W568" s="3">
        <v>45931</v>
      </c>
    </row>
    <row r="569" spans="1:23">
      <c r="A569" t="s">
        <v>634</v>
      </c>
      <c r="B569" s="3">
        <v>45983</v>
      </c>
      <c r="C569" t="s">
        <v>18</v>
      </c>
      <c r="D569" t="str">
        <f>INDEX(Raw_product_master[Category],MATCH(Cleaned_Sales_data[[#This Row],[Product]],Raw_product_master[Product],0))</f>
        <v>Computers</v>
      </c>
      <c r="E569" t="s">
        <v>51</v>
      </c>
      <c r="F569" t="s">
        <v>26</v>
      </c>
      <c r="G569" t="s">
        <v>35</v>
      </c>
      <c r="H569">
        <v>2</v>
      </c>
      <c r="I569">
        <v>32000</v>
      </c>
      <c r="J569" s="10">
        <v>0.05</v>
      </c>
      <c r="K569">
        <v>64000</v>
      </c>
      <c r="L569">
        <v>60800</v>
      </c>
      <c r="M569">
        <v>52480</v>
      </c>
      <c r="N569">
        <v>328</v>
      </c>
      <c r="O569">
        <v>1972</v>
      </c>
      <c r="P569">
        <f>INDEX(Raw_product_master[Standard_Cost_Per_Unit],MATCH(Cleaned_Sales_data[[#This Row],[Product]],Raw_product_master[Product],0))</f>
        <v>26240</v>
      </c>
      <c r="Q569">
        <v>6020</v>
      </c>
      <c r="R569" s="11">
        <v>9.9013157894736803E-2</v>
      </c>
      <c r="S569" s="11">
        <f>INDEX(Raw_product_master[Target_Margin], MATCH(Cleaned_Sales_data[[#This Row],[Product]],Raw_product_master[Product], 0 ))</f>
        <v>0.12</v>
      </c>
      <c r="T569" t="str">
        <f>IF(Cleaned_Sales_data[[#This Row],[Profit]]&gt;0, "Profitable", "Loss")</f>
        <v>Profitable</v>
      </c>
      <c r="U569" t="str">
        <f>_xlfn.IFS(Cleaned_Sales_data[[#This Row],[Profit]]&gt;=10000, "High", Cleaned_Sales_data[[#This Row],[Profit]]&gt;=5000, "Medium", Cleaned_Sales_data[[#This Row],[Profit]]&gt;=0, "Low", Cleaned_Sales_data[[#This Row],[Profit]] &lt;0, "Loss")</f>
        <v>Medium</v>
      </c>
      <c r="V569" t="str">
        <f t="shared" si="8"/>
        <v>UnderPerforming</v>
      </c>
      <c r="W569" s="3">
        <v>45962</v>
      </c>
    </row>
    <row r="570" spans="1:23">
      <c r="A570" t="s">
        <v>637</v>
      </c>
      <c r="B570" s="3">
        <v>45857</v>
      </c>
      <c r="C570" t="s">
        <v>24</v>
      </c>
      <c r="D570" t="str">
        <f>INDEX(Raw_product_master[Category],MATCH(Cleaned_Sales_data[[#This Row],[Product]],Raw_product_master[Product],0))</f>
        <v>Accessories</v>
      </c>
      <c r="E570" t="s">
        <v>25</v>
      </c>
      <c r="F570" t="s">
        <v>26</v>
      </c>
      <c r="G570" t="s">
        <v>35</v>
      </c>
      <c r="H570">
        <v>5</v>
      </c>
      <c r="I570">
        <v>3500</v>
      </c>
      <c r="J570" s="10">
        <v>0.1</v>
      </c>
      <c r="K570">
        <v>17500</v>
      </c>
      <c r="L570">
        <v>15750</v>
      </c>
      <c r="M570">
        <v>11900</v>
      </c>
      <c r="N570">
        <v>410</v>
      </c>
      <c r="O570">
        <v>2135</v>
      </c>
      <c r="P570">
        <f>INDEX(Raw_product_master[Standard_Cost_Per_Unit],MATCH(Cleaned_Sales_data[[#This Row],[Product]],Raw_product_master[Product],0))</f>
        <v>2380</v>
      </c>
      <c r="Q570">
        <v>1305</v>
      </c>
      <c r="R570" s="11">
        <v>8.2857142857142796E-2</v>
      </c>
      <c r="S570" s="11">
        <f>INDEX(Raw_product_master[Target_Margin], MATCH(Cleaned_Sales_data[[#This Row],[Product]],Raw_product_master[Product], 0 ))</f>
        <v>0.2</v>
      </c>
      <c r="T570" t="str">
        <f>IF(Cleaned_Sales_data[[#This Row],[Profit]]&gt;0, "Profitable", "Loss")</f>
        <v>Profitable</v>
      </c>
      <c r="U570" t="str">
        <f>_xlfn.IFS(Cleaned_Sales_data[[#This Row],[Profit]]&gt;=10000, "High", Cleaned_Sales_data[[#This Row],[Profit]]&gt;=5000, "Medium", Cleaned_Sales_data[[#This Row],[Profit]]&gt;=0, "Low", Cleaned_Sales_data[[#This Row],[Profit]] &lt;0, "Loss")</f>
        <v>Low</v>
      </c>
      <c r="V570" t="str">
        <f t="shared" si="8"/>
        <v>UnderPerforming</v>
      </c>
      <c r="W570" s="3">
        <v>45839</v>
      </c>
    </row>
    <row r="571" spans="1:23">
      <c r="A571" t="s">
        <v>644</v>
      </c>
      <c r="B571" s="3">
        <v>46155</v>
      </c>
      <c r="C571" t="s">
        <v>30</v>
      </c>
      <c r="D571" t="str">
        <f>INDEX(Raw_product_master[Category],MATCH(Cleaned_Sales_data[[#This Row],[Product]],Raw_product_master[Product],0))</f>
        <v>Displays</v>
      </c>
      <c r="E571" t="s">
        <v>31</v>
      </c>
      <c r="F571" t="s">
        <v>26</v>
      </c>
      <c r="G571" t="s">
        <v>35</v>
      </c>
      <c r="H571">
        <v>3</v>
      </c>
      <c r="I571">
        <v>28000</v>
      </c>
      <c r="J571" s="10">
        <v>0.05</v>
      </c>
      <c r="K571">
        <v>84000</v>
      </c>
      <c r="L571">
        <v>79800</v>
      </c>
      <c r="M571">
        <v>65520</v>
      </c>
      <c r="N571">
        <v>1438</v>
      </c>
      <c r="O571">
        <v>890</v>
      </c>
      <c r="P571">
        <f>INDEX(Raw_product_master[Standard_Cost_Per_Unit],MATCH(Cleaned_Sales_data[[#This Row],[Product]],Raw_product_master[Product],0))</f>
        <v>21840</v>
      </c>
      <c r="Q571">
        <v>11952</v>
      </c>
      <c r="R571" s="11">
        <v>0.149774436090226</v>
      </c>
      <c r="S571" s="11">
        <f>INDEX(Raw_product_master[Target_Margin], MATCH(Cleaned_Sales_data[[#This Row],[Product]],Raw_product_master[Product], 0 ))</f>
        <v>0.18</v>
      </c>
      <c r="T571" t="str">
        <f>IF(Cleaned_Sales_data[[#This Row],[Profit]]&gt;0, "Profitable", "Loss")</f>
        <v>Profitable</v>
      </c>
      <c r="U571" t="str">
        <f>_xlfn.IFS(Cleaned_Sales_data[[#This Row],[Profit]]&gt;=10000, "High", Cleaned_Sales_data[[#This Row],[Profit]]&gt;=5000, "Medium", Cleaned_Sales_data[[#This Row],[Profit]]&gt;=0, "Low", Cleaned_Sales_data[[#This Row],[Profit]] &lt;0, "Loss")</f>
        <v>High</v>
      </c>
      <c r="V571" t="str">
        <f t="shared" si="8"/>
        <v>UnderPerforming</v>
      </c>
      <c r="W571" s="3">
        <v>46143</v>
      </c>
    </row>
    <row r="572" spans="1:23">
      <c r="A572" t="s">
        <v>656</v>
      </c>
      <c r="B572" s="3">
        <v>46198</v>
      </c>
      <c r="C572" t="s">
        <v>50</v>
      </c>
      <c r="D572" t="str">
        <f>INDEX(Raw_product_master[Category],MATCH(Cleaned_Sales_data[[#This Row],[Product]],Raw_product_master[Product],0))</f>
        <v>Accessories</v>
      </c>
      <c r="E572" t="s">
        <v>63</v>
      </c>
      <c r="F572" t="s">
        <v>26</v>
      </c>
      <c r="G572" t="s">
        <v>35</v>
      </c>
      <c r="H572">
        <v>7</v>
      </c>
      <c r="I572">
        <v>2500</v>
      </c>
      <c r="J572" s="10">
        <v>0.2</v>
      </c>
      <c r="K572">
        <v>17500</v>
      </c>
      <c r="L572">
        <v>14000</v>
      </c>
      <c r="M572">
        <v>10850</v>
      </c>
      <c r="N572">
        <v>604</v>
      </c>
      <c r="O572">
        <v>943</v>
      </c>
      <c r="P572">
        <f>INDEX(Raw_product_master[Standard_Cost_Per_Unit],MATCH(Cleaned_Sales_data[[#This Row],[Product]],Raw_product_master[Product],0))</f>
        <v>1550</v>
      </c>
      <c r="Q572">
        <v>1603</v>
      </c>
      <c r="R572" s="11">
        <v>0.1145</v>
      </c>
      <c r="S572" s="11">
        <f>INDEX(Raw_product_master[Target_Margin], MATCH(Cleaned_Sales_data[[#This Row],[Product]],Raw_product_master[Product], 0 ))</f>
        <v>0.25</v>
      </c>
      <c r="T572" t="str">
        <f>IF(Cleaned_Sales_data[[#This Row],[Profit]]&gt;0, "Profitable", "Loss")</f>
        <v>Profitable</v>
      </c>
      <c r="U572" t="str">
        <f>_xlfn.IFS(Cleaned_Sales_data[[#This Row],[Profit]]&gt;=10000, "High", Cleaned_Sales_data[[#This Row],[Profit]]&gt;=5000, "Medium", Cleaned_Sales_data[[#This Row],[Profit]]&gt;=0, "Low", Cleaned_Sales_data[[#This Row],[Profit]] &lt;0, "Loss")</f>
        <v>Low</v>
      </c>
      <c r="V572" t="str">
        <f t="shared" si="8"/>
        <v>UnderPerforming</v>
      </c>
      <c r="W572" s="3">
        <v>46174</v>
      </c>
    </row>
    <row r="573" spans="1:23">
      <c r="A573" t="s">
        <v>658</v>
      </c>
      <c r="B573" s="3">
        <v>45853</v>
      </c>
      <c r="C573" t="s">
        <v>30</v>
      </c>
      <c r="D573" t="str">
        <f>INDEX(Raw_product_master[Category],MATCH(Cleaned_Sales_data[[#This Row],[Product]],Raw_product_master[Product],0))</f>
        <v>Displays</v>
      </c>
      <c r="E573" t="s">
        <v>63</v>
      </c>
      <c r="F573" t="s">
        <v>26</v>
      </c>
      <c r="G573" t="s">
        <v>35</v>
      </c>
      <c r="H573">
        <v>1</v>
      </c>
      <c r="I573">
        <v>28000</v>
      </c>
      <c r="J573" s="10">
        <v>0.1</v>
      </c>
      <c r="K573">
        <v>28000</v>
      </c>
      <c r="L573">
        <v>25200</v>
      </c>
      <c r="M573">
        <v>21840</v>
      </c>
      <c r="N573">
        <v>577</v>
      </c>
      <c r="O573">
        <v>679</v>
      </c>
      <c r="P573">
        <f>INDEX(Raw_product_master[Standard_Cost_Per_Unit],MATCH(Cleaned_Sales_data[[#This Row],[Product]],Raw_product_master[Product],0))</f>
        <v>21840</v>
      </c>
      <c r="Q573">
        <v>2104</v>
      </c>
      <c r="R573" s="11">
        <v>8.3492063492063506E-2</v>
      </c>
      <c r="S573" s="11">
        <f>INDEX(Raw_product_master[Target_Margin], MATCH(Cleaned_Sales_data[[#This Row],[Product]],Raw_product_master[Product], 0 ))</f>
        <v>0.18</v>
      </c>
      <c r="T573" t="str">
        <f>IF(Cleaned_Sales_data[[#This Row],[Profit]]&gt;0, "Profitable", "Loss")</f>
        <v>Profitable</v>
      </c>
      <c r="U573" t="str">
        <f>_xlfn.IFS(Cleaned_Sales_data[[#This Row],[Profit]]&gt;=10000, "High", Cleaned_Sales_data[[#This Row],[Profit]]&gt;=5000, "Medium", Cleaned_Sales_data[[#This Row],[Profit]]&gt;=0, "Low", Cleaned_Sales_data[[#This Row],[Profit]] &lt;0, "Loss")</f>
        <v>Low</v>
      </c>
      <c r="V573" t="str">
        <f t="shared" si="8"/>
        <v>UnderPerforming</v>
      </c>
      <c r="W573" s="3">
        <v>45839</v>
      </c>
    </row>
    <row r="574" spans="1:23">
      <c r="A574" t="s">
        <v>667</v>
      </c>
      <c r="B574" s="3">
        <v>46098</v>
      </c>
      <c r="C574" t="s">
        <v>30</v>
      </c>
      <c r="D574" t="str">
        <f>INDEX(Raw_product_master[Category],MATCH(Cleaned_Sales_data[[#This Row],[Product]],Raw_product_master[Product],0))</f>
        <v>Displays</v>
      </c>
      <c r="E574" t="s">
        <v>31</v>
      </c>
      <c r="F574" t="s">
        <v>26</v>
      </c>
      <c r="G574" t="s">
        <v>35</v>
      </c>
      <c r="H574">
        <v>2</v>
      </c>
      <c r="I574">
        <v>28000</v>
      </c>
      <c r="J574" s="10">
        <v>0.05</v>
      </c>
      <c r="K574">
        <v>56000</v>
      </c>
      <c r="L574">
        <v>53200</v>
      </c>
      <c r="M574">
        <v>43680</v>
      </c>
      <c r="N574">
        <v>857</v>
      </c>
      <c r="O574">
        <v>1442</v>
      </c>
      <c r="P574">
        <f>INDEX(Raw_product_master[Standard_Cost_Per_Unit],MATCH(Cleaned_Sales_data[[#This Row],[Product]],Raw_product_master[Product],0))</f>
        <v>21840</v>
      </c>
      <c r="Q574">
        <v>7221</v>
      </c>
      <c r="R574" s="11">
        <v>0.13573308270676701</v>
      </c>
      <c r="S574" s="11">
        <f>INDEX(Raw_product_master[Target_Margin], MATCH(Cleaned_Sales_data[[#This Row],[Product]],Raw_product_master[Product], 0 ))</f>
        <v>0.18</v>
      </c>
      <c r="T574" t="str">
        <f>IF(Cleaned_Sales_data[[#This Row],[Profit]]&gt;0, "Profitable", "Loss")</f>
        <v>Profitable</v>
      </c>
      <c r="U574" t="str">
        <f>_xlfn.IFS(Cleaned_Sales_data[[#This Row],[Profit]]&gt;=10000, "High", Cleaned_Sales_data[[#This Row],[Profit]]&gt;=5000, "Medium", Cleaned_Sales_data[[#This Row],[Profit]]&gt;=0, "Low", Cleaned_Sales_data[[#This Row],[Profit]] &lt;0, "Loss")</f>
        <v>Medium</v>
      </c>
      <c r="V574" t="str">
        <f t="shared" si="8"/>
        <v>UnderPerforming</v>
      </c>
      <c r="W574" s="3">
        <v>46082</v>
      </c>
    </row>
    <row r="575" spans="1:23">
      <c r="A575" t="s">
        <v>677</v>
      </c>
      <c r="B575" s="3">
        <v>45970</v>
      </c>
      <c r="C575" t="s">
        <v>24</v>
      </c>
      <c r="D575" t="str">
        <f>INDEX(Raw_product_master[Category],MATCH(Cleaned_Sales_data[[#This Row],[Product]],Raw_product_master[Product],0))</f>
        <v>Accessories</v>
      </c>
      <c r="E575" t="s">
        <v>19</v>
      </c>
      <c r="F575" t="s">
        <v>26</v>
      </c>
      <c r="G575" t="s">
        <v>35</v>
      </c>
      <c r="H575">
        <v>3</v>
      </c>
      <c r="I575">
        <v>3500</v>
      </c>
      <c r="J575" s="10">
        <v>0.05</v>
      </c>
      <c r="K575">
        <v>10500</v>
      </c>
      <c r="L575">
        <v>9975</v>
      </c>
      <c r="M575">
        <v>7140</v>
      </c>
      <c r="N575">
        <v>1686</v>
      </c>
      <c r="O575">
        <v>2040</v>
      </c>
      <c r="P575">
        <f>INDEX(Raw_product_master[Standard_Cost_Per_Unit],MATCH(Cleaned_Sales_data[[#This Row],[Product]],Raw_product_master[Product],0))</f>
        <v>2380</v>
      </c>
      <c r="Q575">
        <v>-891</v>
      </c>
      <c r="R575" s="11">
        <v>-8.9323308270676804E-2</v>
      </c>
      <c r="S575" s="11">
        <f>INDEX(Raw_product_master[Target_Margin], MATCH(Cleaned_Sales_data[[#This Row],[Product]],Raw_product_master[Product], 0 ))</f>
        <v>0.2</v>
      </c>
      <c r="T575" t="str">
        <f>IF(Cleaned_Sales_data[[#This Row],[Profit]]&gt;0, "Profitable", "Loss")</f>
        <v>Loss</v>
      </c>
      <c r="U575" t="str">
        <f>_xlfn.IFS(Cleaned_Sales_data[[#This Row],[Profit]]&gt;=10000, "High", Cleaned_Sales_data[[#This Row],[Profit]]&gt;=5000, "Medium", Cleaned_Sales_data[[#This Row],[Profit]]&gt;=0, "Low", Cleaned_Sales_data[[#This Row],[Profit]] &lt;0, "Loss")</f>
        <v>Loss</v>
      </c>
      <c r="V575" t="str">
        <f t="shared" si="8"/>
        <v>UnderPerforming</v>
      </c>
      <c r="W575" s="3">
        <v>45962</v>
      </c>
    </row>
    <row r="576" spans="1:23">
      <c r="A576" t="s">
        <v>678</v>
      </c>
      <c r="B576" s="3">
        <v>45707</v>
      </c>
      <c r="C576" t="s">
        <v>50</v>
      </c>
      <c r="D576" t="str">
        <f>INDEX(Raw_product_master[Category],MATCH(Cleaned_Sales_data[[#This Row],[Product]],Raw_product_master[Product],0))</f>
        <v>Accessories</v>
      </c>
      <c r="E576" t="s">
        <v>31</v>
      </c>
      <c r="F576" t="s">
        <v>26</v>
      </c>
      <c r="G576" t="s">
        <v>35</v>
      </c>
      <c r="H576">
        <v>7</v>
      </c>
      <c r="I576">
        <v>2500</v>
      </c>
      <c r="J576" s="10">
        <v>0</v>
      </c>
      <c r="K576">
        <v>17500</v>
      </c>
      <c r="L576">
        <v>17500</v>
      </c>
      <c r="M576">
        <v>10850</v>
      </c>
      <c r="N576">
        <v>881</v>
      </c>
      <c r="O576">
        <v>1258</v>
      </c>
      <c r="P576">
        <f>INDEX(Raw_product_master[Standard_Cost_Per_Unit],MATCH(Cleaned_Sales_data[[#This Row],[Product]],Raw_product_master[Product],0))</f>
        <v>1550</v>
      </c>
      <c r="Q576">
        <v>4511</v>
      </c>
      <c r="R576" s="11">
        <v>0.25777142857142898</v>
      </c>
      <c r="S576" s="11">
        <f>INDEX(Raw_product_master[Target_Margin], MATCH(Cleaned_Sales_data[[#This Row],[Product]],Raw_product_master[Product], 0 ))</f>
        <v>0.25</v>
      </c>
      <c r="T576" t="str">
        <f>IF(Cleaned_Sales_data[[#This Row],[Profit]]&gt;0, "Profitable", "Loss")</f>
        <v>Profitable</v>
      </c>
      <c r="U576" t="str">
        <f>_xlfn.IFS(Cleaned_Sales_data[[#This Row],[Profit]]&gt;=10000, "High", Cleaned_Sales_data[[#This Row],[Profit]]&gt;=5000, "Medium", Cleaned_Sales_data[[#This Row],[Profit]]&gt;=0, "Low", Cleaned_Sales_data[[#This Row],[Profit]] &lt;0, "Loss")</f>
        <v>Low</v>
      </c>
      <c r="V576" t="str">
        <f t="shared" si="8"/>
        <v>On Target</v>
      </c>
      <c r="W576" s="3">
        <v>45689</v>
      </c>
    </row>
    <row r="577" spans="1:23">
      <c r="A577" t="s">
        <v>697</v>
      </c>
      <c r="B577" s="3">
        <v>45664</v>
      </c>
      <c r="C577" t="s">
        <v>53</v>
      </c>
      <c r="D577" t="str">
        <f>INDEX(Raw_product_master[Category],MATCH(Cleaned_Sales_data[[#This Row],[Product]],Raw_product_master[Product],0))</f>
        <v>Accessories</v>
      </c>
      <c r="E577" t="s">
        <v>19</v>
      </c>
      <c r="F577" t="s">
        <v>26</v>
      </c>
      <c r="G577" t="s">
        <v>35</v>
      </c>
      <c r="H577">
        <v>3</v>
      </c>
      <c r="I577">
        <v>1500</v>
      </c>
      <c r="J577" s="10">
        <v>0.15</v>
      </c>
      <c r="K577">
        <v>4500</v>
      </c>
      <c r="L577">
        <v>3825</v>
      </c>
      <c r="M577">
        <v>2475</v>
      </c>
      <c r="N577">
        <v>372</v>
      </c>
      <c r="O577">
        <v>1072</v>
      </c>
      <c r="P577">
        <f>INDEX(Raw_product_master[Standard_Cost_Per_Unit],MATCH(Cleaned_Sales_data[[#This Row],[Product]],Raw_product_master[Product],0))</f>
        <v>825</v>
      </c>
      <c r="Q577">
        <v>-94</v>
      </c>
      <c r="R577" s="11">
        <v>-2.4575163398692802E-2</v>
      </c>
      <c r="S577" s="11">
        <f>INDEX(Raw_product_master[Target_Margin], MATCH(Cleaned_Sales_data[[#This Row],[Product]],Raw_product_master[Product], 0 ))</f>
        <v>0.3</v>
      </c>
      <c r="T577" t="str">
        <f>IF(Cleaned_Sales_data[[#This Row],[Profit]]&gt;0, "Profitable", "Loss")</f>
        <v>Loss</v>
      </c>
      <c r="U577" t="str">
        <f>_xlfn.IFS(Cleaned_Sales_data[[#This Row],[Profit]]&gt;=10000, "High", Cleaned_Sales_data[[#This Row],[Profit]]&gt;=5000, "Medium", Cleaned_Sales_data[[#This Row],[Profit]]&gt;=0, "Low", Cleaned_Sales_data[[#This Row],[Profit]] &lt;0, "Loss")</f>
        <v>Loss</v>
      </c>
      <c r="V577" t="str">
        <f t="shared" si="8"/>
        <v>UnderPerforming</v>
      </c>
      <c r="W577" s="3">
        <v>45658</v>
      </c>
    </row>
    <row r="578" spans="1:23">
      <c r="A578" t="s">
        <v>698</v>
      </c>
      <c r="B578" s="3">
        <v>46096</v>
      </c>
      <c r="C578" t="s">
        <v>61</v>
      </c>
      <c r="D578" t="str">
        <f>INDEX(Raw_product_master[Category],MATCH(Cleaned_Sales_data[[#This Row],[Product]],Raw_product_master[Product],0))</f>
        <v>Accessories</v>
      </c>
      <c r="E578" t="s">
        <v>63</v>
      </c>
      <c r="F578" t="s">
        <v>26</v>
      </c>
      <c r="G578" t="s">
        <v>35</v>
      </c>
      <c r="H578">
        <v>2</v>
      </c>
      <c r="I578">
        <v>4500</v>
      </c>
      <c r="J578" s="10">
        <v>0.15</v>
      </c>
      <c r="K578">
        <v>9000</v>
      </c>
      <c r="L578">
        <v>7650</v>
      </c>
      <c r="M578">
        <v>5850</v>
      </c>
      <c r="N578">
        <v>484</v>
      </c>
      <c r="O578">
        <v>2044</v>
      </c>
      <c r="P578">
        <f>INDEX(Raw_product_master[Standard_Cost_Per_Unit],MATCH(Cleaned_Sales_data[[#This Row],[Product]],Raw_product_master[Product],0))</f>
        <v>2925</v>
      </c>
      <c r="Q578">
        <v>-728</v>
      </c>
      <c r="R578" s="11">
        <v>-9.5163398692810403E-2</v>
      </c>
      <c r="S578" s="11">
        <f>INDEX(Raw_product_master[Target_Margin], MATCH(Cleaned_Sales_data[[#This Row],[Product]],Raw_product_master[Product], 0 ))</f>
        <v>0.22</v>
      </c>
      <c r="T578" t="str">
        <f>IF(Cleaned_Sales_data[[#This Row],[Profit]]&gt;0, "Profitable", "Loss")</f>
        <v>Loss</v>
      </c>
      <c r="U578" t="str">
        <f>_xlfn.IFS(Cleaned_Sales_data[[#This Row],[Profit]]&gt;=10000, "High", Cleaned_Sales_data[[#This Row],[Profit]]&gt;=5000, "Medium", Cleaned_Sales_data[[#This Row],[Profit]]&gt;=0, "Low", Cleaned_Sales_data[[#This Row],[Profit]] &lt;0, "Loss")</f>
        <v>Loss</v>
      </c>
      <c r="V578" t="str">
        <f t="shared" ref="V578:V641" si="9">IF(R578&lt;S578, "UnderPerforming", "On Target")</f>
        <v>UnderPerforming</v>
      </c>
      <c r="W578" s="3">
        <v>46082</v>
      </c>
    </row>
    <row r="579" spans="1:23">
      <c r="A579" t="s">
        <v>714</v>
      </c>
      <c r="B579" s="3">
        <v>45716</v>
      </c>
      <c r="C579" t="s">
        <v>53</v>
      </c>
      <c r="D579" t="str">
        <f>INDEX(Raw_product_master[Category],MATCH(Cleaned_Sales_data[[#This Row],[Product]],Raw_product_master[Product],0))</f>
        <v>Accessories</v>
      </c>
      <c r="E579" t="s">
        <v>63</v>
      </c>
      <c r="F579" t="s">
        <v>26</v>
      </c>
      <c r="G579" t="s">
        <v>35</v>
      </c>
      <c r="H579">
        <v>4</v>
      </c>
      <c r="I579">
        <v>1500</v>
      </c>
      <c r="J579" s="10">
        <v>0.03</v>
      </c>
      <c r="K579">
        <v>6000</v>
      </c>
      <c r="L579">
        <v>5820</v>
      </c>
      <c r="M579">
        <v>3300</v>
      </c>
      <c r="N579">
        <v>1506</v>
      </c>
      <c r="O579">
        <v>1806</v>
      </c>
      <c r="P579">
        <f>INDEX(Raw_product_master[Standard_Cost_Per_Unit],MATCH(Cleaned_Sales_data[[#This Row],[Product]],Raw_product_master[Product],0))</f>
        <v>825</v>
      </c>
      <c r="Q579">
        <v>-792</v>
      </c>
      <c r="R579" s="11">
        <v>-0.136082474226804</v>
      </c>
      <c r="S579" s="11">
        <f>INDEX(Raw_product_master[Target_Margin], MATCH(Cleaned_Sales_data[[#This Row],[Product]],Raw_product_master[Product], 0 ))</f>
        <v>0.3</v>
      </c>
      <c r="T579" t="str">
        <f>IF(Cleaned_Sales_data[[#This Row],[Profit]]&gt;0, "Profitable", "Loss")</f>
        <v>Loss</v>
      </c>
      <c r="U579" t="str">
        <f>_xlfn.IFS(Cleaned_Sales_data[[#This Row],[Profit]]&gt;=10000, "High", Cleaned_Sales_data[[#This Row],[Profit]]&gt;=5000, "Medium", Cleaned_Sales_data[[#This Row],[Profit]]&gt;=0, "Low", Cleaned_Sales_data[[#This Row],[Profit]] &lt;0, "Loss")</f>
        <v>Loss</v>
      </c>
      <c r="V579" t="str">
        <f t="shared" si="9"/>
        <v>UnderPerforming</v>
      </c>
      <c r="W579" s="3">
        <v>45689</v>
      </c>
    </row>
    <row r="580" spans="1:23">
      <c r="A580" t="s">
        <v>718</v>
      </c>
      <c r="B580" s="3">
        <v>46020</v>
      </c>
      <c r="C580" t="s">
        <v>61</v>
      </c>
      <c r="D580" t="str">
        <f>INDEX(Raw_product_master[Category],MATCH(Cleaned_Sales_data[[#This Row],[Product]],Raw_product_master[Product],0))</f>
        <v>Accessories</v>
      </c>
      <c r="E580" t="s">
        <v>51</v>
      </c>
      <c r="F580" t="s">
        <v>26</v>
      </c>
      <c r="G580" t="s">
        <v>35</v>
      </c>
      <c r="H580">
        <v>2</v>
      </c>
      <c r="I580">
        <v>4500</v>
      </c>
      <c r="J580" s="10">
        <v>0.08</v>
      </c>
      <c r="K580">
        <v>9000</v>
      </c>
      <c r="L580">
        <v>8280</v>
      </c>
      <c r="M580">
        <v>5850</v>
      </c>
      <c r="N580">
        <v>693</v>
      </c>
      <c r="O580">
        <v>151</v>
      </c>
      <c r="P580">
        <f>INDEX(Raw_product_master[Standard_Cost_Per_Unit],MATCH(Cleaned_Sales_data[[#This Row],[Product]],Raw_product_master[Product],0))</f>
        <v>2925</v>
      </c>
      <c r="Q580">
        <v>1586</v>
      </c>
      <c r="R580" s="11">
        <v>0.19154589371980699</v>
      </c>
      <c r="S580" s="11">
        <f>INDEX(Raw_product_master[Target_Margin], MATCH(Cleaned_Sales_data[[#This Row],[Product]],Raw_product_master[Product], 0 ))</f>
        <v>0.22</v>
      </c>
      <c r="T580" t="str">
        <f>IF(Cleaned_Sales_data[[#This Row],[Profit]]&gt;0, "Profitable", "Loss")</f>
        <v>Profitable</v>
      </c>
      <c r="U580" t="str">
        <f>_xlfn.IFS(Cleaned_Sales_data[[#This Row],[Profit]]&gt;=10000, "High", Cleaned_Sales_data[[#This Row],[Profit]]&gt;=5000, "Medium", Cleaned_Sales_data[[#This Row],[Profit]]&gt;=0, "Low", Cleaned_Sales_data[[#This Row],[Profit]] &lt;0, "Loss")</f>
        <v>Low</v>
      </c>
      <c r="V580" t="str">
        <f t="shared" si="9"/>
        <v>UnderPerforming</v>
      </c>
      <c r="W580" s="3">
        <v>45992</v>
      </c>
    </row>
    <row r="581" spans="1:23">
      <c r="A581" t="s">
        <v>722</v>
      </c>
      <c r="B581" s="3">
        <v>45767</v>
      </c>
      <c r="C581" t="s">
        <v>75</v>
      </c>
      <c r="D581" t="str">
        <f>INDEX(Raw_product_master[Category],MATCH(Cleaned_Sales_data[[#This Row],[Product]],Raw_product_master[Product],0))</f>
        <v>Computers</v>
      </c>
      <c r="E581" t="s">
        <v>34</v>
      </c>
      <c r="F581" t="s">
        <v>26</v>
      </c>
      <c r="G581" t="s">
        <v>35</v>
      </c>
      <c r="H581">
        <v>2</v>
      </c>
      <c r="I581">
        <v>65000</v>
      </c>
      <c r="J581" s="10">
        <v>0.05</v>
      </c>
      <c r="K581">
        <v>130000</v>
      </c>
      <c r="L581">
        <v>123500</v>
      </c>
      <c r="M581">
        <v>109200</v>
      </c>
      <c r="N581">
        <v>1184</v>
      </c>
      <c r="O581">
        <v>1330</v>
      </c>
      <c r="P581">
        <f>INDEX(Raw_product_master[Standard_Cost_Per_Unit],MATCH(Cleaned_Sales_data[[#This Row],[Product]],Raw_product_master[Product],0))</f>
        <v>54600</v>
      </c>
      <c r="Q581">
        <v>11786</v>
      </c>
      <c r="R581" s="11">
        <v>9.5433198380566797E-2</v>
      </c>
      <c r="S581" s="11">
        <f>INDEX(Raw_product_master[Target_Margin], MATCH(Cleaned_Sales_data[[#This Row],[Product]],Raw_product_master[Product], 0 ))</f>
        <v>0.12</v>
      </c>
      <c r="T581" t="str">
        <f>IF(Cleaned_Sales_data[[#This Row],[Profit]]&gt;0, "Profitable", "Loss")</f>
        <v>Profitable</v>
      </c>
      <c r="U581" t="str">
        <f>_xlfn.IFS(Cleaned_Sales_data[[#This Row],[Profit]]&gt;=10000, "High", Cleaned_Sales_data[[#This Row],[Profit]]&gt;=5000, "Medium", Cleaned_Sales_data[[#This Row],[Profit]]&gt;=0, "Low", Cleaned_Sales_data[[#This Row],[Profit]] &lt;0, "Loss")</f>
        <v>High</v>
      </c>
      <c r="V581" t="str">
        <f t="shared" si="9"/>
        <v>UnderPerforming</v>
      </c>
      <c r="W581" s="3">
        <v>45748</v>
      </c>
    </row>
    <row r="582" spans="1:23">
      <c r="A582" t="s">
        <v>734</v>
      </c>
      <c r="B582" s="3">
        <v>45731</v>
      </c>
      <c r="C582" t="s">
        <v>18</v>
      </c>
      <c r="D582" t="str">
        <f>INDEX(Raw_product_master[Category],MATCH(Cleaned_Sales_data[[#This Row],[Product]],Raw_product_master[Product],0))</f>
        <v>Computers</v>
      </c>
      <c r="E582" t="s">
        <v>63</v>
      </c>
      <c r="F582" t="s">
        <v>26</v>
      </c>
      <c r="G582" t="s">
        <v>35</v>
      </c>
      <c r="H582">
        <v>2</v>
      </c>
      <c r="I582">
        <v>32000</v>
      </c>
      <c r="J582" s="10">
        <v>0</v>
      </c>
      <c r="K582">
        <v>64000</v>
      </c>
      <c r="L582">
        <v>64000</v>
      </c>
      <c r="M582">
        <v>52480</v>
      </c>
      <c r="N582">
        <v>1185</v>
      </c>
      <c r="O582">
        <v>1092</v>
      </c>
      <c r="P582">
        <f>INDEX(Raw_product_master[Standard_Cost_Per_Unit],MATCH(Cleaned_Sales_data[[#This Row],[Product]],Raw_product_master[Product],0))</f>
        <v>26240</v>
      </c>
      <c r="Q582">
        <v>9243</v>
      </c>
      <c r="R582" s="11">
        <v>0.14442187500000001</v>
      </c>
      <c r="S582" s="11">
        <f>INDEX(Raw_product_master[Target_Margin], MATCH(Cleaned_Sales_data[[#This Row],[Product]],Raw_product_master[Product], 0 ))</f>
        <v>0.12</v>
      </c>
      <c r="T582" t="str">
        <f>IF(Cleaned_Sales_data[[#This Row],[Profit]]&gt;0, "Profitable", "Loss")</f>
        <v>Profitable</v>
      </c>
      <c r="U582" t="str">
        <f>_xlfn.IFS(Cleaned_Sales_data[[#This Row],[Profit]]&gt;=10000, "High", Cleaned_Sales_data[[#This Row],[Profit]]&gt;=5000, "Medium", Cleaned_Sales_data[[#This Row],[Profit]]&gt;=0, "Low", Cleaned_Sales_data[[#This Row],[Profit]] &lt;0, "Loss")</f>
        <v>Medium</v>
      </c>
      <c r="V582" t="str">
        <f t="shared" si="9"/>
        <v>On Target</v>
      </c>
      <c r="W582" s="3">
        <v>45717</v>
      </c>
    </row>
    <row r="583" spans="1:23">
      <c r="A583" t="s">
        <v>737</v>
      </c>
      <c r="B583" s="3">
        <v>45809</v>
      </c>
      <c r="C583" t="s">
        <v>50</v>
      </c>
      <c r="D583" t="str">
        <f>INDEX(Raw_product_master[Category],MATCH(Cleaned_Sales_data[[#This Row],[Product]],Raw_product_master[Product],0))</f>
        <v>Accessories</v>
      </c>
      <c r="E583" t="s">
        <v>25</v>
      </c>
      <c r="F583" t="s">
        <v>26</v>
      </c>
      <c r="G583" t="s">
        <v>35</v>
      </c>
      <c r="H583">
        <v>5</v>
      </c>
      <c r="I583">
        <v>2500</v>
      </c>
      <c r="J583" s="10">
        <v>0.08</v>
      </c>
      <c r="K583">
        <v>12500</v>
      </c>
      <c r="L583">
        <v>11500</v>
      </c>
      <c r="M583">
        <v>7750</v>
      </c>
      <c r="N583">
        <v>894</v>
      </c>
      <c r="O583">
        <v>1024</v>
      </c>
      <c r="P583">
        <f>INDEX(Raw_product_master[Standard_Cost_Per_Unit],MATCH(Cleaned_Sales_data[[#This Row],[Product]],Raw_product_master[Product],0))</f>
        <v>1550</v>
      </c>
      <c r="Q583">
        <v>1832</v>
      </c>
      <c r="R583" s="11">
        <v>0.15930434782608699</v>
      </c>
      <c r="S583" s="11">
        <f>INDEX(Raw_product_master[Target_Margin], MATCH(Cleaned_Sales_data[[#This Row],[Product]],Raw_product_master[Product], 0 ))</f>
        <v>0.25</v>
      </c>
      <c r="T583" t="str">
        <f>IF(Cleaned_Sales_data[[#This Row],[Profit]]&gt;0, "Profitable", "Loss")</f>
        <v>Profitable</v>
      </c>
      <c r="U583" t="str">
        <f>_xlfn.IFS(Cleaned_Sales_data[[#This Row],[Profit]]&gt;=10000, "High", Cleaned_Sales_data[[#This Row],[Profit]]&gt;=5000, "Medium", Cleaned_Sales_data[[#This Row],[Profit]]&gt;=0, "Low", Cleaned_Sales_data[[#This Row],[Profit]] &lt;0, "Loss")</f>
        <v>Low</v>
      </c>
      <c r="V583" t="str">
        <f t="shared" si="9"/>
        <v>UnderPerforming</v>
      </c>
      <c r="W583" s="3">
        <v>45809</v>
      </c>
    </row>
    <row r="584" spans="1:23">
      <c r="A584" t="s">
        <v>753</v>
      </c>
      <c r="B584" s="3">
        <v>46183</v>
      </c>
      <c r="C584" t="s">
        <v>50</v>
      </c>
      <c r="D584" t="str">
        <f>INDEX(Raw_product_master[Category],MATCH(Cleaned_Sales_data[[#This Row],[Product]],Raw_product_master[Product],0))</f>
        <v>Accessories</v>
      </c>
      <c r="E584" t="s">
        <v>34</v>
      </c>
      <c r="F584" t="s">
        <v>26</v>
      </c>
      <c r="G584" t="s">
        <v>35</v>
      </c>
      <c r="H584">
        <v>6</v>
      </c>
      <c r="I584">
        <v>2500</v>
      </c>
      <c r="J584" s="10">
        <v>0.15</v>
      </c>
      <c r="K584">
        <v>15000</v>
      </c>
      <c r="L584">
        <v>12750</v>
      </c>
      <c r="M584">
        <v>9300</v>
      </c>
      <c r="N584">
        <v>671</v>
      </c>
      <c r="O584">
        <v>646</v>
      </c>
      <c r="P584">
        <f>INDEX(Raw_product_master[Standard_Cost_Per_Unit],MATCH(Cleaned_Sales_data[[#This Row],[Product]],Raw_product_master[Product],0))</f>
        <v>1550</v>
      </c>
      <c r="Q584">
        <v>2133</v>
      </c>
      <c r="R584" s="11">
        <v>0.16729411764705901</v>
      </c>
      <c r="S584" s="11">
        <f>INDEX(Raw_product_master[Target_Margin], MATCH(Cleaned_Sales_data[[#This Row],[Product]],Raw_product_master[Product], 0 ))</f>
        <v>0.25</v>
      </c>
      <c r="T584" t="str">
        <f>IF(Cleaned_Sales_data[[#This Row],[Profit]]&gt;0, "Profitable", "Loss")</f>
        <v>Profitable</v>
      </c>
      <c r="U584" t="str">
        <f>_xlfn.IFS(Cleaned_Sales_data[[#This Row],[Profit]]&gt;=10000, "High", Cleaned_Sales_data[[#This Row],[Profit]]&gt;=5000, "Medium", Cleaned_Sales_data[[#This Row],[Profit]]&gt;=0, "Low", Cleaned_Sales_data[[#This Row],[Profit]] &lt;0, "Loss")</f>
        <v>Low</v>
      </c>
      <c r="V584" t="str">
        <f t="shared" si="9"/>
        <v>UnderPerforming</v>
      </c>
      <c r="W584" s="3">
        <v>46174</v>
      </c>
    </row>
    <row r="585" spans="1:23">
      <c r="A585" t="s">
        <v>755</v>
      </c>
      <c r="B585" s="3">
        <v>45669</v>
      </c>
      <c r="C585" t="s">
        <v>61</v>
      </c>
      <c r="D585" t="str">
        <f>INDEX(Raw_product_master[Category],MATCH(Cleaned_Sales_data[[#This Row],[Product]],Raw_product_master[Product],0))</f>
        <v>Accessories</v>
      </c>
      <c r="E585" t="s">
        <v>63</v>
      </c>
      <c r="F585" t="s">
        <v>26</v>
      </c>
      <c r="G585" t="s">
        <v>35</v>
      </c>
      <c r="H585">
        <v>1</v>
      </c>
      <c r="I585">
        <v>4500</v>
      </c>
      <c r="J585" s="10">
        <v>0.2</v>
      </c>
      <c r="K585">
        <v>4500</v>
      </c>
      <c r="L585">
        <v>3600</v>
      </c>
      <c r="M585">
        <v>2925</v>
      </c>
      <c r="N585">
        <v>396</v>
      </c>
      <c r="O585">
        <v>118</v>
      </c>
      <c r="P585">
        <f>INDEX(Raw_product_master[Standard_Cost_Per_Unit],MATCH(Cleaned_Sales_data[[#This Row],[Product]],Raw_product_master[Product],0))</f>
        <v>2925</v>
      </c>
      <c r="Q585">
        <v>161</v>
      </c>
      <c r="R585" s="11">
        <v>4.4722222222222198E-2</v>
      </c>
      <c r="S585" s="11">
        <f>INDEX(Raw_product_master[Target_Margin], MATCH(Cleaned_Sales_data[[#This Row],[Product]],Raw_product_master[Product], 0 ))</f>
        <v>0.22</v>
      </c>
      <c r="T585" t="str">
        <f>IF(Cleaned_Sales_data[[#This Row],[Profit]]&gt;0, "Profitable", "Loss")</f>
        <v>Profitable</v>
      </c>
      <c r="U585" t="str">
        <f>_xlfn.IFS(Cleaned_Sales_data[[#This Row],[Profit]]&gt;=10000, "High", Cleaned_Sales_data[[#This Row],[Profit]]&gt;=5000, "Medium", Cleaned_Sales_data[[#This Row],[Profit]]&gt;=0, "Low", Cleaned_Sales_data[[#This Row],[Profit]] &lt;0, "Loss")</f>
        <v>Low</v>
      </c>
      <c r="V585" t="str">
        <f t="shared" si="9"/>
        <v>UnderPerforming</v>
      </c>
      <c r="W585" s="3">
        <v>45658</v>
      </c>
    </row>
    <row r="586" spans="1:23">
      <c r="A586" t="s">
        <v>757</v>
      </c>
      <c r="B586" s="3">
        <v>46117</v>
      </c>
      <c r="C586" t="s">
        <v>30</v>
      </c>
      <c r="D586" t="str">
        <f>INDEX(Raw_product_master[Category],MATCH(Cleaned_Sales_data[[#This Row],[Product]],Raw_product_master[Product],0))</f>
        <v>Displays</v>
      </c>
      <c r="E586" t="s">
        <v>51</v>
      </c>
      <c r="F586" t="s">
        <v>26</v>
      </c>
      <c r="G586" t="s">
        <v>35</v>
      </c>
      <c r="H586">
        <v>1</v>
      </c>
      <c r="I586">
        <v>28000</v>
      </c>
      <c r="J586" s="10">
        <v>0.1</v>
      </c>
      <c r="K586">
        <v>28000</v>
      </c>
      <c r="L586">
        <v>25200</v>
      </c>
      <c r="M586">
        <v>21840</v>
      </c>
      <c r="N586">
        <v>1231</v>
      </c>
      <c r="O586">
        <v>973</v>
      </c>
      <c r="P586">
        <f>INDEX(Raw_product_master[Standard_Cost_Per_Unit],MATCH(Cleaned_Sales_data[[#This Row],[Product]],Raw_product_master[Product],0))</f>
        <v>21840</v>
      </c>
      <c r="Q586">
        <v>1156</v>
      </c>
      <c r="R586" s="11">
        <v>4.5873015873015899E-2</v>
      </c>
      <c r="S586" s="11">
        <f>INDEX(Raw_product_master[Target_Margin], MATCH(Cleaned_Sales_data[[#This Row],[Product]],Raw_product_master[Product], 0 ))</f>
        <v>0.18</v>
      </c>
      <c r="T586" t="str">
        <f>IF(Cleaned_Sales_data[[#This Row],[Profit]]&gt;0, "Profitable", "Loss")</f>
        <v>Profitable</v>
      </c>
      <c r="U586" t="str">
        <f>_xlfn.IFS(Cleaned_Sales_data[[#This Row],[Profit]]&gt;=10000, "High", Cleaned_Sales_data[[#This Row],[Profit]]&gt;=5000, "Medium", Cleaned_Sales_data[[#This Row],[Profit]]&gt;=0, "Low", Cleaned_Sales_data[[#This Row],[Profit]] &lt;0, "Loss")</f>
        <v>Low</v>
      </c>
      <c r="V586" t="str">
        <f t="shared" si="9"/>
        <v>UnderPerforming</v>
      </c>
      <c r="W586" s="3">
        <v>46113</v>
      </c>
    </row>
    <row r="587" spans="1:23">
      <c r="A587" t="s">
        <v>762</v>
      </c>
      <c r="B587" s="3">
        <v>45682</v>
      </c>
      <c r="C587" t="s">
        <v>61</v>
      </c>
      <c r="D587" t="str">
        <f>INDEX(Raw_product_master[Category],MATCH(Cleaned_Sales_data[[#This Row],[Product]],Raw_product_master[Product],0))</f>
        <v>Accessories</v>
      </c>
      <c r="E587" t="s">
        <v>19</v>
      </c>
      <c r="F587" t="s">
        <v>26</v>
      </c>
      <c r="G587" t="s">
        <v>35</v>
      </c>
      <c r="H587">
        <v>1</v>
      </c>
      <c r="I587">
        <v>4500</v>
      </c>
      <c r="J587" s="10">
        <v>0.1</v>
      </c>
      <c r="K587">
        <v>4500</v>
      </c>
      <c r="L587">
        <v>4050</v>
      </c>
      <c r="M587">
        <v>2925</v>
      </c>
      <c r="N587">
        <v>743</v>
      </c>
      <c r="O587">
        <v>1869</v>
      </c>
      <c r="P587">
        <f>INDEX(Raw_product_master[Standard_Cost_Per_Unit],MATCH(Cleaned_Sales_data[[#This Row],[Product]],Raw_product_master[Product],0))</f>
        <v>2925</v>
      </c>
      <c r="Q587">
        <v>-1487</v>
      </c>
      <c r="R587" s="11">
        <v>-0.36716049382715998</v>
      </c>
      <c r="S587" s="11">
        <f>INDEX(Raw_product_master[Target_Margin], MATCH(Cleaned_Sales_data[[#This Row],[Product]],Raw_product_master[Product], 0 ))</f>
        <v>0.22</v>
      </c>
      <c r="T587" t="str">
        <f>IF(Cleaned_Sales_data[[#This Row],[Profit]]&gt;0, "Profitable", "Loss")</f>
        <v>Loss</v>
      </c>
      <c r="U587" t="str">
        <f>_xlfn.IFS(Cleaned_Sales_data[[#This Row],[Profit]]&gt;=10000, "High", Cleaned_Sales_data[[#This Row],[Profit]]&gt;=5000, "Medium", Cleaned_Sales_data[[#This Row],[Profit]]&gt;=0, "Low", Cleaned_Sales_data[[#This Row],[Profit]] &lt;0, "Loss")</f>
        <v>Loss</v>
      </c>
      <c r="V587" t="str">
        <f t="shared" si="9"/>
        <v>UnderPerforming</v>
      </c>
      <c r="W587" s="3">
        <v>45658</v>
      </c>
    </row>
    <row r="588" spans="1:23">
      <c r="A588" t="s">
        <v>766</v>
      </c>
      <c r="B588" s="3">
        <v>45932</v>
      </c>
      <c r="C588" t="s">
        <v>75</v>
      </c>
      <c r="D588" t="str">
        <f>INDEX(Raw_product_master[Category],MATCH(Cleaned_Sales_data[[#This Row],[Product]],Raw_product_master[Product],0))</f>
        <v>Computers</v>
      </c>
      <c r="E588" t="s">
        <v>25</v>
      </c>
      <c r="F588" t="s">
        <v>26</v>
      </c>
      <c r="G588" t="s">
        <v>35</v>
      </c>
      <c r="H588">
        <v>3</v>
      </c>
      <c r="I588">
        <v>65000</v>
      </c>
      <c r="J588" s="10">
        <v>0.05</v>
      </c>
      <c r="K588">
        <v>195000</v>
      </c>
      <c r="L588">
        <v>185250</v>
      </c>
      <c r="M588">
        <v>163800</v>
      </c>
      <c r="N588">
        <v>1265</v>
      </c>
      <c r="O588">
        <v>2357</v>
      </c>
      <c r="P588">
        <f>INDEX(Raw_product_master[Standard_Cost_Per_Unit],MATCH(Cleaned_Sales_data[[#This Row],[Product]],Raw_product_master[Product],0))</f>
        <v>54600</v>
      </c>
      <c r="Q588">
        <v>17828</v>
      </c>
      <c r="R588" s="11">
        <v>9.6237516869095804E-2</v>
      </c>
      <c r="S588" s="11">
        <f>INDEX(Raw_product_master[Target_Margin], MATCH(Cleaned_Sales_data[[#This Row],[Product]],Raw_product_master[Product], 0 ))</f>
        <v>0.12</v>
      </c>
      <c r="T588" t="str">
        <f>IF(Cleaned_Sales_data[[#This Row],[Profit]]&gt;0, "Profitable", "Loss")</f>
        <v>Profitable</v>
      </c>
      <c r="U588" t="str">
        <f>_xlfn.IFS(Cleaned_Sales_data[[#This Row],[Profit]]&gt;=10000, "High", Cleaned_Sales_data[[#This Row],[Profit]]&gt;=5000, "Medium", Cleaned_Sales_data[[#This Row],[Profit]]&gt;=0, "Low", Cleaned_Sales_data[[#This Row],[Profit]] &lt;0, "Loss")</f>
        <v>High</v>
      </c>
      <c r="V588" t="str">
        <f t="shared" si="9"/>
        <v>UnderPerforming</v>
      </c>
      <c r="W588" s="3">
        <v>45931</v>
      </c>
    </row>
    <row r="589" spans="1:23">
      <c r="A589" t="s">
        <v>769</v>
      </c>
      <c r="B589" s="3">
        <v>45939</v>
      </c>
      <c r="C589" t="s">
        <v>30</v>
      </c>
      <c r="D589" t="str">
        <f>INDEX(Raw_product_master[Category],MATCH(Cleaned_Sales_data[[#This Row],[Product]],Raw_product_master[Product],0))</f>
        <v>Displays</v>
      </c>
      <c r="E589" t="s">
        <v>25</v>
      </c>
      <c r="F589" t="s">
        <v>26</v>
      </c>
      <c r="G589" t="s">
        <v>35</v>
      </c>
      <c r="H589">
        <v>1</v>
      </c>
      <c r="I589">
        <v>28000</v>
      </c>
      <c r="J589" s="10">
        <v>0.15</v>
      </c>
      <c r="K589">
        <v>28000</v>
      </c>
      <c r="L589">
        <v>23800</v>
      </c>
      <c r="M589">
        <v>21840</v>
      </c>
      <c r="N589">
        <v>1171</v>
      </c>
      <c r="O589">
        <v>1381</v>
      </c>
      <c r="P589">
        <f>INDEX(Raw_product_master[Standard_Cost_Per_Unit],MATCH(Cleaned_Sales_data[[#This Row],[Product]],Raw_product_master[Product],0))</f>
        <v>21840</v>
      </c>
      <c r="Q589">
        <v>-592</v>
      </c>
      <c r="R589" s="11">
        <v>-2.4873949579831901E-2</v>
      </c>
      <c r="S589" s="11">
        <f>INDEX(Raw_product_master[Target_Margin], MATCH(Cleaned_Sales_data[[#This Row],[Product]],Raw_product_master[Product], 0 ))</f>
        <v>0.18</v>
      </c>
      <c r="T589" t="str">
        <f>IF(Cleaned_Sales_data[[#This Row],[Profit]]&gt;0, "Profitable", "Loss")</f>
        <v>Loss</v>
      </c>
      <c r="U589" t="str">
        <f>_xlfn.IFS(Cleaned_Sales_data[[#This Row],[Profit]]&gt;=10000, "High", Cleaned_Sales_data[[#This Row],[Profit]]&gt;=5000, "Medium", Cleaned_Sales_data[[#This Row],[Profit]]&gt;=0, "Low", Cleaned_Sales_data[[#This Row],[Profit]] &lt;0, "Loss")</f>
        <v>Loss</v>
      </c>
      <c r="V589" t="str">
        <f t="shared" si="9"/>
        <v>UnderPerforming</v>
      </c>
      <c r="W589" s="3">
        <v>45931</v>
      </c>
    </row>
    <row r="590" spans="1:23">
      <c r="A590" t="s">
        <v>771</v>
      </c>
      <c r="B590" s="3">
        <v>45697</v>
      </c>
      <c r="C590" t="s">
        <v>24</v>
      </c>
      <c r="D590" t="str">
        <f>INDEX(Raw_product_master[Category],MATCH(Cleaned_Sales_data[[#This Row],[Product]],Raw_product_master[Product],0))</f>
        <v>Accessories</v>
      </c>
      <c r="E590" t="s">
        <v>31</v>
      </c>
      <c r="F590" t="s">
        <v>26</v>
      </c>
      <c r="G590" t="s">
        <v>35</v>
      </c>
      <c r="H590">
        <v>6</v>
      </c>
      <c r="I590">
        <v>3500</v>
      </c>
      <c r="J590" s="10">
        <v>0.05</v>
      </c>
      <c r="K590">
        <v>21000</v>
      </c>
      <c r="L590">
        <v>19950</v>
      </c>
      <c r="M590">
        <v>14280</v>
      </c>
      <c r="N590">
        <v>1585</v>
      </c>
      <c r="O590">
        <v>859</v>
      </c>
      <c r="P590">
        <f>INDEX(Raw_product_master[Standard_Cost_Per_Unit],MATCH(Cleaned_Sales_data[[#This Row],[Product]],Raw_product_master[Product],0))</f>
        <v>2380</v>
      </c>
      <c r="Q590">
        <v>3226</v>
      </c>
      <c r="R590" s="11">
        <v>0.16170426065162899</v>
      </c>
      <c r="S590" s="11">
        <f>INDEX(Raw_product_master[Target_Margin], MATCH(Cleaned_Sales_data[[#This Row],[Product]],Raw_product_master[Product], 0 ))</f>
        <v>0.2</v>
      </c>
      <c r="T590" t="str">
        <f>IF(Cleaned_Sales_data[[#This Row],[Profit]]&gt;0, "Profitable", "Loss")</f>
        <v>Profitable</v>
      </c>
      <c r="U590" t="str">
        <f>_xlfn.IFS(Cleaned_Sales_data[[#This Row],[Profit]]&gt;=10000, "High", Cleaned_Sales_data[[#This Row],[Profit]]&gt;=5000, "Medium", Cleaned_Sales_data[[#This Row],[Profit]]&gt;=0, "Low", Cleaned_Sales_data[[#This Row],[Profit]] &lt;0, "Loss")</f>
        <v>Low</v>
      </c>
      <c r="V590" t="str">
        <f t="shared" si="9"/>
        <v>UnderPerforming</v>
      </c>
      <c r="W590" s="3">
        <v>45689</v>
      </c>
    </row>
    <row r="591" spans="1:23">
      <c r="A591" t="s">
        <v>776</v>
      </c>
      <c r="B591" s="3">
        <v>46079</v>
      </c>
      <c r="C591" t="s">
        <v>30</v>
      </c>
      <c r="D591" t="str">
        <f>INDEX(Raw_product_master[Category],MATCH(Cleaned_Sales_data[[#This Row],[Product]],Raw_product_master[Product],0))</f>
        <v>Displays</v>
      </c>
      <c r="E591" t="s">
        <v>31</v>
      </c>
      <c r="F591" t="s">
        <v>26</v>
      </c>
      <c r="G591" t="s">
        <v>35</v>
      </c>
      <c r="H591">
        <v>1</v>
      </c>
      <c r="I591">
        <v>28000</v>
      </c>
      <c r="J591" s="10">
        <v>0.08</v>
      </c>
      <c r="K591">
        <v>28000</v>
      </c>
      <c r="L591">
        <v>25760</v>
      </c>
      <c r="M591">
        <v>21840</v>
      </c>
      <c r="N591">
        <v>789</v>
      </c>
      <c r="O591">
        <v>1165</v>
      </c>
      <c r="P591">
        <f>INDEX(Raw_product_master[Standard_Cost_Per_Unit],MATCH(Cleaned_Sales_data[[#This Row],[Product]],Raw_product_master[Product],0))</f>
        <v>21840</v>
      </c>
      <c r="Q591">
        <v>1966</v>
      </c>
      <c r="R591" s="11">
        <v>7.6319875776397497E-2</v>
      </c>
      <c r="S591" s="11">
        <f>INDEX(Raw_product_master[Target_Margin], MATCH(Cleaned_Sales_data[[#This Row],[Product]],Raw_product_master[Product], 0 ))</f>
        <v>0.18</v>
      </c>
      <c r="T591" t="str">
        <f>IF(Cleaned_Sales_data[[#This Row],[Profit]]&gt;0, "Profitable", "Loss")</f>
        <v>Profitable</v>
      </c>
      <c r="U591" t="str">
        <f>_xlfn.IFS(Cleaned_Sales_data[[#This Row],[Profit]]&gt;=10000, "High", Cleaned_Sales_data[[#This Row],[Profit]]&gt;=5000, "Medium", Cleaned_Sales_data[[#This Row],[Profit]]&gt;=0, "Low", Cleaned_Sales_data[[#This Row],[Profit]] &lt;0, "Loss")</f>
        <v>Low</v>
      </c>
      <c r="V591" t="str">
        <f t="shared" si="9"/>
        <v>UnderPerforming</v>
      </c>
      <c r="W591" s="3">
        <v>46054</v>
      </c>
    </row>
    <row r="592" spans="1:23">
      <c r="A592" t="s">
        <v>790</v>
      </c>
      <c r="B592" s="3">
        <v>45735</v>
      </c>
      <c r="C592" t="s">
        <v>50</v>
      </c>
      <c r="D592" t="str">
        <f>INDEX(Raw_product_master[Category],MATCH(Cleaned_Sales_data[[#This Row],[Product]],Raw_product_master[Product],0))</f>
        <v>Accessories</v>
      </c>
      <c r="E592" t="s">
        <v>51</v>
      </c>
      <c r="F592" t="s">
        <v>26</v>
      </c>
      <c r="G592" t="s">
        <v>35</v>
      </c>
      <c r="H592">
        <v>5</v>
      </c>
      <c r="I592">
        <v>2500</v>
      </c>
      <c r="J592" s="10">
        <v>0</v>
      </c>
      <c r="K592">
        <v>12500</v>
      </c>
      <c r="L592">
        <v>12500</v>
      </c>
      <c r="M592">
        <v>7750</v>
      </c>
      <c r="N592">
        <v>803</v>
      </c>
      <c r="O592">
        <v>980</v>
      </c>
      <c r="P592">
        <f>INDEX(Raw_product_master[Standard_Cost_Per_Unit],MATCH(Cleaned_Sales_data[[#This Row],[Product]],Raw_product_master[Product],0))</f>
        <v>1550</v>
      </c>
      <c r="Q592">
        <v>2967</v>
      </c>
      <c r="R592" s="11">
        <v>0.23735999999999999</v>
      </c>
      <c r="S592" s="11">
        <f>INDEX(Raw_product_master[Target_Margin], MATCH(Cleaned_Sales_data[[#This Row],[Product]],Raw_product_master[Product], 0 ))</f>
        <v>0.25</v>
      </c>
      <c r="T592" t="str">
        <f>IF(Cleaned_Sales_data[[#This Row],[Profit]]&gt;0, "Profitable", "Loss")</f>
        <v>Profitable</v>
      </c>
      <c r="U592" t="str">
        <f>_xlfn.IFS(Cleaned_Sales_data[[#This Row],[Profit]]&gt;=10000, "High", Cleaned_Sales_data[[#This Row],[Profit]]&gt;=5000, "Medium", Cleaned_Sales_data[[#This Row],[Profit]]&gt;=0, "Low", Cleaned_Sales_data[[#This Row],[Profit]] &lt;0, "Loss")</f>
        <v>Low</v>
      </c>
      <c r="V592" t="str">
        <f t="shared" si="9"/>
        <v>UnderPerforming</v>
      </c>
      <c r="W592" s="3">
        <v>45717</v>
      </c>
    </row>
    <row r="593" spans="1:23">
      <c r="A593" t="s">
        <v>791</v>
      </c>
      <c r="B593" s="3">
        <v>45828</v>
      </c>
      <c r="C593" t="s">
        <v>75</v>
      </c>
      <c r="D593" t="str">
        <f>INDEX(Raw_product_master[Category],MATCH(Cleaned_Sales_data[[#This Row],[Product]],Raw_product_master[Product],0))</f>
        <v>Computers</v>
      </c>
      <c r="E593" t="s">
        <v>19</v>
      </c>
      <c r="F593" t="s">
        <v>26</v>
      </c>
      <c r="G593" t="s">
        <v>35</v>
      </c>
      <c r="H593">
        <v>1</v>
      </c>
      <c r="I593">
        <v>65000</v>
      </c>
      <c r="J593" s="10">
        <v>0</v>
      </c>
      <c r="K593">
        <v>65000</v>
      </c>
      <c r="L593">
        <v>65000</v>
      </c>
      <c r="M593">
        <v>54600</v>
      </c>
      <c r="N593">
        <v>1797</v>
      </c>
      <c r="O593">
        <v>1801</v>
      </c>
      <c r="P593">
        <f>INDEX(Raw_product_master[Standard_Cost_Per_Unit],MATCH(Cleaned_Sales_data[[#This Row],[Product]],Raw_product_master[Product],0))</f>
        <v>54600</v>
      </c>
      <c r="Q593">
        <v>6802</v>
      </c>
      <c r="R593" s="11">
        <v>0.104646153846154</v>
      </c>
      <c r="S593" s="11">
        <f>INDEX(Raw_product_master[Target_Margin], MATCH(Cleaned_Sales_data[[#This Row],[Product]],Raw_product_master[Product], 0 ))</f>
        <v>0.12</v>
      </c>
      <c r="T593" t="str">
        <f>IF(Cleaned_Sales_data[[#This Row],[Profit]]&gt;0, "Profitable", "Loss")</f>
        <v>Profitable</v>
      </c>
      <c r="U593" t="str">
        <f>_xlfn.IFS(Cleaned_Sales_data[[#This Row],[Profit]]&gt;=10000, "High", Cleaned_Sales_data[[#This Row],[Profit]]&gt;=5000, "Medium", Cleaned_Sales_data[[#This Row],[Profit]]&gt;=0, "Low", Cleaned_Sales_data[[#This Row],[Profit]] &lt;0, "Loss")</f>
        <v>Medium</v>
      </c>
      <c r="V593" t="str">
        <f t="shared" si="9"/>
        <v>UnderPerforming</v>
      </c>
      <c r="W593" s="3">
        <v>45809</v>
      </c>
    </row>
    <row r="594" spans="1:23">
      <c r="A594" t="s">
        <v>77</v>
      </c>
      <c r="B594" s="3">
        <v>45865</v>
      </c>
      <c r="C594" t="s">
        <v>24</v>
      </c>
      <c r="D594" t="str">
        <f>INDEX(Raw_product_master[Category],MATCH(Cleaned_Sales_data[[#This Row],[Product]],Raw_product_master[Product],0))</f>
        <v>Accessories</v>
      </c>
      <c r="E594" t="s">
        <v>19</v>
      </c>
      <c r="F594" t="s">
        <v>38</v>
      </c>
      <c r="G594" t="s">
        <v>35</v>
      </c>
      <c r="H594">
        <v>3</v>
      </c>
      <c r="I594">
        <v>3500</v>
      </c>
      <c r="J594" s="10">
        <v>0.03</v>
      </c>
      <c r="K594">
        <v>10500</v>
      </c>
      <c r="L594">
        <v>10185</v>
      </c>
      <c r="M594">
        <v>7140</v>
      </c>
      <c r="N594">
        <v>1456</v>
      </c>
      <c r="O594">
        <v>1782</v>
      </c>
      <c r="P594">
        <f>INDEX(Raw_product_master[Standard_Cost_Per_Unit],MATCH(Cleaned_Sales_data[[#This Row],[Product]],Raw_product_master[Product],0))</f>
        <v>2380</v>
      </c>
      <c r="Q594">
        <v>-193</v>
      </c>
      <c r="R594" s="11">
        <v>-1.8949435444280901E-2</v>
      </c>
      <c r="S594" s="11">
        <f>INDEX(Raw_product_master[Target_Margin], MATCH(Cleaned_Sales_data[[#This Row],[Product]],Raw_product_master[Product], 0 ))</f>
        <v>0.2</v>
      </c>
      <c r="T594" t="str">
        <f>IF(Cleaned_Sales_data[[#This Row],[Profit]]&gt;0, "Profitable", "Loss")</f>
        <v>Loss</v>
      </c>
      <c r="U594" t="str">
        <f>_xlfn.IFS(Cleaned_Sales_data[[#This Row],[Profit]]&gt;=10000, "High", Cleaned_Sales_data[[#This Row],[Profit]]&gt;=5000, "Medium", Cleaned_Sales_data[[#This Row],[Profit]]&gt;=0, "Low", Cleaned_Sales_data[[#This Row],[Profit]] &lt;0, "Loss")</f>
        <v>Loss</v>
      </c>
      <c r="V594" t="str">
        <f t="shared" si="9"/>
        <v>UnderPerforming</v>
      </c>
      <c r="W594" s="3">
        <v>45839</v>
      </c>
    </row>
    <row r="595" spans="1:23">
      <c r="A595" t="s">
        <v>92</v>
      </c>
      <c r="B595" s="3">
        <v>45807</v>
      </c>
      <c r="C595" t="s">
        <v>61</v>
      </c>
      <c r="D595" t="str">
        <f>INDEX(Raw_product_master[Category],MATCH(Cleaned_Sales_data[[#This Row],[Product]],Raw_product_master[Product],0))</f>
        <v>Accessories</v>
      </c>
      <c r="E595" t="s">
        <v>25</v>
      </c>
      <c r="F595" t="s">
        <v>38</v>
      </c>
      <c r="G595" t="s">
        <v>35</v>
      </c>
      <c r="H595">
        <v>3</v>
      </c>
      <c r="I595">
        <v>4500</v>
      </c>
      <c r="J595" s="10">
        <v>0.05</v>
      </c>
      <c r="K595">
        <v>13500</v>
      </c>
      <c r="L595">
        <v>12825</v>
      </c>
      <c r="M595">
        <v>8775</v>
      </c>
      <c r="N595">
        <v>774</v>
      </c>
      <c r="O595">
        <v>1248</v>
      </c>
      <c r="P595">
        <f>INDEX(Raw_product_master[Standard_Cost_Per_Unit],MATCH(Cleaned_Sales_data[[#This Row],[Product]],Raw_product_master[Product],0))</f>
        <v>2925</v>
      </c>
      <c r="Q595">
        <v>2028</v>
      </c>
      <c r="R595" s="11">
        <v>0.15812865497076001</v>
      </c>
      <c r="S595" s="11">
        <f>INDEX(Raw_product_master[Target_Margin], MATCH(Cleaned_Sales_data[[#This Row],[Product]],Raw_product_master[Product], 0 ))</f>
        <v>0.22</v>
      </c>
      <c r="T595" t="str">
        <f>IF(Cleaned_Sales_data[[#This Row],[Profit]]&gt;0, "Profitable", "Loss")</f>
        <v>Profitable</v>
      </c>
      <c r="U595" t="str">
        <f>_xlfn.IFS(Cleaned_Sales_data[[#This Row],[Profit]]&gt;=10000, "High", Cleaned_Sales_data[[#This Row],[Profit]]&gt;=5000, "Medium", Cleaned_Sales_data[[#This Row],[Profit]]&gt;=0, "Low", Cleaned_Sales_data[[#This Row],[Profit]] &lt;0, "Loss")</f>
        <v>Low</v>
      </c>
      <c r="V595" t="str">
        <f t="shared" si="9"/>
        <v>UnderPerforming</v>
      </c>
      <c r="W595" s="3">
        <v>45778</v>
      </c>
    </row>
    <row r="596" spans="1:23">
      <c r="A596" t="s">
        <v>109</v>
      </c>
      <c r="B596" s="3">
        <v>46053</v>
      </c>
      <c r="C596" t="s">
        <v>61</v>
      </c>
      <c r="D596" t="str">
        <f>INDEX(Raw_product_master[Category],MATCH(Cleaned_Sales_data[[#This Row],[Product]],Raw_product_master[Product],0))</f>
        <v>Accessories</v>
      </c>
      <c r="E596" t="s">
        <v>51</v>
      </c>
      <c r="F596" t="s">
        <v>38</v>
      </c>
      <c r="G596" t="s">
        <v>35</v>
      </c>
      <c r="H596">
        <v>5</v>
      </c>
      <c r="I596">
        <v>4500</v>
      </c>
      <c r="J596" s="10">
        <v>0.15</v>
      </c>
      <c r="K596">
        <v>22500</v>
      </c>
      <c r="L596">
        <v>19125</v>
      </c>
      <c r="M596">
        <v>14625</v>
      </c>
      <c r="N596">
        <v>376</v>
      </c>
      <c r="O596">
        <v>1735</v>
      </c>
      <c r="P596">
        <f>INDEX(Raw_product_master[Standard_Cost_Per_Unit],MATCH(Cleaned_Sales_data[[#This Row],[Product]],Raw_product_master[Product],0))</f>
        <v>2925</v>
      </c>
      <c r="Q596">
        <v>2389</v>
      </c>
      <c r="R596" s="11">
        <v>0.124915032679739</v>
      </c>
      <c r="S596" s="11">
        <f>INDEX(Raw_product_master[Target_Margin], MATCH(Cleaned_Sales_data[[#This Row],[Product]],Raw_product_master[Product], 0 ))</f>
        <v>0.22</v>
      </c>
      <c r="T596" t="str">
        <f>IF(Cleaned_Sales_data[[#This Row],[Profit]]&gt;0, "Profitable", "Loss")</f>
        <v>Profitable</v>
      </c>
      <c r="U596" t="str">
        <f>_xlfn.IFS(Cleaned_Sales_data[[#This Row],[Profit]]&gt;=10000, "High", Cleaned_Sales_data[[#This Row],[Profit]]&gt;=5000, "Medium", Cleaned_Sales_data[[#This Row],[Profit]]&gt;=0, "Low", Cleaned_Sales_data[[#This Row],[Profit]] &lt;0, "Loss")</f>
        <v>Low</v>
      </c>
      <c r="V596" t="str">
        <f t="shared" si="9"/>
        <v>UnderPerforming</v>
      </c>
      <c r="W596" s="3">
        <v>46023</v>
      </c>
    </row>
    <row r="597" spans="1:23">
      <c r="A597" t="s">
        <v>130</v>
      </c>
      <c r="B597" s="3">
        <v>46046</v>
      </c>
      <c r="C597" t="s">
        <v>50</v>
      </c>
      <c r="D597" t="str">
        <f>INDEX(Raw_product_master[Category],MATCH(Cleaned_Sales_data[[#This Row],[Product]],Raw_product_master[Product],0))</f>
        <v>Accessories</v>
      </c>
      <c r="E597" t="s">
        <v>34</v>
      </c>
      <c r="F597" t="s">
        <v>38</v>
      </c>
      <c r="G597" t="s">
        <v>35</v>
      </c>
      <c r="H597">
        <v>3</v>
      </c>
      <c r="I597">
        <v>2500</v>
      </c>
      <c r="J597" s="10">
        <v>0.05</v>
      </c>
      <c r="K597">
        <v>7500</v>
      </c>
      <c r="L597">
        <v>7125</v>
      </c>
      <c r="M597">
        <v>4650</v>
      </c>
      <c r="N597">
        <v>1277</v>
      </c>
      <c r="O597">
        <v>335</v>
      </c>
      <c r="P597">
        <f>INDEX(Raw_product_master[Standard_Cost_Per_Unit],MATCH(Cleaned_Sales_data[[#This Row],[Product]],Raw_product_master[Product],0))</f>
        <v>1550</v>
      </c>
      <c r="Q597">
        <v>863</v>
      </c>
      <c r="R597" s="11">
        <v>0.12112280701754401</v>
      </c>
      <c r="S597" s="11">
        <f>INDEX(Raw_product_master[Target_Margin], MATCH(Cleaned_Sales_data[[#This Row],[Product]],Raw_product_master[Product], 0 ))</f>
        <v>0.25</v>
      </c>
      <c r="T597" t="str">
        <f>IF(Cleaned_Sales_data[[#This Row],[Profit]]&gt;0, "Profitable", "Loss")</f>
        <v>Profitable</v>
      </c>
      <c r="U597" t="str">
        <f>_xlfn.IFS(Cleaned_Sales_data[[#This Row],[Profit]]&gt;=10000, "High", Cleaned_Sales_data[[#This Row],[Profit]]&gt;=5000, "Medium", Cleaned_Sales_data[[#This Row],[Profit]]&gt;=0, "Low", Cleaned_Sales_data[[#This Row],[Profit]] &lt;0, "Loss")</f>
        <v>Low</v>
      </c>
      <c r="V597" t="str">
        <f t="shared" si="9"/>
        <v>UnderPerforming</v>
      </c>
      <c r="W597" s="3">
        <v>46023</v>
      </c>
    </row>
    <row r="598" spans="1:23">
      <c r="A598" t="s">
        <v>143</v>
      </c>
      <c r="B598" s="3">
        <v>45696</v>
      </c>
      <c r="C598" t="s">
        <v>50</v>
      </c>
      <c r="D598" t="str">
        <f>INDEX(Raw_product_master[Category],MATCH(Cleaned_Sales_data[[#This Row],[Product]],Raw_product_master[Product],0))</f>
        <v>Accessories</v>
      </c>
      <c r="E598" t="s">
        <v>63</v>
      </c>
      <c r="F598" t="s">
        <v>38</v>
      </c>
      <c r="G598" t="s">
        <v>35</v>
      </c>
      <c r="H598">
        <v>3</v>
      </c>
      <c r="I598">
        <v>2500</v>
      </c>
      <c r="J598" s="10">
        <v>0.03</v>
      </c>
      <c r="K598">
        <v>7500</v>
      </c>
      <c r="L598">
        <v>7275</v>
      </c>
      <c r="M598">
        <v>4650</v>
      </c>
      <c r="N598">
        <v>684</v>
      </c>
      <c r="O598">
        <v>2175</v>
      </c>
      <c r="P598">
        <f>INDEX(Raw_product_master[Standard_Cost_Per_Unit],MATCH(Cleaned_Sales_data[[#This Row],[Product]],Raw_product_master[Product],0))</f>
        <v>1550</v>
      </c>
      <c r="Q598">
        <v>-234</v>
      </c>
      <c r="R598" s="11">
        <v>-3.2164948453608198E-2</v>
      </c>
      <c r="S598" s="11">
        <f>INDEX(Raw_product_master[Target_Margin], MATCH(Cleaned_Sales_data[[#This Row],[Product]],Raw_product_master[Product], 0 ))</f>
        <v>0.25</v>
      </c>
      <c r="T598" t="str">
        <f>IF(Cleaned_Sales_data[[#This Row],[Profit]]&gt;0, "Profitable", "Loss")</f>
        <v>Loss</v>
      </c>
      <c r="U598" t="str">
        <f>_xlfn.IFS(Cleaned_Sales_data[[#This Row],[Profit]]&gt;=10000, "High", Cleaned_Sales_data[[#This Row],[Profit]]&gt;=5000, "Medium", Cleaned_Sales_data[[#This Row],[Profit]]&gt;=0, "Low", Cleaned_Sales_data[[#This Row],[Profit]] &lt;0, "Loss")</f>
        <v>Loss</v>
      </c>
      <c r="V598" t="str">
        <f t="shared" si="9"/>
        <v>UnderPerforming</v>
      </c>
      <c r="W598" s="3">
        <v>45689</v>
      </c>
    </row>
    <row r="599" spans="1:23">
      <c r="A599" t="s">
        <v>146</v>
      </c>
      <c r="B599" s="3">
        <v>46160</v>
      </c>
      <c r="C599" t="s">
        <v>61</v>
      </c>
      <c r="D599" t="str">
        <f>INDEX(Raw_product_master[Category],MATCH(Cleaned_Sales_data[[#This Row],[Product]],Raw_product_master[Product],0))</f>
        <v>Accessories</v>
      </c>
      <c r="E599" t="s">
        <v>31</v>
      </c>
      <c r="F599" t="s">
        <v>38</v>
      </c>
      <c r="G599" t="s">
        <v>35</v>
      </c>
      <c r="H599">
        <v>5</v>
      </c>
      <c r="I599">
        <v>4500</v>
      </c>
      <c r="J599" s="10">
        <v>0.15</v>
      </c>
      <c r="K599">
        <v>22500</v>
      </c>
      <c r="L599">
        <v>19125</v>
      </c>
      <c r="M599">
        <v>14625</v>
      </c>
      <c r="N599">
        <v>1660</v>
      </c>
      <c r="O599">
        <v>2424</v>
      </c>
      <c r="P599">
        <f>INDEX(Raw_product_master[Standard_Cost_Per_Unit],MATCH(Cleaned_Sales_data[[#This Row],[Product]],Raw_product_master[Product],0))</f>
        <v>2925</v>
      </c>
      <c r="Q599">
        <v>416</v>
      </c>
      <c r="R599" s="11">
        <v>2.1751633986928101E-2</v>
      </c>
      <c r="S599" s="11">
        <f>INDEX(Raw_product_master[Target_Margin], MATCH(Cleaned_Sales_data[[#This Row],[Product]],Raw_product_master[Product], 0 ))</f>
        <v>0.22</v>
      </c>
      <c r="T599" t="str">
        <f>IF(Cleaned_Sales_data[[#This Row],[Profit]]&gt;0, "Profitable", "Loss")</f>
        <v>Profitable</v>
      </c>
      <c r="U599" t="str">
        <f>_xlfn.IFS(Cleaned_Sales_data[[#This Row],[Profit]]&gt;=10000, "High", Cleaned_Sales_data[[#This Row],[Profit]]&gt;=5000, "Medium", Cleaned_Sales_data[[#This Row],[Profit]]&gt;=0, "Low", Cleaned_Sales_data[[#This Row],[Profit]] &lt;0, "Loss")</f>
        <v>Low</v>
      </c>
      <c r="V599" t="str">
        <f t="shared" si="9"/>
        <v>UnderPerforming</v>
      </c>
      <c r="W599" s="3">
        <v>46143</v>
      </c>
    </row>
    <row r="600" spans="1:23">
      <c r="A600" t="s">
        <v>147</v>
      </c>
      <c r="B600" s="3">
        <v>45900</v>
      </c>
      <c r="C600" t="s">
        <v>61</v>
      </c>
      <c r="D600" t="str">
        <f>INDEX(Raw_product_master[Category],MATCH(Cleaned_Sales_data[[#This Row],[Product]],Raw_product_master[Product],0))</f>
        <v>Accessories</v>
      </c>
      <c r="E600" t="s">
        <v>51</v>
      </c>
      <c r="F600" t="s">
        <v>38</v>
      </c>
      <c r="G600" t="s">
        <v>35</v>
      </c>
      <c r="H600">
        <v>7</v>
      </c>
      <c r="I600">
        <v>4500</v>
      </c>
      <c r="J600" s="10">
        <v>0</v>
      </c>
      <c r="K600">
        <v>31500</v>
      </c>
      <c r="L600">
        <v>31500</v>
      </c>
      <c r="M600">
        <v>20475</v>
      </c>
      <c r="N600">
        <v>1360</v>
      </c>
      <c r="O600">
        <v>858</v>
      </c>
      <c r="P600">
        <f>INDEX(Raw_product_master[Standard_Cost_Per_Unit],MATCH(Cleaned_Sales_data[[#This Row],[Product]],Raw_product_master[Product],0))</f>
        <v>2925</v>
      </c>
      <c r="Q600">
        <v>8807</v>
      </c>
      <c r="R600" s="11">
        <v>0.279587301587302</v>
      </c>
      <c r="S600" s="11">
        <f>INDEX(Raw_product_master[Target_Margin], MATCH(Cleaned_Sales_data[[#This Row],[Product]],Raw_product_master[Product], 0 ))</f>
        <v>0.22</v>
      </c>
      <c r="T600" t="str">
        <f>IF(Cleaned_Sales_data[[#This Row],[Profit]]&gt;0, "Profitable", "Loss")</f>
        <v>Profitable</v>
      </c>
      <c r="U600" t="str">
        <f>_xlfn.IFS(Cleaned_Sales_data[[#This Row],[Profit]]&gt;=10000, "High", Cleaned_Sales_data[[#This Row],[Profit]]&gt;=5000, "Medium", Cleaned_Sales_data[[#This Row],[Profit]]&gt;=0, "Low", Cleaned_Sales_data[[#This Row],[Profit]] &lt;0, "Loss")</f>
        <v>Medium</v>
      </c>
      <c r="V600" t="str">
        <f t="shared" si="9"/>
        <v>On Target</v>
      </c>
      <c r="W600" s="3">
        <v>45870</v>
      </c>
    </row>
    <row r="601" spans="1:23">
      <c r="A601" t="s">
        <v>166</v>
      </c>
      <c r="B601" s="3">
        <v>46062</v>
      </c>
      <c r="C601" t="s">
        <v>46</v>
      </c>
      <c r="D601" t="str">
        <f>INDEX(Raw_product_master[Category],MATCH(Cleaned_Sales_data[[#This Row],[Product]],Raw_product_master[Product],0))</f>
        <v>Office Equipment</v>
      </c>
      <c r="E601" t="s">
        <v>25</v>
      </c>
      <c r="F601" t="s">
        <v>38</v>
      </c>
      <c r="G601" t="s">
        <v>35</v>
      </c>
      <c r="H601">
        <v>1</v>
      </c>
      <c r="I601">
        <v>18000</v>
      </c>
      <c r="J601" s="10">
        <v>0.15</v>
      </c>
      <c r="K601">
        <v>18000</v>
      </c>
      <c r="L601">
        <v>15300</v>
      </c>
      <c r="M601">
        <v>14400</v>
      </c>
      <c r="N601">
        <v>1630</v>
      </c>
      <c r="O601">
        <v>1892</v>
      </c>
      <c r="P601">
        <f>INDEX(Raw_product_master[Standard_Cost_Per_Unit],MATCH(Cleaned_Sales_data[[#This Row],[Product]],Raw_product_master[Product],0))</f>
        <v>14400</v>
      </c>
      <c r="Q601">
        <v>-2622</v>
      </c>
      <c r="R601" s="11">
        <v>-0.17137254901960799</v>
      </c>
      <c r="S601" s="11">
        <f>INDEX(Raw_product_master[Target_Margin], MATCH(Cleaned_Sales_data[[#This Row],[Product]],Raw_product_master[Product], 0 ))</f>
        <v>0.15</v>
      </c>
      <c r="T601" t="str">
        <f>IF(Cleaned_Sales_data[[#This Row],[Profit]]&gt;0, "Profitable", "Loss")</f>
        <v>Loss</v>
      </c>
      <c r="U601" t="str">
        <f>_xlfn.IFS(Cleaned_Sales_data[[#This Row],[Profit]]&gt;=10000, "High", Cleaned_Sales_data[[#This Row],[Profit]]&gt;=5000, "Medium", Cleaned_Sales_data[[#This Row],[Profit]]&gt;=0, "Low", Cleaned_Sales_data[[#This Row],[Profit]] &lt;0, "Loss")</f>
        <v>Loss</v>
      </c>
      <c r="V601" t="str">
        <f t="shared" si="9"/>
        <v>UnderPerforming</v>
      </c>
      <c r="W601" s="3">
        <v>46054</v>
      </c>
    </row>
    <row r="602" spans="1:23">
      <c r="A602" t="s">
        <v>168</v>
      </c>
      <c r="B602" s="3">
        <v>46194</v>
      </c>
      <c r="C602" t="s">
        <v>75</v>
      </c>
      <c r="D602" t="str">
        <f>INDEX(Raw_product_master[Category],MATCH(Cleaned_Sales_data[[#This Row],[Product]],Raw_product_master[Product],0))</f>
        <v>Computers</v>
      </c>
      <c r="E602" t="s">
        <v>25</v>
      </c>
      <c r="F602" t="s">
        <v>38</v>
      </c>
      <c r="G602" t="s">
        <v>35</v>
      </c>
      <c r="H602">
        <v>1</v>
      </c>
      <c r="I602">
        <v>65000</v>
      </c>
      <c r="J602" s="10">
        <v>0.08</v>
      </c>
      <c r="K602">
        <v>65000</v>
      </c>
      <c r="L602">
        <v>59800</v>
      </c>
      <c r="M602">
        <v>54600</v>
      </c>
      <c r="N602">
        <v>774</v>
      </c>
      <c r="O602">
        <v>2391</v>
      </c>
      <c r="P602">
        <f>INDEX(Raw_product_master[Standard_Cost_Per_Unit],MATCH(Cleaned_Sales_data[[#This Row],[Product]],Raw_product_master[Product],0))</f>
        <v>54600</v>
      </c>
      <c r="Q602">
        <v>2035</v>
      </c>
      <c r="R602" s="11">
        <v>3.4030100334448199E-2</v>
      </c>
      <c r="S602" s="11">
        <f>INDEX(Raw_product_master[Target_Margin], MATCH(Cleaned_Sales_data[[#This Row],[Product]],Raw_product_master[Product], 0 ))</f>
        <v>0.12</v>
      </c>
      <c r="T602" t="str">
        <f>IF(Cleaned_Sales_data[[#This Row],[Profit]]&gt;0, "Profitable", "Loss")</f>
        <v>Profitable</v>
      </c>
      <c r="U602" t="str">
        <f>_xlfn.IFS(Cleaned_Sales_data[[#This Row],[Profit]]&gt;=10000, "High", Cleaned_Sales_data[[#This Row],[Profit]]&gt;=5000, "Medium", Cleaned_Sales_data[[#This Row],[Profit]]&gt;=0, "Low", Cleaned_Sales_data[[#This Row],[Profit]] &lt;0, "Loss")</f>
        <v>Low</v>
      </c>
      <c r="V602" t="str">
        <f t="shared" si="9"/>
        <v>UnderPerforming</v>
      </c>
      <c r="W602" s="3">
        <v>46174</v>
      </c>
    </row>
    <row r="603" spans="1:23">
      <c r="A603" t="s">
        <v>180</v>
      </c>
      <c r="B603" s="3">
        <v>46180</v>
      </c>
      <c r="C603" t="s">
        <v>24</v>
      </c>
      <c r="D603" t="str">
        <f>INDEX(Raw_product_master[Category],MATCH(Cleaned_Sales_data[[#This Row],[Product]],Raw_product_master[Product],0))</f>
        <v>Accessories</v>
      </c>
      <c r="E603" t="s">
        <v>25</v>
      </c>
      <c r="F603" t="s">
        <v>38</v>
      </c>
      <c r="G603" t="s">
        <v>35</v>
      </c>
      <c r="H603">
        <v>4</v>
      </c>
      <c r="I603">
        <v>3500</v>
      </c>
      <c r="J603" s="10">
        <v>0.1</v>
      </c>
      <c r="K603">
        <v>14000</v>
      </c>
      <c r="L603">
        <v>12600</v>
      </c>
      <c r="M603">
        <v>9520</v>
      </c>
      <c r="N603">
        <v>1014</v>
      </c>
      <c r="O603">
        <v>2039</v>
      </c>
      <c r="P603">
        <f>INDEX(Raw_product_master[Standard_Cost_Per_Unit],MATCH(Cleaned_Sales_data[[#This Row],[Product]],Raw_product_master[Product],0))</f>
        <v>2380</v>
      </c>
      <c r="Q603">
        <v>27</v>
      </c>
      <c r="R603" s="11">
        <v>2.1428571428571399E-3</v>
      </c>
      <c r="S603" s="11">
        <f>INDEX(Raw_product_master[Target_Margin], MATCH(Cleaned_Sales_data[[#This Row],[Product]],Raw_product_master[Product], 0 ))</f>
        <v>0.2</v>
      </c>
      <c r="T603" t="str">
        <f>IF(Cleaned_Sales_data[[#This Row],[Profit]]&gt;0, "Profitable", "Loss")</f>
        <v>Profitable</v>
      </c>
      <c r="U603" t="str">
        <f>_xlfn.IFS(Cleaned_Sales_data[[#This Row],[Profit]]&gt;=10000, "High", Cleaned_Sales_data[[#This Row],[Profit]]&gt;=5000, "Medium", Cleaned_Sales_data[[#This Row],[Profit]]&gt;=0, "Low", Cleaned_Sales_data[[#This Row],[Profit]] &lt;0, "Loss")</f>
        <v>Low</v>
      </c>
      <c r="V603" t="str">
        <f t="shared" si="9"/>
        <v>UnderPerforming</v>
      </c>
      <c r="W603" s="3">
        <v>46174</v>
      </c>
    </row>
    <row r="604" spans="1:23">
      <c r="A604" t="s">
        <v>234</v>
      </c>
      <c r="B604" s="3">
        <v>46085</v>
      </c>
      <c r="C604" t="s">
        <v>18</v>
      </c>
      <c r="D604" t="str">
        <f>INDEX(Raw_product_master[Category],MATCH(Cleaned_Sales_data[[#This Row],[Product]],Raw_product_master[Product],0))</f>
        <v>Computers</v>
      </c>
      <c r="E604" t="s">
        <v>63</v>
      </c>
      <c r="F604" t="s">
        <v>38</v>
      </c>
      <c r="G604" t="s">
        <v>35</v>
      </c>
      <c r="H604">
        <v>2</v>
      </c>
      <c r="I604">
        <v>32000</v>
      </c>
      <c r="J604" s="10">
        <v>0.08</v>
      </c>
      <c r="K604">
        <v>64000</v>
      </c>
      <c r="L604">
        <v>58880</v>
      </c>
      <c r="M604">
        <v>52480</v>
      </c>
      <c r="N604">
        <v>342</v>
      </c>
      <c r="O604">
        <v>205</v>
      </c>
      <c r="P604">
        <f>INDEX(Raw_product_master[Standard_Cost_Per_Unit],MATCH(Cleaned_Sales_data[[#This Row],[Product]],Raw_product_master[Product],0))</f>
        <v>26240</v>
      </c>
      <c r="Q604">
        <v>5853</v>
      </c>
      <c r="R604" s="11">
        <v>9.9405570652173897E-2</v>
      </c>
      <c r="S604" s="11">
        <f>INDEX(Raw_product_master[Target_Margin], MATCH(Cleaned_Sales_data[[#This Row],[Product]],Raw_product_master[Product], 0 ))</f>
        <v>0.12</v>
      </c>
      <c r="T604" t="str">
        <f>IF(Cleaned_Sales_data[[#This Row],[Profit]]&gt;0, "Profitable", "Loss")</f>
        <v>Profitable</v>
      </c>
      <c r="U604" t="str">
        <f>_xlfn.IFS(Cleaned_Sales_data[[#This Row],[Profit]]&gt;=10000, "High", Cleaned_Sales_data[[#This Row],[Profit]]&gt;=5000, "Medium", Cleaned_Sales_data[[#This Row],[Profit]]&gt;=0, "Low", Cleaned_Sales_data[[#This Row],[Profit]] &lt;0, "Loss")</f>
        <v>Medium</v>
      </c>
      <c r="V604" t="str">
        <f t="shared" si="9"/>
        <v>UnderPerforming</v>
      </c>
      <c r="W604" s="3">
        <v>46082</v>
      </c>
    </row>
    <row r="605" spans="1:23">
      <c r="A605" t="s">
        <v>246</v>
      </c>
      <c r="B605" s="3">
        <v>45685</v>
      </c>
      <c r="C605" t="s">
        <v>18</v>
      </c>
      <c r="D605" t="str">
        <f>INDEX(Raw_product_master[Category],MATCH(Cleaned_Sales_data[[#This Row],[Product]],Raw_product_master[Product],0))</f>
        <v>Computers</v>
      </c>
      <c r="E605" t="s">
        <v>25</v>
      </c>
      <c r="F605" t="s">
        <v>38</v>
      </c>
      <c r="G605" t="s">
        <v>35</v>
      </c>
      <c r="H605">
        <v>1</v>
      </c>
      <c r="I605">
        <v>32000</v>
      </c>
      <c r="J605" s="10">
        <v>0.08</v>
      </c>
      <c r="K605">
        <v>32000</v>
      </c>
      <c r="L605">
        <v>29440</v>
      </c>
      <c r="M605">
        <v>26240</v>
      </c>
      <c r="N605">
        <v>1037</v>
      </c>
      <c r="O605">
        <v>2140</v>
      </c>
      <c r="P605">
        <f>INDEX(Raw_product_master[Standard_Cost_Per_Unit],MATCH(Cleaned_Sales_data[[#This Row],[Product]],Raw_product_master[Product],0))</f>
        <v>26240</v>
      </c>
      <c r="Q605">
        <v>23</v>
      </c>
      <c r="R605" s="11">
        <v>7.8125000000000004E-4</v>
      </c>
      <c r="S605" s="11">
        <f>INDEX(Raw_product_master[Target_Margin], MATCH(Cleaned_Sales_data[[#This Row],[Product]],Raw_product_master[Product], 0 ))</f>
        <v>0.12</v>
      </c>
      <c r="T605" t="str">
        <f>IF(Cleaned_Sales_data[[#This Row],[Profit]]&gt;0, "Profitable", "Loss")</f>
        <v>Profitable</v>
      </c>
      <c r="U605" t="str">
        <f>_xlfn.IFS(Cleaned_Sales_data[[#This Row],[Profit]]&gt;=10000, "High", Cleaned_Sales_data[[#This Row],[Profit]]&gt;=5000, "Medium", Cleaned_Sales_data[[#This Row],[Profit]]&gt;=0, "Low", Cleaned_Sales_data[[#This Row],[Profit]] &lt;0, "Loss")</f>
        <v>Low</v>
      </c>
      <c r="V605" t="str">
        <f t="shared" si="9"/>
        <v>UnderPerforming</v>
      </c>
      <c r="W605" s="3">
        <v>45658</v>
      </c>
    </row>
    <row r="606" spans="1:23">
      <c r="A606" t="s">
        <v>263</v>
      </c>
      <c r="B606" s="3">
        <v>45993</v>
      </c>
      <c r="C606" t="s">
        <v>50</v>
      </c>
      <c r="D606" t="str">
        <f>INDEX(Raw_product_master[Category],MATCH(Cleaned_Sales_data[[#This Row],[Product]],Raw_product_master[Product],0))</f>
        <v>Accessories</v>
      </c>
      <c r="E606" t="s">
        <v>51</v>
      </c>
      <c r="F606" t="s">
        <v>38</v>
      </c>
      <c r="G606" t="s">
        <v>35</v>
      </c>
      <c r="H606">
        <v>5</v>
      </c>
      <c r="I606">
        <v>2500</v>
      </c>
      <c r="J606" s="10">
        <v>0.1</v>
      </c>
      <c r="K606">
        <v>12500</v>
      </c>
      <c r="L606">
        <v>11250</v>
      </c>
      <c r="M606">
        <v>7750</v>
      </c>
      <c r="N606">
        <v>818</v>
      </c>
      <c r="O606">
        <v>1114</v>
      </c>
      <c r="P606">
        <f>INDEX(Raw_product_master[Standard_Cost_Per_Unit],MATCH(Cleaned_Sales_data[[#This Row],[Product]],Raw_product_master[Product],0))</f>
        <v>1550</v>
      </c>
      <c r="Q606">
        <v>1568</v>
      </c>
      <c r="R606" s="11">
        <v>0.13937777777777799</v>
      </c>
      <c r="S606" s="11">
        <f>INDEX(Raw_product_master[Target_Margin], MATCH(Cleaned_Sales_data[[#This Row],[Product]],Raw_product_master[Product], 0 ))</f>
        <v>0.25</v>
      </c>
      <c r="T606" t="str">
        <f>IF(Cleaned_Sales_data[[#This Row],[Profit]]&gt;0, "Profitable", "Loss")</f>
        <v>Profitable</v>
      </c>
      <c r="U606" t="str">
        <f>_xlfn.IFS(Cleaned_Sales_data[[#This Row],[Profit]]&gt;=10000, "High", Cleaned_Sales_data[[#This Row],[Profit]]&gt;=5000, "Medium", Cleaned_Sales_data[[#This Row],[Profit]]&gt;=0, "Low", Cleaned_Sales_data[[#This Row],[Profit]] &lt;0, "Loss")</f>
        <v>Low</v>
      </c>
      <c r="V606" t="str">
        <f t="shared" si="9"/>
        <v>UnderPerforming</v>
      </c>
      <c r="W606" s="3">
        <v>45992</v>
      </c>
    </row>
    <row r="607" spans="1:23">
      <c r="A607" t="s">
        <v>275</v>
      </c>
      <c r="B607" s="3">
        <v>45693</v>
      </c>
      <c r="C607" t="s">
        <v>61</v>
      </c>
      <c r="D607" t="str">
        <f>INDEX(Raw_product_master[Category],MATCH(Cleaned_Sales_data[[#This Row],[Product]],Raw_product_master[Product],0))</f>
        <v>Accessories</v>
      </c>
      <c r="E607" t="s">
        <v>51</v>
      </c>
      <c r="F607" t="s">
        <v>38</v>
      </c>
      <c r="G607" t="s">
        <v>35</v>
      </c>
      <c r="H607">
        <v>2</v>
      </c>
      <c r="I607">
        <v>4500</v>
      </c>
      <c r="J607" s="10">
        <v>0.15</v>
      </c>
      <c r="K607">
        <v>9000</v>
      </c>
      <c r="L607">
        <v>7650</v>
      </c>
      <c r="M607">
        <v>5850</v>
      </c>
      <c r="N607">
        <v>820</v>
      </c>
      <c r="O607">
        <v>1105</v>
      </c>
      <c r="P607">
        <f>INDEX(Raw_product_master[Standard_Cost_Per_Unit],MATCH(Cleaned_Sales_data[[#This Row],[Product]],Raw_product_master[Product],0))</f>
        <v>2925</v>
      </c>
      <c r="Q607">
        <v>-125</v>
      </c>
      <c r="R607" s="11">
        <v>-1.6339869281045801E-2</v>
      </c>
      <c r="S607" s="11">
        <f>INDEX(Raw_product_master[Target_Margin], MATCH(Cleaned_Sales_data[[#This Row],[Product]],Raw_product_master[Product], 0 ))</f>
        <v>0.22</v>
      </c>
      <c r="T607" t="str">
        <f>IF(Cleaned_Sales_data[[#This Row],[Profit]]&gt;0, "Profitable", "Loss")</f>
        <v>Loss</v>
      </c>
      <c r="U607" t="str">
        <f>_xlfn.IFS(Cleaned_Sales_data[[#This Row],[Profit]]&gt;=10000, "High", Cleaned_Sales_data[[#This Row],[Profit]]&gt;=5000, "Medium", Cleaned_Sales_data[[#This Row],[Profit]]&gt;=0, "Low", Cleaned_Sales_data[[#This Row],[Profit]] &lt;0, "Loss")</f>
        <v>Loss</v>
      </c>
      <c r="V607" t="str">
        <f t="shared" si="9"/>
        <v>UnderPerforming</v>
      </c>
      <c r="W607" s="3">
        <v>45689</v>
      </c>
    </row>
    <row r="608" spans="1:23">
      <c r="A608" t="s">
        <v>285</v>
      </c>
      <c r="B608" s="3">
        <v>46147</v>
      </c>
      <c r="C608" t="s">
        <v>50</v>
      </c>
      <c r="D608" t="str">
        <f>INDEX(Raw_product_master[Category],MATCH(Cleaned_Sales_data[[#This Row],[Product]],Raw_product_master[Product],0))</f>
        <v>Accessories</v>
      </c>
      <c r="E608" t="s">
        <v>31</v>
      </c>
      <c r="F608" t="s">
        <v>38</v>
      </c>
      <c r="G608" t="s">
        <v>35</v>
      </c>
      <c r="H608">
        <v>7</v>
      </c>
      <c r="I608">
        <v>2500</v>
      </c>
      <c r="J608" s="10">
        <v>0.2</v>
      </c>
      <c r="K608">
        <v>17500</v>
      </c>
      <c r="L608">
        <v>14000</v>
      </c>
      <c r="M608">
        <v>10850</v>
      </c>
      <c r="N608">
        <v>1324</v>
      </c>
      <c r="O608">
        <v>343</v>
      </c>
      <c r="P608">
        <f>INDEX(Raw_product_master[Standard_Cost_Per_Unit],MATCH(Cleaned_Sales_data[[#This Row],[Product]],Raw_product_master[Product],0))</f>
        <v>1550</v>
      </c>
      <c r="Q608">
        <v>1483</v>
      </c>
      <c r="R608" s="11">
        <v>0.105928571428571</v>
      </c>
      <c r="S608" s="11">
        <f>INDEX(Raw_product_master[Target_Margin], MATCH(Cleaned_Sales_data[[#This Row],[Product]],Raw_product_master[Product], 0 ))</f>
        <v>0.25</v>
      </c>
      <c r="T608" t="str">
        <f>IF(Cleaned_Sales_data[[#This Row],[Profit]]&gt;0, "Profitable", "Loss")</f>
        <v>Profitable</v>
      </c>
      <c r="U608" t="str">
        <f>_xlfn.IFS(Cleaned_Sales_data[[#This Row],[Profit]]&gt;=10000, "High", Cleaned_Sales_data[[#This Row],[Profit]]&gt;=5000, "Medium", Cleaned_Sales_data[[#This Row],[Profit]]&gt;=0, "Low", Cleaned_Sales_data[[#This Row],[Profit]] &lt;0, "Loss")</f>
        <v>Low</v>
      </c>
      <c r="V608" t="str">
        <f t="shared" si="9"/>
        <v>UnderPerforming</v>
      </c>
      <c r="W608" s="3">
        <v>46143</v>
      </c>
    </row>
    <row r="609" spans="1:23">
      <c r="A609" t="s">
        <v>299</v>
      </c>
      <c r="B609" s="3">
        <v>46167</v>
      </c>
      <c r="C609" t="s">
        <v>18</v>
      </c>
      <c r="D609" t="str">
        <f>INDEX(Raw_product_master[Category],MATCH(Cleaned_Sales_data[[#This Row],[Product]],Raw_product_master[Product],0))</f>
        <v>Computers</v>
      </c>
      <c r="E609" t="s">
        <v>31</v>
      </c>
      <c r="F609" t="s">
        <v>38</v>
      </c>
      <c r="G609" t="s">
        <v>35</v>
      </c>
      <c r="H609">
        <v>1</v>
      </c>
      <c r="I609">
        <v>32000</v>
      </c>
      <c r="J609" s="10">
        <v>0.1</v>
      </c>
      <c r="K609">
        <v>32000</v>
      </c>
      <c r="L609">
        <v>28800</v>
      </c>
      <c r="M609">
        <v>26240</v>
      </c>
      <c r="N609">
        <v>382</v>
      </c>
      <c r="O609">
        <v>728</v>
      </c>
      <c r="P609">
        <f>INDEX(Raw_product_master[Standard_Cost_Per_Unit],MATCH(Cleaned_Sales_data[[#This Row],[Product]],Raw_product_master[Product],0))</f>
        <v>26240</v>
      </c>
      <c r="Q609">
        <v>1450</v>
      </c>
      <c r="R609" s="11">
        <v>5.0347222222222203E-2</v>
      </c>
      <c r="S609" s="11">
        <f>INDEX(Raw_product_master[Target_Margin], MATCH(Cleaned_Sales_data[[#This Row],[Product]],Raw_product_master[Product], 0 ))</f>
        <v>0.12</v>
      </c>
      <c r="T609" t="str">
        <f>IF(Cleaned_Sales_data[[#This Row],[Profit]]&gt;0, "Profitable", "Loss")</f>
        <v>Profitable</v>
      </c>
      <c r="U609" t="str">
        <f>_xlfn.IFS(Cleaned_Sales_data[[#This Row],[Profit]]&gt;=10000, "High", Cleaned_Sales_data[[#This Row],[Profit]]&gt;=5000, "Medium", Cleaned_Sales_data[[#This Row],[Profit]]&gt;=0, "Low", Cleaned_Sales_data[[#This Row],[Profit]] &lt;0, "Loss")</f>
        <v>Low</v>
      </c>
      <c r="V609" t="str">
        <f t="shared" si="9"/>
        <v>UnderPerforming</v>
      </c>
      <c r="W609" s="3">
        <v>46143</v>
      </c>
    </row>
    <row r="610" spans="1:23">
      <c r="A610" t="s">
        <v>317</v>
      </c>
      <c r="B610" s="3">
        <v>45918</v>
      </c>
      <c r="C610" t="s">
        <v>46</v>
      </c>
      <c r="D610" t="str">
        <f>INDEX(Raw_product_master[Category],MATCH(Cleaned_Sales_data[[#This Row],[Product]],Raw_product_master[Product],0))</f>
        <v>Office Equipment</v>
      </c>
      <c r="E610" t="s">
        <v>19</v>
      </c>
      <c r="F610" t="s">
        <v>38</v>
      </c>
      <c r="G610" t="s">
        <v>35</v>
      </c>
      <c r="H610">
        <v>1</v>
      </c>
      <c r="I610">
        <v>18000</v>
      </c>
      <c r="J610" s="10">
        <v>0.03</v>
      </c>
      <c r="K610">
        <v>18000</v>
      </c>
      <c r="L610">
        <v>17460</v>
      </c>
      <c r="M610">
        <v>14400</v>
      </c>
      <c r="N610">
        <v>561</v>
      </c>
      <c r="O610">
        <v>2276</v>
      </c>
      <c r="P610">
        <f>INDEX(Raw_product_master[Standard_Cost_Per_Unit],MATCH(Cleaned_Sales_data[[#This Row],[Product]],Raw_product_master[Product],0))</f>
        <v>14400</v>
      </c>
      <c r="Q610">
        <v>223</v>
      </c>
      <c r="R610" s="11">
        <v>1.2772050400916401E-2</v>
      </c>
      <c r="S610" s="11">
        <f>INDEX(Raw_product_master[Target_Margin], MATCH(Cleaned_Sales_data[[#This Row],[Product]],Raw_product_master[Product], 0 ))</f>
        <v>0.15</v>
      </c>
      <c r="T610" t="str">
        <f>IF(Cleaned_Sales_data[[#This Row],[Profit]]&gt;0, "Profitable", "Loss")</f>
        <v>Profitable</v>
      </c>
      <c r="U610" t="str">
        <f>_xlfn.IFS(Cleaned_Sales_data[[#This Row],[Profit]]&gt;=10000, "High", Cleaned_Sales_data[[#This Row],[Profit]]&gt;=5000, "Medium", Cleaned_Sales_data[[#This Row],[Profit]]&gt;=0, "Low", Cleaned_Sales_data[[#This Row],[Profit]] &lt;0, "Loss")</f>
        <v>Low</v>
      </c>
      <c r="V610" t="str">
        <f t="shared" si="9"/>
        <v>UnderPerforming</v>
      </c>
      <c r="W610" s="3">
        <v>45901</v>
      </c>
    </row>
    <row r="611" spans="1:23">
      <c r="A611" t="s">
        <v>319</v>
      </c>
      <c r="B611" s="3">
        <v>45971</v>
      </c>
      <c r="C611" t="s">
        <v>24</v>
      </c>
      <c r="D611" t="str">
        <f>INDEX(Raw_product_master[Category],MATCH(Cleaned_Sales_data[[#This Row],[Product]],Raw_product_master[Product],0))</f>
        <v>Accessories</v>
      </c>
      <c r="E611" t="s">
        <v>34</v>
      </c>
      <c r="F611" t="s">
        <v>38</v>
      </c>
      <c r="G611" t="s">
        <v>35</v>
      </c>
      <c r="H611">
        <v>1</v>
      </c>
      <c r="I611">
        <v>3500</v>
      </c>
      <c r="J611" s="10">
        <v>0.08</v>
      </c>
      <c r="K611">
        <v>3500</v>
      </c>
      <c r="L611">
        <v>3220</v>
      </c>
      <c r="M611">
        <v>2380</v>
      </c>
      <c r="N611">
        <v>797</v>
      </c>
      <c r="O611">
        <v>2381</v>
      </c>
      <c r="P611">
        <f>INDEX(Raw_product_master[Standard_Cost_Per_Unit],MATCH(Cleaned_Sales_data[[#This Row],[Product]],Raw_product_master[Product],0))</f>
        <v>2380</v>
      </c>
      <c r="Q611">
        <v>-2338</v>
      </c>
      <c r="R611" s="11">
        <v>-0.72608695652173905</v>
      </c>
      <c r="S611" s="11">
        <f>INDEX(Raw_product_master[Target_Margin], MATCH(Cleaned_Sales_data[[#This Row],[Product]],Raw_product_master[Product], 0 ))</f>
        <v>0.2</v>
      </c>
      <c r="T611" t="str">
        <f>IF(Cleaned_Sales_data[[#This Row],[Profit]]&gt;0, "Profitable", "Loss")</f>
        <v>Loss</v>
      </c>
      <c r="U611" t="str">
        <f>_xlfn.IFS(Cleaned_Sales_data[[#This Row],[Profit]]&gt;=10000, "High", Cleaned_Sales_data[[#This Row],[Profit]]&gt;=5000, "Medium", Cleaned_Sales_data[[#This Row],[Profit]]&gt;=0, "Low", Cleaned_Sales_data[[#This Row],[Profit]] &lt;0, "Loss")</f>
        <v>Loss</v>
      </c>
      <c r="V611" t="str">
        <f t="shared" si="9"/>
        <v>UnderPerforming</v>
      </c>
      <c r="W611" s="3">
        <v>45962</v>
      </c>
    </row>
    <row r="612" spans="1:23">
      <c r="A612" t="s">
        <v>320</v>
      </c>
      <c r="B612" s="3">
        <v>45727</v>
      </c>
      <c r="C612" t="s">
        <v>75</v>
      </c>
      <c r="D612" t="str">
        <f>INDEX(Raw_product_master[Category],MATCH(Cleaned_Sales_data[[#This Row],[Product]],Raw_product_master[Product],0))</f>
        <v>Computers</v>
      </c>
      <c r="E612" t="s">
        <v>19</v>
      </c>
      <c r="F612" t="s">
        <v>38</v>
      </c>
      <c r="G612" t="s">
        <v>35</v>
      </c>
      <c r="H612">
        <v>2</v>
      </c>
      <c r="I612">
        <v>65000</v>
      </c>
      <c r="J612" s="10">
        <v>0.1</v>
      </c>
      <c r="K612">
        <v>130000</v>
      </c>
      <c r="L612">
        <v>117000</v>
      </c>
      <c r="M612">
        <v>109200</v>
      </c>
      <c r="N612">
        <v>1243</v>
      </c>
      <c r="O612">
        <v>1878</v>
      </c>
      <c r="P612">
        <f>INDEX(Raw_product_master[Standard_Cost_Per_Unit],MATCH(Cleaned_Sales_data[[#This Row],[Product]],Raw_product_master[Product],0))</f>
        <v>54600</v>
      </c>
      <c r="Q612">
        <v>4679</v>
      </c>
      <c r="R612" s="11">
        <v>3.9991452991453E-2</v>
      </c>
      <c r="S612" s="11">
        <f>INDEX(Raw_product_master[Target_Margin], MATCH(Cleaned_Sales_data[[#This Row],[Product]],Raw_product_master[Product], 0 ))</f>
        <v>0.12</v>
      </c>
      <c r="T612" t="str">
        <f>IF(Cleaned_Sales_data[[#This Row],[Profit]]&gt;0, "Profitable", "Loss")</f>
        <v>Profitable</v>
      </c>
      <c r="U612" t="str">
        <f>_xlfn.IFS(Cleaned_Sales_data[[#This Row],[Profit]]&gt;=10000, "High", Cleaned_Sales_data[[#This Row],[Profit]]&gt;=5000, "Medium", Cleaned_Sales_data[[#This Row],[Profit]]&gt;=0, "Low", Cleaned_Sales_data[[#This Row],[Profit]] &lt;0, "Loss")</f>
        <v>Low</v>
      </c>
      <c r="V612" t="str">
        <f t="shared" si="9"/>
        <v>UnderPerforming</v>
      </c>
      <c r="W612" s="3">
        <v>45717</v>
      </c>
    </row>
    <row r="613" spans="1:23">
      <c r="A613" t="s">
        <v>353</v>
      </c>
      <c r="B613" s="3">
        <v>45934</v>
      </c>
      <c r="C613" t="s">
        <v>30</v>
      </c>
      <c r="D613" t="str">
        <f>INDEX(Raw_product_master[Category],MATCH(Cleaned_Sales_data[[#This Row],[Product]],Raw_product_master[Product],0))</f>
        <v>Displays</v>
      </c>
      <c r="E613" t="s">
        <v>31</v>
      </c>
      <c r="F613" t="s">
        <v>38</v>
      </c>
      <c r="G613" t="s">
        <v>35</v>
      </c>
      <c r="H613">
        <v>2</v>
      </c>
      <c r="I613">
        <v>28000</v>
      </c>
      <c r="J613" s="10">
        <v>0.1</v>
      </c>
      <c r="K613">
        <v>56000</v>
      </c>
      <c r="L613">
        <v>50400</v>
      </c>
      <c r="M613">
        <v>43680</v>
      </c>
      <c r="N613">
        <v>675</v>
      </c>
      <c r="O613">
        <v>1921</v>
      </c>
      <c r="P613">
        <f>INDEX(Raw_product_master[Standard_Cost_Per_Unit],MATCH(Cleaned_Sales_data[[#This Row],[Product]],Raw_product_master[Product],0))</f>
        <v>21840</v>
      </c>
      <c r="Q613">
        <v>4124</v>
      </c>
      <c r="R613" s="11">
        <v>8.1825396825396801E-2</v>
      </c>
      <c r="S613" s="11">
        <f>INDEX(Raw_product_master[Target_Margin], MATCH(Cleaned_Sales_data[[#This Row],[Product]],Raw_product_master[Product], 0 ))</f>
        <v>0.18</v>
      </c>
      <c r="T613" t="str">
        <f>IF(Cleaned_Sales_data[[#This Row],[Profit]]&gt;0, "Profitable", "Loss")</f>
        <v>Profitable</v>
      </c>
      <c r="U613" t="str">
        <f>_xlfn.IFS(Cleaned_Sales_data[[#This Row],[Profit]]&gt;=10000, "High", Cleaned_Sales_data[[#This Row],[Profit]]&gt;=5000, "Medium", Cleaned_Sales_data[[#This Row],[Profit]]&gt;=0, "Low", Cleaned_Sales_data[[#This Row],[Profit]] &lt;0, "Loss")</f>
        <v>Low</v>
      </c>
      <c r="V613" t="str">
        <f t="shared" si="9"/>
        <v>UnderPerforming</v>
      </c>
      <c r="W613" s="3">
        <v>45931</v>
      </c>
    </row>
    <row r="614" spans="1:23">
      <c r="A614" t="s">
        <v>356</v>
      </c>
      <c r="B614" s="3">
        <v>45781</v>
      </c>
      <c r="C614" t="s">
        <v>50</v>
      </c>
      <c r="D614" t="str">
        <f>INDEX(Raw_product_master[Category],MATCH(Cleaned_Sales_data[[#This Row],[Product]],Raw_product_master[Product],0))</f>
        <v>Accessories</v>
      </c>
      <c r="E614" t="s">
        <v>63</v>
      </c>
      <c r="F614" t="s">
        <v>38</v>
      </c>
      <c r="G614" t="s">
        <v>35</v>
      </c>
      <c r="H614">
        <v>4</v>
      </c>
      <c r="I614">
        <v>2500</v>
      </c>
      <c r="J614" s="10">
        <v>0.08</v>
      </c>
      <c r="K614">
        <v>10000</v>
      </c>
      <c r="L614">
        <v>9200</v>
      </c>
      <c r="M614">
        <v>6200</v>
      </c>
      <c r="N614">
        <v>653</v>
      </c>
      <c r="O614">
        <v>2348</v>
      </c>
      <c r="P614">
        <f>INDEX(Raw_product_master[Standard_Cost_Per_Unit],MATCH(Cleaned_Sales_data[[#This Row],[Product]],Raw_product_master[Product],0))</f>
        <v>1550</v>
      </c>
      <c r="Q614">
        <v>-1</v>
      </c>
      <c r="R614" s="11">
        <v>-1.0869565217391299E-4</v>
      </c>
      <c r="S614" s="11">
        <f>INDEX(Raw_product_master[Target_Margin], MATCH(Cleaned_Sales_data[[#This Row],[Product]],Raw_product_master[Product], 0 ))</f>
        <v>0.25</v>
      </c>
      <c r="T614" t="str">
        <f>IF(Cleaned_Sales_data[[#This Row],[Profit]]&gt;0, "Profitable", "Loss")</f>
        <v>Loss</v>
      </c>
      <c r="U614" t="str">
        <f>_xlfn.IFS(Cleaned_Sales_data[[#This Row],[Profit]]&gt;=10000, "High", Cleaned_Sales_data[[#This Row],[Profit]]&gt;=5000, "Medium", Cleaned_Sales_data[[#This Row],[Profit]]&gt;=0, "Low", Cleaned_Sales_data[[#This Row],[Profit]] &lt;0, "Loss")</f>
        <v>Loss</v>
      </c>
      <c r="V614" t="str">
        <f t="shared" si="9"/>
        <v>UnderPerforming</v>
      </c>
      <c r="W614" s="3">
        <v>45778</v>
      </c>
    </row>
    <row r="615" spans="1:23">
      <c r="A615" t="s">
        <v>360</v>
      </c>
      <c r="B615" s="3">
        <v>45927</v>
      </c>
      <c r="C615" t="s">
        <v>61</v>
      </c>
      <c r="D615" t="str">
        <f>INDEX(Raw_product_master[Category],MATCH(Cleaned_Sales_data[[#This Row],[Product]],Raw_product_master[Product],0))</f>
        <v>Accessories</v>
      </c>
      <c r="E615" t="s">
        <v>25</v>
      </c>
      <c r="F615" t="s">
        <v>38</v>
      </c>
      <c r="G615" t="s">
        <v>35</v>
      </c>
      <c r="H615">
        <v>3</v>
      </c>
      <c r="I615">
        <v>4500</v>
      </c>
      <c r="J615" s="10">
        <v>0.05</v>
      </c>
      <c r="K615">
        <v>13500</v>
      </c>
      <c r="L615">
        <v>12825</v>
      </c>
      <c r="M615">
        <v>8775</v>
      </c>
      <c r="N615">
        <v>480</v>
      </c>
      <c r="O615">
        <v>523</v>
      </c>
      <c r="P615">
        <f>INDEX(Raw_product_master[Standard_Cost_Per_Unit],MATCH(Cleaned_Sales_data[[#This Row],[Product]],Raw_product_master[Product],0))</f>
        <v>2925</v>
      </c>
      <c r="Q615">
        <v>3047</v>
      </c>
      <c r="R615" s="11">
        <v>0.23758284600389901</v>
      </c>
      <c r="S615" s="11">
        <f>INDEX(Raw_product_master[Target_Margin], MATCH(Cleaned_Sales_data[[#This Row],[Product]],Raw_product_master[Product], 0 ))</f>
        <v>0.22</v>
      </c>
      <c r="T615" t="str">
        <f>IF(Cleaned_Sales_data[[#This Row],[Profit]]&gt;0, "Profitable", "Loss")</f>
        <v>Profitable</v>
      </c>
      <c r="U615" t="str">
        <f>_xlfn.IFS(Cleaned_Sales_data[[#This Row],[Profit]]&gt;=10000, "High", Cleaned_Sales_data[[#This Row],[Profit]]&gt;=5000, "Medium", Cleaned_Sales_data[[#This Row],[Profit]]&gt;=0, "Low", Cleaned_Sales_data[[#This Row],[Profit]] &lt;0, "Loss")</f>
        <v>Low</v>
      </c>
      <c r="V615" t="str">
        <f t="shared" si="9"/>
        <v>On Target</v>
      </c>
      <c r="W615" s="3">
        <v>45901</v>
      </c>
    </row>
    <row r="616" spans="1:23">
      <c r="A616" t="s">
        <v>362</v>
      </c>
      <c r="B616" s="3">
        <v>46165</v>
      </c>
      <c r="C616" t="s">
        <v>61</v>
      </c>
      <c r="D616" t="str">
        <f>INDEX(Raw_product_master[Category],MATCH(Cleaned_Sales_data[[#This Row],[Product]],Raw_product_master[Product],0))</f>
        <v>Accessories</v>
      </c>
      <c r="E616" t="s">
        <v>19</v>
      </c>
      <c r="F616" t="s">
        <v>38</v>
      </c>
      <c r="G616" t="s">
        <v>35</v>
      </c>
      <c r="H616">
        <v>7</v>
      </c>
      <c r="I616">
        <v>4500</v>
      </c>
      <c r="J616" s="10">
        <v>0.08</v>
      </c>
      <c r="K616">
        <v>31500</v>
      </c>
      <c r="L616">
        <v>28980</v>
      </c>
      <c r="M616">
        <v>20475</v>
      </c>
      <c r="N616">
        <v>1598</v>
      </c>
      <c r="O616">
        <v>732</v>
      </c>
      <c r="P616">
        <f>INDEX(Raw_product_master[Standard_Cost_Per_Unit],MATCH(Cleaned_Sales_data[[#This Row],[Product]],Raw_product_master[Product],0))</f>
        <v>2925</v>
      </c>
      <c r="Q616">
        <v>6175</v>
      </c>
      <c r="R616" s="11">
        <v>0.21307798481711501</v>
      </c>
      <c r="S616" s="11">
        <f>INDEX(Raw_product_master[Target_Margin], MATCH(Cleaned_Sales_data[[#This Row],[Product]],Raw_product_master[Product], 0 ))</f>
        <v>0.22</v>
      </c>
      <c r="T616" t="str">
        <f>IF(Cleaned_Sales_data[[#This Row],[Profit]]&gt;0, "Profitable", "Loss")</f>
        <v>Profitable</v>
      </c>
      <c r="U616" t="str">
        <f>_xlfn.IFS(Cleaned_Sales_data[[#This Row],[Profit]]&gt;=10000, "High", Cleaned_Sales_data[[#This Row],[Profit]]&gt;=5000, "Medium", Cleaned_Sales_data[[#This Row],[Profit]]&gt;=0, "Low", Cleaned_Sales_data[[#This Row],[Profit]] &lt;0, "Loss")</f>
        <v>Medium</v>
      </c>
      <c r="V616" t="str">
        <f t="shared" si="9"/>
        <v>UnderPerforming</v>
      </c>
      <c r="W616" s="3">
        <v>46143</v>
      </c>
    </row>
    <row r="617" spans="1:23">
      <c r="A617" t="s">
        <v>365</v>
      </c>
      <c r="B617" s="3">
        <v>45673</v>
      </c>
      <c r="C617" t="s">
        <v>30</v>
      </c>
      <c r="D617" t="str">
        <f>INDEX(Raw_product_master[Category],MATCH(Cleaned_Sales_data[[#This Row],[Product]],Raw_product_master[Product],0))</f>
        <v>Displays</v>
      </c>
      <c r="E617" t="s">
        <v>51</v>
      </c>
      <c r="F617" t="s">
        <v>38</v>
      </c>
      <c r="G617" t="s">
        <v>35</v>
      </c>
      <c r="H617">
        <v>1</v>
      </c>
      <c r="I617">
        <v>28000</v>
      </c>
      <c r="J617" s="10">
        <v>0.05</v>
      </c>
      <c r="K617">
        <v>28000</v>
      </c>
      <c r="L617">
        <v>26600</v>
      </c>
      <c r="M617">
        <v>21840</v>
      </c>
      <c r="N617">
        <v>1350</v>
      </c>
      <c r="O617">
        <v>1378</v>
      </c>
      <c r="P617">
        <f>INDEX(Raw_product_master[Standard_Cost_Per_Unit],MATCH(Cleaned_Sales_data[[#This Row],[Product]],Raw_product_master[Product],0))</f>
        <v>21840</v>
      </c>
      <c r="Q617">
        <v>2032</v>
      </c>
      <c r="R617" s="11">
        <v>7.6390977443608996E-2</v>
      </c>
      <c r="S617" s="11">
        <f>INDEX(Raw_product_master[Target_Margin], MATCH(Cleaned_Sales_data[[#This Row],[Product]],Raw_product_master[Product], 0 ))</f>
        <v>0.18</v>
      </c>
      <c r="T617" t="str">
        <f>IF(Cleaned_Sales_data[[#This Row],[Profit]]&gt;0, "Profitable", "Loss")</f>
        <v>Profitable</v>
      </c>
      <c r="U617" t="str">
        <f>_xlfn.IFS(Cleaned_Sales_data[[#This Row],[Profit]]&gt;=10000, "High", Cleaned_Sales_data[[#This Row],[Profit]]&gt;=5000, "Medium", Cleaned_Sales_data[[#This Row],[Profit]]&gt;=0, "Low", Cleaned_Sales_data[[#This Row],[Profit]] &lt;0, "Loss")</f>
        <v>Low</v>
      </c>
      <c r="V617" t="str">
        <f t="shared" si="9"/>
        <v>UnderPerforming</v>
      </c>
      <c r="W617" s="3">
        <v>45658</v>
      </c>
    </row>
    <row r="618" spans="1:23">
      <c r="A618" t="s">
        <v>374</v>
      </c>
      <c r="B618" s="3">
        <v>45793</v>
      </c>
      <c r="C618" t="s">
        <v>24</v>
      </c>
      <c r="D618" t="str">
        <f>INDEX(Raw_product_master[Category],MATCH(Cleaned_Sales_data[[#This Row],[Product]],Raw_product_master[Product],0))</f>
        <v>Accessories</v>
      </c>
      <c r="E618" t="s">
        <v>19</v>
      </c>
      <c r="F618" t="s">
        <v>38</v>
      </c>
      <c r="G618" t="s">
        <v>35</v>
      </c>
      <c r="H618">
        <v>6</v>
      </c>
      <c r="I618">
        <v>3500</v>
      </c>
      <c r="J618" s="10">
        <v>0.15</v>
      </c>
      <c r="K618">
        <v>21000</v>
      </c>
      <c r="L618">
        <v>17850</v>
      </c>
      <c r="M618">
        <v>14280</v>
      </c>
      <c r="N618">
        <v>1080</v>
      </c>
      <c r="O618">
        <v>1313</v>
      </c>
      <c r="P618">
        <f>INDEX(Raw_product_master[Standard_Cost_Per_Unit],MATCH(Cleaned_Sales_data[[#This Row],[Product]],Raw_product_master[Product],0))</f>
        <v>2380</v>
      </c>
      <c r="Q618">
        <v>1177</v>
      </c>
      <c r="R618" s="11">
        <v>6.5938375350139994E-2</v>
      </c>
      <c r="S618" s="11">
        <f>INDEX(Raw_product_master[Target_Margin], MATCH(Cleaned_Sales_data[[#This Row],[Product]],Raw_product_master[Product], 0 ))</f>
        <v>0.2</v>
      </c>
      <c r="T618" t="str">
        <f>IF(Cleaned_Sales_data[[#This Row],[Profit]]&gt;0, "Profitable", "Loss")</f>
        <v>Profitable</v>
      </c>
      <c r="U618" t="str">
        <f>_xlfn.IFS(Cleaned_Sales_data[[#This Row],[Profit]]&gt;=10000, "High", Cleaned_Sales_data[[#This Row],[Profit]]&gt;=5000, "Medium", Cleaned_Sales_data[[#This Row],[Profit]]&gt;=0, "Low", Cleaned_Sales_data[[#This Row],[Profit]] &lt;0, "Loss")</f>
        <v>Low</v>
      </c>
      <c r="V618" t="str">
        <f t="shared" si="9"/>
        <v>UnderPerforming</v>
      </c>
      <c r="W618" s="3">
        <v>45778</v>
      </c>
    </row>
    <row r="619" spans="1:23">
      <c r="A619" t="s">
        <v>375</v>
      </c>
      <c r="B619" s="3">
        <v>46020</v>
      </c>
      <c r="C619" t="s">
        <v>18</v>
      </c>
      <c r="D619" t="str">
        <f>INDEX(Raw_product_master[Category],MATCH(Cleaned_Sales_data[[#This Row],[Product]],Raw_product_master[Product],0))</f>
        <v>Computers</v>
      </c>
      <c r="E619" t="s">
        <v>34</v>
      </c>
      <c r="F619" t="s">
        <v>38</v>
      </c>
      <c r="G619" t="s">
        <v>35</v>
      </c>
      <c r="H619">
        <v>1</v>
      </c>
      <c r="I619">
        <v>32000</v>
      </c>
      <c r="J619" s="10">
        <v>0.05</v>
      </c>
      <c r="K619">
        <v>32000</v>
      </c>
      <c r="L619">
        <v>30400</v>
      </c>
      <c r="M619">
        <v>26240</v>
      </c>
      <c r="N619">
        <v>903</v>
      </c>
      <c r="O619">
        <v>417</v>
      </c>
      <c r="P619">
        <f>INDEX(Raw_product_master[Standard_Cost_Per_Unit],MATCH(Cleaned_Sales_data[[#This Row],[Product]],Raw_product_master[Product],0))</f>
        <v>26240</v>
      </c>
      <c r="Q619">
        <v>2840</v>
      </c>
      <c r="R619" s="11">
        <v>9.3421052631579002E-2</v>
      </c>
      <c r="S619" s="11">
        <f>INDEX(Raw_product_master[Target_Margin], MATCH(Cleaned_Sales_data[[#This Row],[Product]],Raw_product_master[Product], 0 ))</f>
        <v>0.12</v>
      </c>
      <c r="T619" t="str">
        <f>IF(Cleaned_Sales_data[[#This Row],[Profit]]&gt;0, "Profitable", "Loss")</f>
        <v>Profitable</v>
      </c>
      <c r="U619" t="str">
        <f>_xlfn.IFS(Cleaned_Sales_data[[#This Row],[Profit]]&gt;=10000, "High", Cleaned_Sales_data[[#This Row],[Profit]]&gt;=5000, "Medium", Cleaned_Sales_data[[#This Row],[Profit]]&gt;=0, "Low", Cleaned_Sales_data[[#This Row],[Profit]] &lt;0, "Loss")</f>
        <v>Low</v>
      </c>
      <c r="V619" t="str">
        <f t="shared" si="9"/>
        <v>UnderPerforming</v>
      </c>
      <c r="W619" s="3">
        <v>45992</v>
      </c>
    </row>
    <row r="620" spans="1:23">
      <c r="A620" t="s">
        <v>391</v>
      </c>
      <c r="B620" s="3">
        <v>46087</v>
      </c>
      <c r="C620" t="s">
        <v>61</v>
      </c>
      <c r="D620" t="str">
        <f>INDEX(Raw_product_master[Category],MATCH(Cleaned_Sales_data[[#This Row],[Product]],Raw_product_master[Product],0))</f>
        <v>Accessories</v>
      </c>
      <c r="E620" t="s">
        <v>34</v>
      </c>
      <c r="F620" t="s">
        <v>38</v>
      </c>
      <c r="G620" t="s">
        <v>35</v>
      </c>
      <c r="H620">
        <v>3</v>
      </c>
      <c r="I620">
        <v>4500</v>
      </c>
      <c r="J620" s="10">
        <v>0.08</v>
      </c>
      <c r="K620">
        <v>13500</v>
      </c>
      <c r="L620">
        <v>12420</v>
      </c>
      <c r="M620">
        <v>8775</v>
      </c>
      <c r="N620">
        <v>756</v>
      </c>
      <c r="O620">
        <v>1278</v>
      </c>
      <c r="P620">
        <f>INDEX(Raw_product_master[Standard_Cost_Per_Unit],MATCH(Cleaned_Sales_data[[#This Row],[Product]],Raw_product_master[Product],0))</f>
        <v>2925</v>
      </c>
      <c r="Q620">
        <v>1611</v>
      </c>
      <c r="R620" s="11">
        <v>0.12971014492753599</v>
      </c>
      <c r="S620" s="11">
        <f>INDEX(Raw_product_master[Target_Margin], MATCH(Cleaned_Sales_data[[#This Row],[Product]],Raw_product_master[Product], 0 ))</f>
        <v>0.22</v>
      </c>
      <c r="T620" t="str">
        <f>IF(Cleaned_Sales_data[[#This Row],[Profit]]&gt;0, "Profitable", "Loss")</f>
        <v>Profitable</v>
      </c>
      <c r="U620" t="str">
        <f>_xlfn.IFS(Cleaned_Sales_data[[#This Row],[Profit]]&gt;=10000, "High", Cleaned_Sales_data[[#This Row],[Profit]]&gt;=5000, "Medium", Cleaned_Sales_data[[#This Row],[Profit]]&gt;=0, "Low", Cleaned_Sales_data[[#This Row],[Profit]] &lt;0, "Loss")</f>
        <v>Low</v>
      </c>
      <c r="V620" t="str">
        <f t="shared" si="9"/>
        <v>UnderPerforming</v>
      </c>
      <c r="W620" s="3">
        <v>46082</v>
      </c>
    </row>
    <row r="621" spans="1:23">
      <c r="A621" t="s">
        <v>404</v>
      </c>
      <c r="B621" s="3">
        <v>46151</v>
      </c>
      <c r="C621" t="s">
        <v>46</v>
      </c>
      <c r="D621" t="str">
        <f>INDEX(Raw_product_master[Category],MATCH(Cleaned_Sales_data[[#This Row],[Product]],Raw_product_master[Product],0))</f>
        <v>Office Equipment</v>
      </c>
      <c r="E621" t="s">
        <v>51</v>
      </c>
      <c r="F621" t="s">
        <v>38</v>
      </c>
      <c r="G621" t="s">
        <v>35</v>
      </c>
      <c r="H621">
        <v>3</v>
      </c>
      <c r="I621">
        <v>18000</v>
      </c>
      <c r="J621" s="10">
        <v>0.05</v>
      </c>
      <c r="K621">
        <v>54000</v>
      </c>
      <c r="L621">
        <v>51300</v>
      </c>
      <c r="M621">
        <v>43200</v>
      </c>
      <c r="N621">
        <v>1546</v>
      </c>
      <c r="O621">
        <v>1136</v>
      </c>
      <c r="P621">
        <f>INDEX(Raw_product_master[Standard_Cost_Per_Unit],MATCH(Cleaned_Sales_data[[#This Row],[Product]],Raw_product_master[Product],0))</f>
        <v>14400</v>
      </c>
      <c r="Q621">
        <v>5418</v>
      </c>
      <c r="R621" s="11">
        <v>0.10561403508771899</v>
      </c>
      <c r="S621" s="11">
        <f>INDEX(Raw_product_master[Target_Margin], MATCH(Cleaned_Sales_data[[#This Row],[Product]],Raw_product_master[Product], 0 ))</f>
        <v>0.15</v>
      </c>
      <c r="T621" t="str">
        <f>IF(Cleaned_Sales_data[[#This Row],[Profit]]&gt;0, "Profitable", "Loss")</f>
        <v>Profitable</v>
      </c>
      <c r="U621" t="str">
        <f>_xlfn.IFS(Cleaned_Sales_data[[#This Row],[Profit]]&gt;=10000, "High", Cleaned_Sales_data[[#This Row],[Profit]]&gt;=5000, "Medium", Cleaned_Sales_data[[#This Row],[Profit]]&gt;=0, "Low", Cleaned_Sales_data[[#This Row],[Profit]] &lt;0, "Loss")</f>
        <v>Medium</v>
      </c>
      <c r="V621" t="str">
        <f t="shared" si="9"/>
        <v>UnderPerforming</v>
      </c>
      <c r="W621" s="3">
        <v>46143</v>
      </c>
    </row>
    <row r="622" spans="1:23">
      <c r="A622" t="s">
        <v>406</v>
      </c>
      <c r="B622" s="3">
        <v>46027</v>
      </c>
      <c r="C622" t="s">
        <v>75</v>
      </c>
      <c r="D622" t="str">
        <f>INDEX(Raw_product_master[Category],MATCH(Cleaned_Sales_data[[#This Row],[Product]],Raw_product_master[Product],0))</f>
        <v>Computers</v>
      </c>
      <c r="E622" t="s">
        <v>25</v>
      </c>
      <c r="F622" t="s">
        <v>38</v>
      </c>
      <c r="G622" t="s">
        <v>35</v>
      </c>
      <c r="H622">
        <v>3</v>
      </c>
      <c r="I622">
        <v>65000</v>
      </c>
      <c r="J622" s="10">
        <v>0.03</v>
      </c>
      <c r="K622">
        <v>195000</v>
      </c>
      <c r="L622">
        <v>189150</v>
      </c>
      <c r="M622">
        <v>163800</v>
      </c>
      <c r="N622">
        <v>256</v>
      </c>
      <c r="O622">
        <v>118</v>
      </c>
      <c r="P622">
        <f>INDEX(Raw_product_master[Standard_Cost_Per_Unit],MATCH(Cleaned_Sales_data[[#This Row],[Product]],Raw_product_master[Product],0))</f>
        <v>54600</v>
      </c>
      <c r="Q622">
        <v>24976</v>
      </c>
      <c r="R622" s="11">
        <v>0.13204335183716601</v>
      </c>
      <c r="S622" s="11">
        <f>INDEX(Raw_product_master[Target_Margin], MATCH(Cleaned_Sales_data[[#This Row],[Product]],Raw_product_master[Product], 0 ))</f>
        <v>0.12</v>
      </c>
      <c r="T622" t="str">
        <f>IF(Cleaned_Sales_data[[#This Row],[Profit]]&gt;0, "Profitable", "Loss")</f>
        <v>Profitable</v>
      </c>
      <c r="U622" t="str">
        <f>_xlfn.IFS(Cleaned_Sales_data[[#This Row],[Profit]]&gt;=10000, "High", Cleaned_Sales_data[[#This Row],[Profit]]&gt;=5000, "Medium", Cleaned_Sales_data[[#This Row],[Profit]]&gt;=0, "Low", Cleaned_Sales_data[[#This Row],[Profit]] &lt;0, "Loss")</f>
        <v>High</v>
      </c>
      <c r="V622" t="str">
        <f t="shared" si="9"/>
        <v>On Target</v>
      </c>
      <c r="W622" s="3">
        <v>46023</v>
      </c>
    </row>
    <row r="623" spans="1:23">
      <c r="A623" t="s">
        <v>409</v>
      </c>
      <c r="B623" s="3">
        <v>45845</v>
      </c>
      <c r="C623" t="s">
        <v>53</v>
      </c>
      <c r="D623" t="str">
        <f>INDEX(Raw_product_master[Category],MATCH(Cleaned_Sales_data[[#This Row],[Product]],Raw_product_master[Product],0))</f>
        <v>Accessories</v>
      </c>
      <c r="E623" t="s">
        <v>51</v>
      </c>
      <c r="F623" t="s">
        <v>38</v>
      </c>
      <c r="G623" t="s">
        <v>35</v>
      </c>
      <c r="H623">
        <v>6</v>
      </c>
      <c r="I623">
        <v>1500</v>
      </c>
      <c r="J623" s="10">
        <v>0</v>
      </c>
      <c r="K623">
        <v>9000</v>
      </c>
      <c r="L623">
        <v>9000</v>
      </c>
      <c r="M623">
        <v>4950</v>
      </c>
      <c r="N623">
        <v>1298</v>
      </c>
      <c r="O623">
        <v>1009</v>
      </c>
      <c r="P623">
        <f>INDEX(Raw_product_master[Standard_Cost_Per_Unit],MATCH(Cleaned_Sales_data[[#This Row],[Product]],Raw_product_master[Product],0))</f>
        <v>825</v>
      </c>
      <c r="Q623">
        <v>1743</v>
      </c>
      <c r="R623" s="11">
        <v>0.19366666666666699</v>
      </c>
      <c r="S623" s="11">
        <f>INDEX(Raw_product_master[Target_Margin], MATCH(Cleaned_Sales_data[[#This Row],[Product]],Raw_product_master[Product], 0 ))</f>
        <v>0.3</v>
      </c>
      <c r="T623" t="str">
        <f>IF(Cleaned_Sales_data[[#This Row],[Profit]]&gt;0, "Profitable", "Loss")</f>
        <v>Profitable</v>
      </c>
      <c r="U623" t="str">
        <f>_xlfn.IFS(Cleaned_Sales_data[[#This Row],[Profit]]&gt;=10000, "High", Cleaned_Sales_data[[#This Row],[Profit]]&gt;=5000, "Medium", Cleaned_Sales_data[[#This Row],[Profit]]&gt;=0, "Low", Cleaned_Sales_data[[#This Row],[Profit]] &lt;0, "Loss")</f>
        <v>Low</v>
      </c>
      <c r="V623" t="str">
        <f t="shared" si="9"/>
        <v>UnderPerforming</v>
      </c>
      <c r="W623" s="3">
        <v>45839</v>
      </c>
    </row>
    <row r="624" spans="1:23">
      <c r="A624" t="s">
        <v>411</v>
      </c>
      <c r="B624" s="3">
        <v>45768</v>
      </c>
      <c r="C624" t="s">
        <v>53</v>
      </c>
      <c r="D624" t="str">
        <f>INDEX(Raw_product_master[Category],MATCH(Cleaned_Sales_data[[#This Row],[Product]],Raw_product_master[Product],0))</f>
        <v>Accessories</v>
      </c>
      <c r="E624" t="s">
        <v>31</v>
      </c>
      <c r="F624" t="s">
        <v>38</v>
      </c>
      <c r="G624" t="s">
        <v>35</v>
      </c>
      <c r="H624">
        <v>2</v>
      </c>
      <c r="I624">
        <v>1500</v>
      </c>
      <c r="J624" s="10">
        <v>0</v>
      </c>
      <c r="K624">
        <v>3000</v>
      </c>
      <c r="L624">
        <v>3000</v>
      </c>
      <c r="M624">
        <v>1650</v>
      </c>
      <c r="N624">
        <v>1236</v>
      </c>
      <c r="O624">
        <v>2331</v>
      </c>
      <c r="P624">
        <f>INDEX(Raw_product_master[Standard_Cost_Per_Unit],MATCH(Cleaned_Sales_data[[#This Row],[Product]],Raw_product_master[Product],0))</f>
        <v>825</v>
      </c>
      <c r="Q624">
        <v>-2217</v>
      </c>
      <c r="R624" s="11">
        <v>-0.73899999999999999</v>
      </c>
      <c r="S624" s="11">
        <f>INDEX(Raw_product_master[Target_Margin], MATCH(Cleaned_Sales_data[[#This Row],[Product]],Raw_product_master[Product], 0 ))</f>
        <v>0.3</v>
      </c>
      <c r="T624" t="str">
        <f>IF(Cleaned_Sales_data[[#This Row],[Profit]]&gt;0, "Profitable", "Loss")</f>
        <v>Loss</v>
      </c>
      <c r="U624" t="str">
        <f>_xlfn.IFS(Cleaned_Sales_data[[#This Row],[Profit]]&gt;=10000, "High", Cleaned_Sales_data[[#This Row],[Profit]]&gt;=5000, "Medium", Cleaned_Sales_data[[#This Row],[Profit]]&gt;=0, "Low", Cleaned_Sales_data[[#This Row],[Profit]] &lt;0, "Loss")</f>
        <v>Loss</v>
      </c>
      <c r="V624" t="str">
        <f t="shared" si="9"/>
        <v>UnderPerforming</v>
      </c>
      <c r="W624" s="3">
        <v>45748</v>
      </c>
    </row>
    <row r="625" spans="1:23">
      <c r="A625" t="s">
        <v>419</v>
      </c>
      <c r="B625" s="3">
        <v>45798</v>
      </c>
      <c r="C625" t="s">
        <v>50</v>
      </c>
      <c r="D625" t="str">
        <f>INDEX(Raw_product_master[Category],MATCH(Cleaned_Sales_data[[#This Row],[Product]],Raw_product_master[Product],0))</f>
        <v>Accessories</v>
      </c>
      <c r="E625" t="s">
        <v>19</v>
      </c>
      <c r="F625" t="s">
        <v>38</v>
      </c>
      <c r="G625" t="s">
        <v>35</v>
      </c>
      <c r="H625">
        <v>1</v>
      </c>
      <c r="I625">
        <v>2500</v>
      </c>
      <c r="J625" s="10">
        <v>0.1</v>
      </c>
      <c r="K625">
        <v>2500</v>
      </c>
      <c r="L625">
        <v>2250</v>
      </c>
      <c r="M625">
        <v>1550</v>
      </c>
      <c r="N625">
        <v>627</v>
      </c>
      <c r="O625">
        <v>1575</v>
      </c>
      <c r="P625">
        <f>INDEX(Raw_product_master[Standard_Cost_Per_Unit],MATCH(Cleaned_Sales_data[[#This Row],[Product]],Raw_product_master[Product],0))</f>
        <v>1550</v>
      </c>
      <c r="Q625">
        <v>-1502</v>
      </c>
      <c r="R625" s="11">
        <v>-0.66755555555555601</v>
      </c>
      <c r="S625" s="11">
        <f>INDEX(Raw_product_master[Target_Margin], MATCH(Cleaned_Sales_data[[#This Row],[Product]],Raw_product_master[Product], 0 ))</f>
        <v>0.25</v>
      </c>
      <c r="T625" t="str">
        <f>IF(Cleaned_Sales_data[[#This Row],[Profit]]&gt;0, "Profitable", "Loss")</f>
        <v>Loss</v>
      </c>
      <c r="U625" t="str">
        <f>_xlfn.IFS(Cleaned_Sales_data[[#This Row],[Profit]]&gt;=10000, "High", Cleaned_Sales_data[[#This Row],[Profit]]&gt;=5000, "Medium", Cleaned_Sales_data[[#This Row],[Profit]]&gt;=0, "Low", Cleaned_Sales_data[[#This Row],[Profit]] &lt;0, "Loss")</f>
        <v>Loss</v>
      </c>
      <c r="V625" t="str">
        <f t="shared" si="9"/>
        <v>UnderPerforming</v>
      </c>
      <c r="W625" s="3">
        <v>45778</v>
      </c>
    </row>
    <row r="626" spans="1:23">
      <c r="A626" t="s">
        <v>434</v>
      </c>
      <c r="B626" s="3">
        <v>46091</v>
      </c>
      <c r="C626" t="s">
        <v>30</v>
      </c>
      <c r="D626" t="str">
        <f>INDEX(Raw_product_master[Category],MATCH(Cleaned_Sales_data[[#This Row],[Product]],Raw_product_master[Product],0))</f>
        <v>Displays</v>
      </c>
      <c r="E626" t="s">
        <v>19</v>
      </c>
      <c r="F626" t="s">
        <v>38</v>
      </c>
      <c r="G626" t="s">
        <v>35</v>
      </c>
      <c r="H626">
        <v>2</v>
      </c>
      <c r="I626">
        <v>28000</v>
      </c>
      <c r="J626" s="10">
        <v>0.2</v>
      </c>
      <c r="K626">
        <v>56000</v>
      </c>
      <c r="L626">
        <v>44800</v>
      </c>
      <c r="M626">
        <v>43680</v>
      </c>
      <c r="N626">
        <v>830</v>
      </c>
      <c r="O626">
        <v>1947</v>
      </c>
      <c r="P626">
        <f>INDEX(Raw_product_master[Standard_Cost_Per_Unit],MATCH(Cleaned_Sales_data[[#This Row],[Product]],Raw_product_master[Product],0))</f>
        <v>21840</v>
      </c>
      <c r="Q626">
        <v>-1657</v>
      </c>
      <c r="R626" s="11">
        <v>-3.6986607142857099E-2</v>
      </c>
      <c r="S626" s="11">
        <f>INDEX(Raw_product_master[Target_Margin], MATCH(Cleaned_Sales_data[[#This Row],[Product]],Raw_product_master[Product], 0 ))</f>
        <v>0.18</v>
      </c>
      <c r="T626" t="str">
        <f>IF(Cleaned_Sales_data[[#This Row],[Profit]]&gt;0, "Profitable", "Loss")</f>
        <v>Loss</v>
      </c>
      <c r="U626" t="str">
        <f>_xlfn.IFS(Cleaned_Sales_data[[#This Row],[Profit]]&gt;=10000, "High", Cleaned_Sales_data[[#This Row],[Profit]]&gt;=5000, "Medium", Cleaned_Sales_data[[#This Row],[Profit]]&gt;=0, "Low", Cleaned_Sales_data[[#This Row],[Profit]] &lt;0, "Loss")</f>
        <v>Loss</v>
      </c>
      <c r="V626" t="str">
        <f t="shared" si="9"/>
        <v>UnderPerforming</v>
      </c>
      <c r="W626" s="3">
        <v>46082</v>
      </c>
    </row>
    <row r="627" spans="1:23">
      <c r="A627" t="s">
        <v>455</v>
      </c>
      <c r="B627" s="3">
        <v>46024</v>
      </c>
      <c r="C627" t="s">
        <v>53</v>
      </c>
      <c r="D627" t="str">
        <f>INDEX(Raw_product_master[Category],MATCH(Cleaned_Sales_data[[#This Row],[Product]],Raw_product_master[Product],0))</f>
        <v>Accessories</v>
      </c>
      <c r="E627" t="s">
        <v>19</v>
      </c>
      <c r="F627" t="s">
        <v>38</v>
      </c>
      <c r="G627" t="s">
        <v>35</v>
      </c>
      <c r="H627">
        <v>2</v>
      </c>
      <c r="I627">
        <v>1500</v>
      </c>
      <c r="J627" s="10">
        <v>0.15</v>
      </c>
      <c r="K627">
        <v>3000</v>
      </c>
      <c r="L627">
        <v>2550</v>
      </c>
      <c r="M627">
        <v>1650</v>
      </c>
      <c r="N627">
        <v>620</v>
      </c>
      <c r="O627">
        <v>2020</v>
      </c>
      <c r="P627">
        <f>INDEX(Raw_product_master[Standard_Cost_Per_Unit],MATCH(Cleaned_Sales_data[[#This Row],[Product]],Raw_product_master[Product],0))</f>
        <v>825</v>
      </c>
      <c r="Q627">
        <v>-1740</v>
      </c>
      <c r="R627" s="11">
        <v>-0.68235294117647105</v>
      </c>
      <c r="S627" s="11">
        <f>INDEX(Raw_product_master[Target_Margin], MATCH(Cleaned_Sales_data[[#This Row],[Product]],Raw_product_master[Product], 0 ))</f>
        <v>0.3</v>
      </c>
      <c r="T627" t="str">
        <f>IF(Cleaned_Sales_data[[#This Row],[Profit]]&gt;0, "Profitable", "Loss")</f>
        <v>Loss</v>
      </c>
      <c r="U627" t="str">
        <f>_xlfn.IFS(Cleaned_Sales_data[[#This Row],[Profit]]&gt;=10000, "High", Cleaned_Sales_data[[#This Row],[Profit]]&gt;=5000, "Medium", Cleaned_Sales_data[[#This Row],[Profit]]&gt;=0, "Low", Cleaned_Sales_data[[#This Row],[Profit]] &lt;0, "Loss")</f>
        <v>Loss</v>
      </c>
      <c r="V627" t="str">
        <f t="shared" si="9"/>
        <v>UnderPerforming</v>
      </c>
      <c r="W627" s="3">
        <v>46023</v>
      </c>
    </row>
    <row r="628" spans="1:23">
      <c r="A628" t="s">
        <v>464</v>
      </c>
      <c r="B628" s="3">
        <v>45824</v>
      </c>
      <c r="C628" t="s">
        <v>50</v>
      </c>
      <c r="D628" t="str">
        <f>INDEX(Raw_product_master[Category],MATCH(Cleaned_Sales_data[[#This Row],[Product]],Raw_product_master[Product],0))</f>
        <v>Accessories</v>
      </c>
      <c r="E628" t="s">
        <v>51</v>
      </c>
      <c r="F628" t="s">
        <v>38</v>
      </c>
      <c r="G628" t="s">
        <v>35</v>
      </c>
      <c r="H628">
        <v>6</v>
      </c>
      <c r="I628">
        <v>2500</v>
      </c>
      <c r="J628" s="10">
        <v>0.15</v>
      </c>
      <c r="K628">
        <v>15000</v>
      </c>
      <c r="L628">
        <v>12750</v>
      </c>
      <c r="M628">
        <v>9300</v>
      </c>
      <c r="N628">
        <v>606</v>
      </c>
      <c r="O628">
        <v>1501</v>
      </c>
      <c r="P628">
        <f>INDEX(Raw_product_master[Standard_Cost_Per_Unit],MATCH(Cleaned_Sales_data[[#This Row],[Product]],Raw_product_master[Product],0))</f>
        <v>1550</v>
      </c>
      <c r="Q628">
        <v>1343</v>
      </c>
      <c r="R628" s="11">
        <v>0.105333333333333</v>
      </c>
      <c r="S628" s="11">
        <f>INDEX(Raw_product_master[Target_Margin], MATCH(Cleaned_Sales_data[[#This Row],[Product]],Raw_product_master[Product], 0 ))</f>
        <v>0.25</v>
      </c>
      <c r="T628" t="str">
        <f>IF(Cleaned_Sales_data[[#This Row],[Profit]]&gt;0, "Profitable", "Loss")</f>
        <v>Profitable</v>
      </c>
      <c r="U628" t="str">
        <f>_xlfn.IFS(Cleaned_Sales_data[[#This Row],[Profit]]&gt;=10000, "High", Cleaned_Sales_data[[#This Row],[Profit]]&gt;=5000, "Medium", Cleaned_Sales_data[[#This Row],[Profit]]&gt;=0, "Low", Cleaned_Sales_data[[#This Row],[Profit]] &lt;0, "Loss")</f>
        <v>Low</v>
      </c>
      <c r="V628" t="str">
        <f t="shared" si="9"/>
        <v>UnderPerforming</v>
      </c>
      <c r="W628" s="3">
        <v>45809</v>
      </c>
    </row>
    <row r="629" spans="1:23">
      <c r="A629" t="s">
        <v>484</v>
      </c>
      <c r="B629" s="3">
        <v>46077</v>
      </c>
      <c r="C629" t="s">
        <v>24</v>
      </c>
      <c r="D629" t="str">
        <f>INDEX(Raw_product_master[Category],MATCH(Cleaned_Sales_data[[#This Row],[Product]],Raw_product_master[Product],0))</f>
        <v>Accessories</v>
      </c>
      <c r="E629" t="s">
        <v>63</v>
      </c>
      <c r="F629" t="s">
        <v>38</v>
      </c>
      <c r="G629" t="s">
        <v>35</v>
      </c>
      <c r="H629">
        <v>4</v>
      </c>
      <c r="I629">
        <v>3500</v>
      </c>
      <c r="J629" s="10">
        <v>0.15</v>
      </c>
      <c r="K629">
        <v>14000</v>
      </c>
      <c r="L629">
        <v>11900</v>
      </c>
      <c r="M629">
        <v>9520</v>
      </c>
      <c r="N629">
        <v>1360</v>
      </c>
      <c r="O629">
        <v>182</v>
      </c>
      <c r="P629">
        <f>INDEX(Raw_product_master[Standard_Cost_Per_Unit],MATCH(Cleaned_Sales_data[[#This Row],[Product]],Raw_product_master[Product],0))</f>
        <v>2380</v>
      </c>
      <c r="Q629">
        <v>838</v>
      </c>
      <c r="R629" s="11">
        <v>7.0420168067226896E-2</v>
      </c>
      <c r="S629" s="11">
        <f>INDEX(Raw_product_master[Target_Margin], MATCH(Cleaned_Sales_data[[#This Row],[Product]],Raw_product_master[Product], 0 ))</f>
        <v>0.2</v>
      </c>
      <c r="T629" t="str">
        <f>IF(Cleaned_Sales_data[[#This Row],[Profit]]&gt;0, "Profitable", "Loss")</f>
        <v>Profitable</v>
      </c>
      <c r="U629" t="str">
        <f>_xlfn.IFS(Cleaned_Sales_data[[#This Row],[Profit]]&gt;=10000, "High", Cleaned_Sales_data[[#This Row],[Profit]]&gt;=5000, "Medium", Cleaned_Sales_data[[#This Row],[Profit]]&gt;=0, "Low", Cleaned_Sales_data[[#This Row],[Profit]] &lt;0, "Loss")</f>
        <v>Low</v>
      </c>
      <c r="V629" t="str">
        <f t="shared" si="9"/>
        <v>UnderPerforming</v>
      </c>
      <c r="W629" s="3">
        <v>46054</v>
      </c>
    </row>
    <row r="630" spans="1:23">
      <c r="A630" t="s">
        <v>495</v>
      </c>
      <c r="B630" s="3">
        <v>45778</v>
      </c>
      <c r="C630" t="s">
        <v>53</v>
      </c>
      <c r="D630" t="str">
        <f>INDEX(Raw_product_master[Category],MATCH(Cleaned_Sales_data[[#This Row],[Product]],Raw_product_master[Product],0))</f>
        <v>Accessories</v>
      </c>
      <c r="E630" t="s">
        <v>63</v>
      </c>
      <c r="F630" t="s">
        <v>38</v>
      </c>
      <c r="G630" t="s">
        <v>35</v>
      </c>
      <c r="H630">
        <v>7</v>
      </c>
      <c r="I630">
        <v>1500</v>
      </c>
      <c r="J630" s="10">
        <v>0.05</v>
      </c>
      <c r="K630">
        <v>10500</v>
      </c>
      <c r="L630">
        <v>9975</v>
      </c>
      <c r="M630">
        <v>5775</v>
      </c>
      <c r="N630">
        <v>1226</v>
      </c>
      <c r="O630">
        <v>1073</v>
      </c>
      <c r="P630">
        <f>INDEX(Raw_product_master[Standard_Cost_Per_Unit],MATCH(Cleaned_Sales_data[[#This Row],[Product]],Raw_product_master[Product],0))</f>
        <v>825</v>
      </c>
      <c r="Q630">
        <v>1901</v>
      </c>
      <c r="R630" s="11">
        <v>0.19057644110275701</v>
      </c>
      <c r="S630" s="11">
        <f>INDEX(Raw_product_master[Target_Margin], MATCH(Cleaned_Sales_data[[#This Row],[Product]],Raw_product_master[Product], 0 ))</f>
        <v>0.3</v>
      </c>
      <c r="T630" t="str">
        <f>IF(Cleaned_Sales_data[[#This Row],[Profit]]&gt;0, "Profitable", "Loss")</f>
        <v>Profitable</v>
      </c>
      <c r="U630" t="str">
        <f>_xlfn.IFS(Cleaned_Sales_data[[#This Row],[Profit]]&gt;=10000, "High", Cleaned_Sales_data[[#This Row],[Profit]]&gt;=5000, "Medium", Cleaned_Sales_data[[#This Row],[Profit]]&gt;=0, "Low", Cleaned_Sales_data[[#This Row],[Profit]] &lt;0, "Loss")</f>
        <v>Low</v>
      </c>
      <c r="V630" t="str">
        <f t="shared" si="9"/>
        <v>UnderPerforming</v>
      </c>
      <c r="W630" s="3">
        <v>45778</v>
      </c>
    </row>
    <row r="631" spans="1:23">
      <c r="A631" t="s">
        <v>503</v>
      </c>
      <c r="B631" s="3">
        <v>45892</v>
      </c>
      <c r="C631" t="s">
        <v>30</v>
      </c>
      <c r="D631" t="str">
        <f>INDEX(Raw_product_master[Category],MATCH(Cleaned_Sales_data[[#This Row],[Product]],Raw_product_master[Product],0))</f>
        <v>Displays</v>
      </c>
      <c r="E631" t="s">
        <v>25</v>
      </c>
      <c r="F631" t="s">
        <v>38</v>
      </c>
      <c r="G631" t="s">
        <v>35</v>
      </c>
      <c r="H631">
        <v>2</v>
      </c>
      <c r="I631">
        <v>28000</v>
      </c>
      <c r="J631" s="10">
        <v>0.03</v>
      </c>
      <c r="K631">
        <v>56000</v>
      </c>
      <c r="L631">
        <v>54320</v>
      </c>
      <c r="M631">
        <v>43680</v>
      </c>
      <c r="N631">
        <v>488</v>
      </c>
      <c r="O631">
        <v>820</v>
      </c>
      <c r="P631">
        <f>INDEX(Raw_product_master[Standard_Cost_Per_Unit],MATCH(Cleaned_Sales_data[[#This Row],[Product]],Raw_product_master[Product],0))</f>
        <v>21840</v>
      </c>
      <c r="Q631">
        <v>9332</v>
      </c>
      <c r="R631" s="11">
        <v>0.17179675994109</v>
      </c>
      <c r="S631" s="11">
        <f>INDEX(Raw_product_master[Target_Margin], MATCH(Cleaned_Sales_data[[#This Row],[Product]],Raw_product_master[Product], 0 ))</f>
        <v>0.18</v>
      </c>
      <c r="T631" t="str">
        <f>IF(Cleaned_Sales_data[[#This Row],[Profit]]&gt;0, "Profitable", "Loss")</f>
        <v>Profitable</v>
      </c>
      <c r="U631" t="str">
        <f>_xlfn.IFS(Cleaned_Sales_data[[#This Row],[Profit]]&gt;=10000, "High", Cleaned_Sales_data[[#This Row],[Profit]]&gt;=5000, "Medium", Cleaned_Sales_data[[#This Row],[Profit]]&gt;=0, "Low", Cleaned_Sales_data[[#This Row],[Profit]] &lt;0, "Loss")</f>
        <v>Medium</v>
      </c>
      <c r="V631" t="str">
        <f t="shared" si="9"/>
        <v>UnderPerforming</v>
      </c>
      <c r="W631" s="3">
        <v>45870</v>
      </c>
    </row>
    <row r="632" spans="1:23">
      <c r="A632" t="s">
        <v>510</v>
      </c>
      <c r="B632" s="3">
        <v>45750</v>
      </c>
      <c r="C632" t="s">
        <v>53</v>
      </c>
      <c r="D632" t="str">
        <f>INDEX(Raw_product_master[Category],MATCH(Cleaned_Sales_data[[#This Row],[Product]],Raw_product_master[Product],0))</f>
        <v>Accessories</v>
      </c>
      <c r="E632" t="s">
        <v>63</v>
      </c>
      <c r="F632" t="s">
        <v>38</v>
      </c>
      <c r="G632" t="s">
        <v>35</v>
      </c>
      <c r="H632">
        <v>1</v>
      </c>
      <c r="I632">
        <v>1500</v>
      </c>
      <c r="J632" s="10">
        <v>0.1</v>
      </c>
      <c r="K632">
        <v>1500</v>
      </c>
      <c r="L632">
        <v>1350</v>
      </c>
      <c r="M632">
        <v>825</v>
      </c>
      <c r="N632">
        <v>1296</v>
      </c>
      <c r="O632">
        <v>1947</v>
      </c>
      <c r="P632">
        <f>INDEX(Raw_product_master[Standard_Cost_Per_Unit],MATCH(Cleaned_Sales_data[[#This Row],[Product]],Raw_product_master[Product],0))</f>
        <v>825</v>
      </c>
      <c r="Q632">
        <v>-2718</v>
      </c>
      <c r="R632" s="11">
        <v>-2.0133333333333301</v>
      </c>
      <c r="S632" s="11">
        <f>INDEX(Raw_product_master[Target_Margin], MATCH(Cleaned_Sales_data[[#This Row],[Product]],Raw_product_master[Product], 0 ))</f>
        <v>0.3</v>
      </c>
      <c r="T632" t="str">
        <f>IF(Cleaned_Sales_data[[#This Row],[Profit]]&gt;0, "Profitable", "Loss")</f>
        <v>Loss</v>
      </c>
      <c r="U632" t="str">
        <f>_xlfn.IFS(Cleaned_Sales_data[[#This Row],[Profit]]&gt;=10000, "High", Cleaned_Sales_data[[#This Row],[Profit]]&gt;=5000, "Medium", Cleaned_Sales_data[[#This Row],[Profit]]&gt;=0, "Low", Cleaned_Sales_data[[#This Row],[Profit]] &lt;0, "Loss")</f>
        <v>Loss</v>
      </c>
      <c r="V632" t="str">
        <f t="shared" si="9"/>
        <v>UnderPerforming</v>
      </c>
      <c r="W632" s="3">
        <v>45748</v>
      </c>
    </row>
    <row r="633" spans="1:23">
      <c r="A633" t="s">
        <v>511</v>
      </c>
      <c r="B633" s="3">
        <v>46070</v>
      </c>
      <c r="C633" t="s">
        <v>53</v>
      </c>
      <c r="D633" t="str">
        <f>INDEX(Raw_product_master[Category],MATCH(Cleaned_Sales_data[[#This Row],[Product]],Raw_product_master[Product],0))</f>
        <v>Accessories</v>
      </c>
      <c r="E633" t="s">
        <v>19</v>
      </c>
      <c r="F633" t="s">
        <v>38</v>
      </c>
      <c r="G633" t="s">
        <v>35</v>
      </c>
      <c r="H633">
        <v>3</v>
      </c>
      <c r="I633">
        <v>1500</v>
      </c>
      <c r="J633" s="10">
        <v>0.05</v>
      </c>
      <c r="K633">
        <v>4500</v>
      </c>
      <c r="L633">
        <v>4275</v>
      </c>
      <c r="M633">
        <v>2475</v>
      </c>
      <c r="N633">
        <v>1422</v>
      </c>
      <c r="O633">
        <v>817</v>
      </c>
      <c r="P633">
        <f>INDEX(Raw_product_master[Standard_Cost_Per_Unit],MATCH(Cleaned_Sales_data[[#This Row],[Product]],Raw_product_master[Product],0))</f>
        <v>825</v>
      </c>
      <c r="Q633">
        <v>-439</v>
      </c>
      <c r="R633" s="11">
        <v>-0.102690058479532</v>
      </c>
      <c r="S633" s="11">
        <f>INDEX(Raw_product_master[Target_Margin], MATCH(Cleaned_Sales_data[[#This Row],[Product]],Raw_product_master[Product], 0 ))</f>
        <v>0.3</v>
      </c>
      <c r="T633" t="str">
        <f>IF(Cleaned_Sales_data[[#This Row],[Profit]]&gt;0, "Profitable", "Loss")</f>
        <v>Loss</v>
      </c>
      <c r="U633" t="str">
        <f>_xlfn.IFS(Cleaned_Sales_data[[#This Row],[Profit]]&gt;=10000, "High", Cleaned_Sales_data[[#This Row],[Profit]]&gt;=5000, "Medium", Cleaned_Sales_data[[#This Row],[Profit]]&gt;=0, "Low", Cleaned_Sales_data[[#This Row],[Profit]] &lt;0, "Loss")</f>
        <v>Loss</v>
      </c>
      <c r="V633" t="str">
        <f t="shared" si="9"/>
        <v>UnderPerforming</v>
      </c>
      <c r="W633" s="3">
        <v>46054</v>
      </c>
    </row>
    <row r="634" spans="1:23">
      <c r="A634" t="s">
        <v>512</v>
      </c>
      <c r="B634" s="3">
        <v>45714</v>
      </c>
      <c r="C634" t="s">
        <v>18</v>
      </c>
      <c r="D634" t="str">
        <f>INDEX(Raw_product_master[Category],MATCH(Cleaned_Sales_data[[#This Row],[Product]],Raw_product_master[Product],0))</f>
        <v>Computers</v>
      </c>
      <c r="E634" t="s">
        <v>25</v>
      </c>
      <c r="F634" t="s">
        <v>38</v>
      </c>
      <c r="G634" t="s">
        <v>35</v>
      </c>
      <c r="H634">
        <v>3</v>
      </c>
      <c r="I634">
        <v>32000</v>
      </c>
      <c r="J634" s="10">
        <v>0</v>
      </c>
      <c r="K634">
        <v>96000</v>
      </c>
      <c r="L634">
        <v>96000</v>
      </c>
      <c r="M634">
        <v>78720</v>
      </c>
      <c r="N634">
        <v>1141</v>
      </c>
      <c r="O634">
        <v>641</v>
      </c>
      <c r="P634">
        <f>INDEX(Raw_product_master[Standard_Cost_Per_Unit],MATCH(Cleaned_Sales_data[[#This Row],[Product]],Raw_product_master[Product],0))</f>
        <v>26240</v>
      </c>
      <c r="Q634">
        <v>15498</v>
      </c>
      <c r="R634" s="11">
        <v>0.16143750000000001</v>
      </c>
      <c r="S634" s="11">
        <f>INDEX(Raw_product_master[Target_Margin], MATCH(Cleaned_Sales_data[[#This Row],[Product]],Raw_product_master[Product], 0 ))</f>
        <v>0.12</v>
      </c>
      <c r="T634" t="str">
        <f>IF(Cleaned_Sales_data[[#This Row],[Profit]]&gt;0, "Profitable", "Loss")</f>
        <v>Profitable</v>
      </c>
      <c r="U634" t="str">
        <f>_xlfn.IFS(Cleaned_Sales_data[[#This Row],[Profit]]&gt;=10000, "High", Cleaned_Sales_data[[#This Row],[Profit]]&gt;=5000, "Medium", Cleaned_Sales_data[[#This Row],[Profit]]&gt;=0, "Low", Cleaned_Sales_data[[#This Row],[Profit]] &lt;0, "Loss")</f>
        <v>High</v>
      </c>
      <c r="V634" t="str">
        <f t="shared" si="9"/>
        <v>On Target</v>
      </c>
      <c r="W634" s="3">
        <v>45689</v>
      </c>
    </row>
    <row r="635" spans="1:23">
      <c r="A635" t="s">
        <v>526</v>
      </c>
      <c r="B635" s="3">
        <v>45874</v>
      </c>
      <c r="C635" t="s">
        <v>24</v>
      </c>
      <c r="D635" t="str">
        <f>INDEX(Raw_product_master[Category],MATCH(Cleaned_Sales_data[[#This Row],[Product]],Raw_product_master[Product],0))</f>
        <v>Accessories</v>
      </c>
      <c r="E635" t="s">
        <v>34</v>
      </c>
      <c r="F635" t="s">
        <v>38</v>
      </c>
      <c r="G635" t="s">
        <v>35</v>
      </c>
      <c r="H635">
        <v>5</v>
      </c>
      <c r="I635">
        <v>3500</v>
      </c>
      <c r="J635" s="10">
        <v>0.15</v>
      </c>
      <c r="K635">
        <v>17500</v>
      </c>
      <c r="L635">
        <v>14875</v>
      </c>
      <c r="M635">
        <v>11900</v>
      </c>
      <c r="N635">
        <v>1740</v>
      </c>
      <c r="O635">
        <v>1937</v>
      </c>
      <c r="P635">
        <f>INDEX(Raw_product_master[Standard_Cost_Per_Unit],MATCH(Cleaned_Sales_data[[#This Row],[Product]],Raw_product_master[Product],0))</f>
        <v>2380</v>
      </c>
      <c r="Q635">
        <v>-702</v>
      </c>
      <c r="R635" s="11">
        <v>-4.7193277310924403E-2</v>
      </c>
      <c r="S635" s="11">
        <f>INDEX(Raw_product_master[Target_Margin], MATCH(Cleaned_Sales_data[[#This Row],[Product]],Raw_product_master[Product], 0 ))</f>
        <v>0.2</v>
      </c>
      <c r="T635" t="str">
        <f>IF(Cleaned_Sales_data[[#This Row],[Profit]]&gt;0, "Profitable", "Loss")</f>
        <v>Loss</v>
      </c>
      <c r="U635" t="str">
        <f>_xlfn.IFS(Cleaned_Sales_data[[#This Row],[Profit]]&gt;=10000, "High", Cleaned_Sales_data[[#This Row],[Profit]]&gt;=5000, "Medium", Cleaned_Sales_data[[#This Row],[Profit]]&gt;=0, "Low", Cleaned_Sales_data[[#This Row],[Profit]] &lt;0, "Loss")</f>
        <v>Loss</v>
      </c>
      <c r="V635" t="str">
        <f t="shared" si="9"/>
        <v>UnderPerforming</v>
      </c>
      <c r="W635" s="3">
        <v>45870</v>
      </c>
    </row>
    <row r="636" spans="1:23">
      <c r="A636" t="s">
        <v>529</v>
      </c>
      <c r="B636" s="3">
        <v>46116</v>
      </c>
      <c r="C636" t="s">
        <v>50</v>
      </c>
      <c r="D636" t="str">
        <f>INDEX(Raw_product_master[Category],MATCH(Cleaned_Sales_data[[#This Row],[Product]],Raw_product_master[Product],0))</f>
        <v>Accessories</v>
      </c>
      <c r="E636" t="s">
        <v>19</v>
      </c>
      <c r="F636" t="s">
        <v>38</v>
      </c>
      <c r="G636" t="s">
        <v>35</v>
      </c>
      <c r="H636">
        <v>7</v>
      </c>
      <c r="I636">
        <v>2500</v>
      </c>
      <c r="J636" s="10">
        <v>0</v>
      </c>
      <c r="K636">
        <v>17500</v>
      </c>
      <c r="L636">
        <v>17500</v>
      </c>
      <c r="M636">
        <v>10850</v>
      </c>
      <c r="N636">
        <v>452</v>
      </c>
      <c r="O636">
        <v>2004</v>
      </c>
      <c r="P636">
        <f>INDEX(Raw_product_master[Standard_Cost_Per_Unit],MATCH(Cleaned_Sales_data[[#This Row],[Product]],Raw_product_master[Product],0))</f>
        <v>1550</v>
      </c>
      <c r="Q636">
        <v>4194</v>
      </c>
      <c r="R636" s="11">
        <v>0.23965714285714301</v>
      </c>
      <c r="S636" s="11">
        <f>INDEX(Raw_product_master[Target_Margin], MATCH(Cleaned_Sales_data[[#This Row],[Product]],Raw_product_master[Product], 0 ))</f>
        <v>0.25</v>
      </c>
      <c r="T636" t="str">
        <f>IF(Cleaned_Sales_data[[#This Row],[Profit]]&gt;0, "Profitable", "Loss")</f>
        <v>Profitable</v>
      </c>
      <c r="U636" t="str">
        <f>_xlfn.IFS(Cleaned_Sales_data[[#This Row],[Profit]]&gt;=10000, "High", Cleaned_Sales_data[[#This Row],[Profit]]&gt;=5000, "Medium", Cleaned_Sales_data[[#This Row],[Profit]]&gt;=0, "Low", Cleaned_Sales_data[[#This Row],[Profit]] &lt;0, "Loss")</f>
        <v>Low</v>
      </c>
      <c r="V636" t="str">
        <f t="shared" si="9"/>
        <v>UnderPerforming</v>
      </c>
      <c r="W636" s="3">
        <v>46113</v>
      </c>
    </row>
    <row r="637" spans="1:23">
      <c r="A637" t="s">
        <v>532</v>
      </c>
      <c r="B637" s="3">
        <v>45933</v>
      </c>
      <c r="C637" t="s">
        <v>75</v>
      </c>
      <c r="D637" t="str">
        <f>INDEX(Raw_product_master[Category],MATCH(Cleaned_Sales_data[[#This Row],[Product]],Raw_product_master[Product],0))</f>
        <v>Computers</v>
      </c>
      <c r="E637" t="s">
        <v>19</v>
      </c>
      <c r="F637" t="s">
        <v>38</v>
      </c>
      <c r="G637" t="s">
        <v>35</v>
      </c>
      <c r="H637">
        <v>1</v>
      </c>
      <c r="I637">
        <v>65000</v>
      </c>
      <c r="J637" s="10">
        <v>0.08</v>
      </c>
      <c r="K637">
        <v>65000</v>
      </c>
      <c r="L637">
        <v>59800</v>
      </c>
      <c r="M637">
        <v>54600</v>
      </c>
      <c r="N637">
        <v>218</v>
      </c>
      <c r="O637">
        <v>2221</v>
      </c>
      <c r="P637">
        <f>INDEX(Raw_product_master[Standard_Cost_Per_Unit],MATCH(Cleaned_Sales_data[[#This Row],[Product]],Raw_product_master[Product],0))</f>
        <v>54600</v>
      </c>
      <c r="Q637">
        <v>2761</v>
      </c>
      <c r="R637" s="11">
        <v>4.6170568561872898E-2</v>
      </c>
      <c r="S637" s="11">
        <f>INDEX(Raw_product_master[Target_Margin], MATCH(Cleaned_Sales_data[[#This Row],[Product]],Raw_product_master[Product], 0 ))</f>
        <v>0.12</v>
      </c>
      <c r="T637" t="str">
        <f>IF(Cleaned_Sales_data[[#This Row],[Profit]]&gt;0, "Profitable", "Loss")</f>
        <v>Profitable</v>
      </c>
      <c r="U637" t="str">
        <f>_xlfn.IFS(Cleaned_Sales_data[[#This Row],[Profit]]&gt;=10000, "High", Cleaned_Sales_data[[#This Row],[Profit]]&gt;=5000, "Medium", Cleaned_Sales_data[[#This Row],[Profit]]&gt;=0, "Low", Cleaned_Sales_data[[#This Row],[Profit]] &lt;0, "Loss")</f>
        <v>Low</v>
      </c>
      <c r="V637" t="str">
        <f t="shared" si="9"/>
        <v>UnderPerforming</v>
      </c>
      <c r="W637" s="3">
        <v>45931</v>
      </c>
    </row>
    <row r="638" spans="1:23">
      <c r="A638" t="s">
        <v>546</v>
      </c>
      <c r="B638" s="3">
        <v>45758</v>
      </c>
      <c r="C638" t="s">
        <v>53</v>
      </c>
      <c r="D638" t="str">
        <f>INDEX(Raw_product_master[Category],MATCH(Cleaned_Sales_data[[#This Row],[Product]],Raw_product_master[Product],0))</f>
        <v>Accessories</v>
      </c>
      <c r="E638" t="s">
        <v>25</v>
      </c>
      <c r="F638" t="s">
        <v>38</v>
      </c>
      <c r="G638" t="s">
        <v>35</v>
      </c>
      <c r="H638">
        <v>1</v>
      </c>
      <c r="I638">
        <v>1500</v>
      </c>
      <c r="J638" s="10">
        <v>0.05</v>
      </c>
      <c r="K638">
        <v>1500</v>
      </c>
      <c r="L638">
        <v>1425</v>
      </c>
      <c r="M638">
        <v>825</v>
      </c>
      <c r="N638">
        <v>1236</v>
      </c>
      <c r="O638">
        <v>135</v>
      </c>
      <c r="P638">
        <f>INDEX(Raw_product_master[Standard_Cost_Per_Unit],MATCH(Cleaned_Sales_data[[#This Row],[Product]],Raw_product_master[Product],0))</f>
        <v>825</v>
      </c>
      <c r="Q638">
        <v>-771</v>
      </c>
      <c r="R638" s="11">
        <v>-0.54105263157894701</v>
      </c>
      <c r="S638" s="11">
        <f>INDEX(Raw_product_master[Target_Margin], MATCH(Cleaned_Sales_data[[#This Row],[Product]],Raw_product_master[Product], 0 ))</f>
        <v>0.3</v>
      </c>
      <c r="T638" t="str">
        <f>IF(Cleaned_Sales_data[[#This Row],[Profit]]&gt;0, "Profitable", "Loss")</f>
        <v>Loss</v>
      </c>
      <c r="U638" t="str">
        <f>_xlfn.IFS(Cleaned_Sales_data[[#This Row],[Profit]]&gt;=10000, "High", Cleaned_Sales_data[[#This Row],[Profit]]&gt;=5000, "Medium", Cleaned_Sales_data[[#This Row],[Profit]]&gt;=0, "Low", Cleaned_Sales_data[[#This Row],[Profit]] &lt;0, "Loss")</f>
        <v>Loss</v>
      </c>
      <c r="V638" t="str">
        <f t="shared" si="9"/>
        <v>UnderPerforming</v>
      </c>
      <c r="W638" s="3">
        <v>45748</v>
      </c>
    </row>
    <row r="639" spans="1:23">
      <c r="A639" t="s">
        <v>552</v>
      </c>
      <c r="B639" s="3">
        <v>46101</v>
      </c>
      <c r="C639" t="s">
        <v>75</v>
      </c>
      <c r="D639" t="str">
        <f>INDEX(Raw_product_master[Category],MATCH(Cleaned_Sales_data[[#This Row],[Product]],Raw_product_master[Product],0))</f>
        <v>Computers</v>
      </c>
      <c r="E639" t="s">
        <v>63</v>
      </c>
      <c r="F639" t="s">
        <v>38</v>
      </c>
      <c r="G639" t="s">
        <v>35</v>
      </c>
      <c r="H639">
        <v>3</v>
      </c>
      <c r="I639">
        <v>65000</v>
      </c>
      <c r="J639" s="10">
        <v>0.08</v>
      </c>
      <c r="K639">
        <v>195000</v>
      </c>
      <c r="L639">
        <v>179400</v>
      </c>
      <c r="M639">
        <v>163800</v>
      </c>
      <c r="N639">
        <v>1261</v>
      </c>
      <c r="O639">
        <v>1334</v>
      </c>
      <c r="P639">
        <f>INDEX(Raw_product_master[Standard_Cost_Per_Unit],MATCH(Cleaned_Sales_data[[#This Row],[Product]],Raw_product_master[Product],0))</f>
        <v>54600</v>
      </c>
      <c r="Q639">
        <v>13005</v>
      </c>
      <c r="R639" s="11">
        <v>7.2491638795986593E-2</v>
      </c>
      <c r="S639" s="11">
        <f>INDEX(Raw_product_master[Target_Margin], MATCH(Cleaned_Sales_data[[#This Row],[Product]],Raw_product_master[Product], 0 ))</f>
        <v>0.12</v>
      </c>
      <c r="T639" t="str">
        <f>IF(Cleaned_Sales_data[[#This Row],[Profit]]&gt;0, "Profitable", "Loss")</f>
        <v>Profitable</v>
      </c>
      <c r="U639" t="str">
        <f>_xlfn.IFS(Cleaned_Sales_data[[#This Row],[Profit]]&gt;=10000, "High", Cleaned_Sales_data[[#This Row],[Profit]]&gt;=5000, "Medium", Cleaned_Sales_data[[#This Row],[Profit]]&gt;=0, "Low", Cleaned_Sales_data[[#This Row],[Profit]] &lt;0, "Loss")</f>
        <v>High</v>
      </c>
      <c r="V639" t="str">
        <f t="shared" si="9"/>
        <v>UnderPerforming</v>
      </c>
      <c r="W639" s="3">
        <v>46082</v>
      </c>
    </row>
    <row r="640" spans="1:23">
      <c r="A640" t="s">
        <v>565</v>
      </c>
      <c r="B640" s="3">
        <v>45894</v>
      </c>
      <c r="C640" t="s">
        <v>46</v>
      </c>
      <c r="D640" t="str">
        <f>INDEX(Raw_product_master[Category],MATCH(Cleaned_Sales_data[[#This Row],[Product]],Raw_product_master[Product],0))</f>
        <v>Office Equipment</v>
      </c>
      <c r="E640" t="s">
        <v>34</v>
      </c>
      <c r="F640" t="s">
        <v>38</v>
      </c>
      <c r="G640" t="s">
        <v>35</v>
      </c>
      <c r="H640">
        <v>1</v>
      </c>
      <c r="I640">
        <v>18000</v>
      </c>
      <c r="J640" s="10">
        <v>0.05</v>
      </c>
      <c r="K640">
        <v>18000</v>
      </c>
      <c r="L640">
        <v>17100</v>
      </c>
      <c r="M640">
        <v>14400</v>
      </c>
      <c r="N640">
        <v>339</v>
      </c>
      <c r="O640">
        <v>1604</v>
      </c>
      <c r="P640">
        <f>INDEX(Raw_product_master[Standard_Cost_Per_Unit],MATCH(Cleaned_Sales_data[[#This Row],[Product]],Raw_product_master[Product],0))</f>
        <v>14400</v>
      </c>
      <c r="Q640">
        <v>757</v>
      </c>
      <c r="R640" s="11">
        <v>4.4269005847953201E-2</v>
      </c>
      <c r="S640" s="11">
        <f>INDEX(Raw_product_master[Target_Margin], MATCH(Cleaned_Sales_data[[#This Row],[Product]],Raw_product_master[Product], 0 ))</f>
        <v>0.15</v>
      </c>
      <c r="T640" t="str">
        <f>IF(Cleaned_Sales_data[[#This Row],[Profit]]&gt;0, "Profitable", "Loss")</f>
        <v>Profitable</v>
      </c>
      <c r="U640" t="str">
        <f>_xlfn.IFS(Cleaned_Sales_data[[#This Row],[Profit]]&gt;=10000, "High", Cleaned_Sales_data[[#This Row],[Profit]]&gt;=5000, "Medium", Cleaned_Sales_data[[#This Row],[Profit]]&gt;=0, "Low", Cleaned_Sales_data[[#This Row],[Profit]] &lt;0, "Loss")</f>
        <v>Low</v>
      </c>
      <c r="V640" t="str">
        <f t="shared" si="9"/>
        <v>UnderPerforming</v>
      </c>
      <c r="W640" s="3">
        <v>45870</v>
      </c>
    </row>
    <row r="641" spans="1:23">
      <c r="A641" t="s">
        <v>570</v>
      </c>
      <c r="B641" s="3">
        <v>45956</v>
      </c>
      <c r="C641" t="s">
        <v>30</v>
      </c>
      <c r="D641" t="str">
        <f>INDEX(Raw_product_master[Category],MATCH(Cleaned_Sales_data[[#This Row],[Product]],Raw_product_master[Product],0))</f>
        <v>Displays</v>
      </c>
      <c r="E641" t="s">
        <v>31</v>
      </c>
      <c r="F641" t="s">
        <v>38</v>
      </c>
      <c r="G641" t="s">
        <v>35</v>
      </c>
      <c r="H641">
        <v>2</v>
      </c>
      <c r="I641">
        <v>28000</v>
      </c>
      <c r="J641" s="10">
        <v>0.15</v>
      </c>
      <c r="K641">
        <v>56000</v>
      </c>
      <c r="L641">
        <v>47600</v>
      </c>
      <c r="M641">
        <v>43680</v>
      </c>
      <c r="N641">
        <v>1594</v>
      </c>
      <c r="O641">
        <v>2324</v>
      </c>
      <c r="P641">
        <f>INDEX(Raw_product_master[Standard_Cost_Per_Unit],MATCH(Cleaned_Sales_data[[#This Row],[Product]],Raw_product_master[Product],0))</f>
        <v>21840</v>
      </c>
      <c r="Q641">
        <v>2</v>
      </c>
      <c r="R641" s="11">
        <v>4.2016806722689097E-5</v>
      </c>
      <c r="S641" s="11">
        <f>INDEX(Raw_product_master[Target_Margin], MATCH(Cleaned_Sales_data[[#This Row],[Product]],Raw_product_master[Product], 0 ))</f>
        <v>0.18</v>
      </c>
      <c r="T641" t="str">
        <f>IF(Cleaned_Sales_data[[#This Row],[Profit]]&gt;0, "Profitable", "Loss")</f>
        <v>Profitable</v>
      </c>
      <c r="U641" t="str">
        <f>_xlfn.IFS(Cleaned_Sales_data[[#This Row],[Profit]]&gt;=10000, "High", Cleaned_Sales_data[[#This Row],[Profit]]&gt;=5000, "Medium", Cleaned_Sales_data[[#This Row],[Profit]]&gt;=0, "Low", Cleaned_Sales_data[[#This Row],[Profit]] &lt;0, "Loss")</f>
        <v>Low</v>
      </c>
      <c r="V641" t="str">
        <f t="shared" si="9"/>
        <v>UnderPerforming</v>
      </c>
      <c r="W641" s="3">
        <v>45931</v>
      </c>
    </row>
    <row r="642" spans="1:23">
      <c r="A642" t="s">
        <v>572</v>
      </c>
      <c r="B642" s="3">
        <v>46129</v>
      </c>
      <c r="C642" t="s">
        <v>46</v>
      </c>
      <c r="D642" t="str">
        <f>INDEX(Raw_product_master[Category],MATCH(Cleaned_Sales_data[[#This Row],[Product]],Raw_product_master[Product],0))</f>
        <v>Office Equipment</v>
      </c>
      <c r="E642" t="s">
        <v>25</v>
      </c>
      <c r="F642" t="s">
        <v>38</v>
      </c>
      <c r="G642" t="s">
        <v>35</v>
      </c>
      <c r="H642">
        <v>3</v>
      </c>
      <c r="I642">
        <v>18000</v>
      </c>
      <c r="J642" s="10">
        <v>0.1</v>
      </c>
      <c r="K642">
        <v>54000</v>
      </c>
      <c r="L642">
        <v>48600</v>
      </c>
      <c r="M642">
        <v>43200</v>
      </c>
      <c r="N642">
        <v>409</v>
      </c>
      <c r="O642">
        <v>1067</v>
      </c>
      <c r="P642">
        <f>INDEX(Raw_product_master[Standard_Cost_Per_Unit],MATCH(Cleaned_Sales_data[[#This Row],[Product]],Raw_product_master[Product],0))</f>
        <v>14400</v>
      </c>
      <c r="Q642">
        <v>3924</v>
      </c>
      <c r="R642" s="11">
        <v>8.0740740740740696E-2</v>
      </c>
      <c r="S642" s="11">
        <f>INDEX(Raw_product_master[Target_Margin], MATCH(Cleaned_Sales_data[[#This Row],[Product]],Raw_product_master[Product], 0 ))</f>
        <v>0.15</v>
      </c>
      <c r="T642" t="str">
        <f>IF(Cleaned_Sales_data[[#This Row],[Profit]]&gt;0, "Profitable", "Loss")</f>
        <v>Profitable</v>
      </c>
      <c r="U642" t="str">
        <f>_xlfn.IFS(Cleaned_Sales_data[[#This Row],[Profit]]&gt;=10000, "High", Cleaned_Sales_data[[#This Row],[Profit]]&gt;=5000, "Medium", Cleaned_Sales_data[[#This Row],[Profit]]&gt;=0, "Low", Cleaned_Sales_data[[#This Row],[Profit]] &lt;0, "Loss")</f>
        <v>Low</v>
      </c>
      <c r="V642" t="str">
        <f t="shared" ref="V642:V705" si="10">IF(R642&lt;S642, "UnderPerforming", "On Target")</f>
        <v>UnderPerforming</v>
      </c>
      <c r="W642" s="3">
        <v>46113</v>
      </c>
    </row>
    <row r="643" spans="1:23">
      <c r="A643" t="s">
        <v>595</v>
      </c>
      <c r="B643" s="3">
        <v>46007</v>
      </c>
      <c r="C643" t="s">
        <v>18</v>
      </c>
      <c r="D643" t="str">
        <f>INDEX(Raw_product_master[Category],MATCH(Cleaned_Sales_data[[#This Row],[Product]],Raw_product_master[Product],0))</f>
        <v>Computers</v>
      </c>
      <c r="E643" t="s">
        <v>34</v>
      </c>
      <c r="F643" t="s">
        <v>38</v>
      </c>
      <c r="G643" t="s">
        <v>35</v>
      </c>
      <c r="H643">
        <v>2</v>
      </c>
      <c r="I643">
        <v>32000</v>
      </c>
      <c r="J643" s="10">
        <v>0.1</v>
      </c>
      <c r="K643">
        <v>64000</v>
      </c>
      <c r="L643">
        <v>57600</v>
      </c>
      <c r="M643">
        <v>52480</v>
      </c>
      <c r="N643">
        <v>372</v>
      </c>
      <c r="O643">
        <v>552</v>
      </c>
      <c r="P643">
        <f>INDEX(Raw_product_master[Standard_Cost_Per_Unit],MATCH(Cleaned_Sales_data[[#This Row],[Product]],Raw_product_master[Product],0))</f>
        <v>26240</v>
      </c>
      <c r="Q643">
        <v>4196</v>
      </c>
      <c r="R643" s="11">
        <v>7.2847222222222202E-2</v>
      </c>
      <c r="S643" s="11">
        <f>INDEX(Raw_product_master[Target_Margin], MATCH(Cleaned_Sales_data[[#This Row],[Product]],Raw_product_master[Product], 0 ))</f>
        <v>0.12</v>
      </c>
      <c r="T643" t="str">
        <f>IF(Cleaned_Sales_data[[#This Row],[Profit]]&gt;0, "Profitable", "Loss")</f>
        <v>Profitable</v>
      </c>
      <c r="U643" t="str">
        <f>_xlfn.IFS(Cleaned_Sales_data[[#This Row],[Profit]]&gt;=10000, "High", Cleaned_Sales_data[[#This Row],[Profit]]&gt;=5000, "Medium", Cleaned_Sales_data[[#This Row],[Profit]]&gt;=0, "Low", Cleaned_Sales_data[[#This Row],[Profit]] &lt;0, "Loss")</f>
        <v>Low</v>
      </c>
      <c r="V643" t="str">
        <f t="shared" si="10"/>
        <v>UnderPerforming</v>
      </c>
      <c r="W643" s="3">
        <v>45992</v>
      </c>
    </row>
    <row r="644" spans="1:23">
      <c r="A644" t="s">
        <v>618</v>
      </c>
      <c r="B644" s="3">
        <v>45828</v>
      </c>
      <c r="C644" t="s">
        <v>53</v>
      </c>
      <c r="D644" t="str">
        <f>INDEX(Raw_product_master[Category],MATCH(Cleaned_Sales_data[[#This Row],[Product]],Raw_product_master[Product],0))</f>
        <v>Accessories</v>
      </c>
      <c r="E644" t="s">
        <v>19</v>
      </c>
      <c r="F644" t="s">
        <v>38</v>
      </c>
      <c r="G644" t="s">
        <v>35</v>
      </c>
      <c r="H644">
        <v>4</v>
      </c>
      <c r="I644">
        <v>1500</v>
      </c>
      <c r="J644" s="10">
        <v>0</v>
      </c>
      <c r="K644">
        <v>6000</v>
      </c>
      <c r="L644">
        <v>6000</v>
      </c>
      <c r="M644">
        <v>3300</v>
      </c>
      <c r="N644">
        <v>1519</v>
      </c>
      <c r="O644">
        <v>917</v>
      </c>
      <c r="P644">
        <f>INDEX(Raw_product_master[Standard_Cost_Per_Unit],MATCH(Cleaned_Sales_data[[#This Row],[Product]],Raw_product_master[Product],0))</f>
        <v>825</v>
      </c>
      <c r="Q644">
        <v>264</v>
      </c>
      <c r="R644" s="11">
        <v>4.39999999999999E-2</v>
      </c>
      <c r="S644" s="11">
        <f>INDEX(Raw_product_master[Target_Margin], MATCH(Cleaned_Sales_data[[#This Row],[Product]],Raw_product_master[Product], 0 ))</f>
        <v>0.3</v>
      </c>
      <c r="T644" t="str">
        <f>IF(Cleaned_Sales_data[[#This Row],[Profit]]&gt;0, "Profitable", "Loss")</f>
        <v>Profitable</v>
      </c>
      <c r="U644" t="str">
        <f>_xlfn.IFS(Cleaned_Sales_data[[#This Row],[Profit]]&gt;=10000, "High", Cleaned_Sales_data[[#This Row],[Profit]]&gt;=5000, "Medium", Cleaned_Sales_data[[#This Row],[Profit]]&gt;=0, "Low", Cleaned_Sales_data[[#This Row],[Profit]] &lt;0, "Loss")</f>
        <v>Low</v>
      </c>
      <c r="V644" t="str">
        <f t="shared" si="10"/>
        <v>UnderPerforming</v>
      </c>
      <c r="W644" s="3">
        <v>45809</v>
      </c>
    </row>
    <row r="645" spans="1:23">
      <c r="A645" t="s">
        <v>623</v>
      </c>
      <c r="B645" s="3">
        <v>46043</v>
      </c>
      <c r="C645" t="s">
        <v>30</v>
      </c>
      <c r="D645" t="str">
        <f>INDEX(Raw_product_master[Category],MATCH(Cleaned_Sales_data[[#This Row],[Product]],Raw_product_master[Product],0))</f>
        <v>Displays</v>
      </c>
      <c r="E645" t="s">
        <v>63</v>
      </c>
      <c r="F645" t="s">
        <v>38</v>
      </c>
      <c r="G645" t="s">
        <v>35</v>
      </c>
      <c r="H645">
        <v>1</v>
      </c>
      <c r="I645">
        <v>28000</v>
      </c>
      <c r="J645" s="10">
        <v>0.08</v>
      </c>
      <c r="K645">
        <v>28000</v>
      </c>
      <c r="L645">
        <v>25760</v>
      </c>
      <c r="M645">
        <v>21840</v>
      </c>
      <c r="N645">
        <v>1631</v>
      </c>
      <c r="O645">
        <v>2137</v>
      </c>
      <c r="P645">
        <f>INDEX(Raw_product_master[Standard_Cost_Per_Unit],MATCH(Cleaned_Sales_data[[#This Row],[Product]],Raw_product_master[Product],0))</f>
        <v>21840</v>
      </c>
      <c r="Q645">
        <v>152</v>
      </c>
      <c r="R645" s="11">
        <v>5.9006211180124201E-3</v>
      </c>
      <c r="S645" s="11">
        <f>INDEX(Raw_product_master[Target_Margin], MATCH(Cleaned_Sales_data[[#This Row],[Product]],Raw_product_master[Product], 0 ))</f>
        <v>0.18</v>
      </c>
      <c r="T645" t="str">
        <f>IF(Cleaned_Sales_data[[#This Row],[Profit]]&gt;0, "Profitable", "Loss")</f>
        <v>Profitable</v>
      </c>
      <c r="U645" t="str">
        <f>_xlfn.IFS(Cleaned_Sales_data[[#This Row],[Profit]]&gt;=10000, "High", Cleaned_Sales_data[[#This Row],[Profit]]&gt;=5000, "Medium", Cleaned_Sales_data[[#This Row],[Profit]]&gt;=0, "Low", Cleaned_Sales_data[[#This Row],[Profit]] &lt;0, "Loss")</f>
        <v>Low</v>
      </c>
      <c r="V645" t="str">
        <f t="shared" si="10"/>
        <v>UnderPerforming</v>
      </c>
      <c r="W645" s="3">
        <v>46023</v>
      </c>
    </row>
    <row r="646" spans="1:23">
      <c r="A646" t="s">
        <v>635</v>
      </c>
      <c r="B646" s="3">
        <v>45933</v>
      </c>
      <c r="C646" t="s">
        <v>53</v>
      </c>
      <c r="D646" t="str">
        <f>INDEX(Raw_product_master[Category],MATCH(Cleaned_Sales_data[[#This Row],[Product]],Raw_product_master[Product],0))</f>
        <v>Accessories</v>
      </c>
      <c r="E646" t="s">
        <v>63</v>
      </c>
      <c r="F646" t="s">
        <v>38</v>
      </c>
      <c r="G646" t="s">
        <v>35</v>
      </c>
      <c r="H646">
        <v>3</v>
      </c>
      <c r="I646">
        <v>1500</v>
      </c>
      <c r="J646" s="10">
        <v>0.08</v>
      </c>
      <c r="K646">
        <v>4500</v>
      </c>
      <c r="L646">
        <v>4140</v>
      </c>
      <c r="M646">
        <v>2475</v>
      </c>
      <c r="N646">
        <v>1587</v>
      </c>
      <c r="O646">
        <v>2359</v>
      </c>
      <c r="P646">
        <f>INDEX(Raw_product_master[Standard_Cost_Per_Unit],MATCH(Cleaned_Sales_data[[#This Row],[Product]],Raw_product_master[Product],0))</f>
        <v>825</v>
      </c>
      <c r="Q646">
        <v>-2281</v>
      </c>
      <c r="R646" s="11">
        <v>-0.55096618357487903</v>
      </c>
      <c r="S646" s="11">
        <f>INDEX(Raw_product_master[Target_Margin], MATCH(Cleaned_Sales_data[[#This Row],[Product]],Raw_product_master[Product], 0 ))</f>
        <v>0.3</v>
      </c>
      <c r="T646" t="str">
        <f>IF(Cleaned_Sales_data[[#This Row],[Profit]]&gt;0, "Profitable", "Loss")</f>
        <v>Loss</v>
      </c>
      <c r="U646" t="str">
        <f>_xlfn.IFS(Cleaned_Sales_data[[#This Row],[Profit]]&gt;=10000, "High", Cleaned_Sales_data[[#This Row],[Profit]]&gt;=5000, "Medium", Cleaned_Sales_data[[#This Row],[Profit]]&gt;=0, "Low", Cleaned_Sales_data[[#This Row],[Profit]] &lt;0, "Loss")</f>
        <v>Loss</v>
      </c>
      <c r="V646" t="str">
        <f t="shared" si="10"/>
        <v>UnderPerforming</v>
      </c>
      <c r="W646" s="3">
        <v>45931</v>
      </c>
    </row>
    <row r="647" spans="1:23">
      <c r="A647" t="s">
        <v>648</v>
      </c>
      <c r="B647" s="3">
        <v>45963</v>
      </c>
      <c r="C647" t="s">
        <v>30</v>
      </c>
      <c r="D647" t="str">
        <f>INDEX(Raw_product_master[Category],MATCH(Cleaned_Sales_data[[#This Row],[Product]],Raw_product_master[Product],0))</f>
        <v>Displays</v>
      </c>
      <c r="E647" t="s">
        <v>34</v>
      </c>
      <c r="F647" t="s">
        <v>38</v>
      </c>
      <c r="G647" t="s">
        <v>35</v>
      </c>
      <c r="H647">
        <v>2</v>
      </c>
      <c r="I647">
        <v>28000</v>
      </c>
      <c r="J647" s="10">
        <v>0.03</v>
      </c>
      <c r="K647">
        <v>56000</v>
      </c>
      <c r="L647">
        <v>54320</v>
      </c>
      <c r="M647">
        <v>43680</v>
      </c>
      <c r="N647">
        <v>1719</v>
      </c>
      <c r="O647">
        <v>480</v>
      </c>
      <c r="P647">
        <f>INDEX(Raw_product_master[Standard_Cost_Per_Unit],MATCH(Cleaned_Sales_data[[#This Row],[Product]],Raw_product_master[Product],0))</f>
        <v>21840</v>
      </c>
      <c r="Q647">
        <v>8441</v>
      </c>
      <c r="R647" s="11">
        <v>0.15539396170839501</v>
      </c>
      <c r="S647" s="11">
        <f>INDEX(Raw_product_master[Target_Margin], MATCH(Cleaned_Sales_data[[#This Row],[Product]],Raw_product_master[Product], 0 ))</f>
        <v>0.18</v>
      </c>
      <c r="T647" t="str">
        <f>IF(Cleaned_Sales_data[[#This Row],[Profit]]&gt;0, "Profitable", "Loss")</f>
        <v>Profitable</v>
      </c>
      <c r="U647" t="str">
        <f>_xlfn.IFS(Cleaned_Sales_data[[#This Row],[Profit]]&gt;=10000, "High", Cleaned_Sales_data[[#This Row],[Profit]]&gt;=5000, "Medium", Cleaned_Sales_data[[#This Row],[Profit]]&gt;=0, "Low", Cleaned_Sales_data[[#This Row],[Profit]] &lt;0, "Loss")</f>
        <v>Medium</v>
      </c>
      <c r="V647" t="str">
        <f t="shared" si="10"/>
        <v>UnderPerforming</v>
      </c>
      <c r="W647" s="3">
        <v>45962</v>
      </c>
    </row>
    <row r="648" spans="1:23">
      <c r="A648" t="s">
        <v>652</v>
      </c>
      <c r="B648" s="3">
        <v>45696</v>
      </c>
      <c r="C648" t="s">
        <v>53</v>
      </c>
      <c r="D648" t="str">
        <f>INDEX(Raw_product_master[Category],MATCH(Cleaned_Sales_data[[#This Row],[Product]],Raw_product_master[Product],0))</f>
        <v>Accessories</v>
      </c>
      <c r="E648" t="s">
        <v>63</v>
      </c>
      <c r="F648" t="s">
        <v>38</v>
      </c>
      <c r="G648" t="s">
        <v>35</v>
      </c>
      <c r="H648">
        <v>5</v>
      </c>
      <c r="I648">
        <v>1500</v>
      </c>
      <c r="J648" s="10">
        <v>0</v>
      </c>
      <c r="K648">
        <v>7500</v>
      </c>
      <c r="L648">
        <v>7500</v>
      </c>
      <c r="M648">
        <v>4125</v>
      </c>
      <c r="N648">
        <v>503</v>
      </c>
      <c r="O648">
        <v>1041</v>
      </c>
      <c r="P648">
        <f>INDEX(Raw_product_master[Standard_Cost_Per_Unit],MATCH(Cleaned_Sales_data[[#This Row],[Product]],Raw_product_master[Product],0))</f>
        <v>825</v>
      </c>
      <c r="Q648">
        <v>1831</v>
      </c>
      <c r="R648" s="11">
        <v>0.24413333333333301</v>
      </c>
      <c r="S648" s="11">
        <f>INDEX(Raw_product_master[Target_Margin], MATCH(Cleaned_Sales_data[[#This Row],[Product]],Raw_product_master[Product], 0 ))</f>
        <v>0.3</v>
      </c>
      <c r="T648" t="str">
        <f>IF(Cleaned_Sales_data[[#This Row],[Profit]]&gt;0, "Profitable", "Loss")</f>
        <v>Profitable</v>
      </c>
      <c r="U648" t="str">
        <f>_xlfn.IFS(Cleaned_Sales_data[[#This Row],[Profit]]&gt;=10000, "High", Cleaned_Sales_data[[#This Row],[Profit]]&gt;=5000, "Medium", Cleaned_Sales_data[[#This Row],[Profit]]&gt;=0, "Low", Cleaned_Sales_data[[#This Row],[Profit]] &lt;0, "Loss")</f>
        <v>Low</v>
      </c>
      <c r="V648" t="str">
        <f t="shared" si="10"/>
        <v>UnderPerforming</v>
      </c>
      <c r="W648" s="3">
        <v>45689</v>
      </c>
    </row>
    <row r="649" spans="1:23">
      <c r="A649" t="s">
        <v>662</v>
      </c>
      <c r="B649" s="3">
        <v>46006</v>
      </c>
      <c r="C649" t="s">
        <v>18</v>
      </c>
      <c r="D649" t="str">
        <f>INDEX(Raw_product_master[Category],MATCH(Cleaned_Sales_data[[#This Row],[Product]],Raw_product_master[Product],0))</f>
        <v>Computers</v>
      </c>
      <c r="E649" t="s">
        <v>19</v>
      </c>
      <c r="F649" t="s">
        <v>38</v>
      </c>
      <c r="G649" t="s">
        <v>35</v>
      </c>
      <c r="H649">
        <v>3</v>
      </c>
      <c r="I649">
        <v>32000</v>
      </c>
      <c r="J649" s="10">
        <v>0</v>
      </c>
      <c r="K649">
        <v>96000</v>
      </c>
      <c r="L649">
        <v>96000</v>
      </c>
      <c r="M649">
        <v>78720</v>
      </c>
      <c r="N649">
        <v>822</v>
      </c>
      <c r="O649">
        <v>688</v>
      </c>
      <c r="P649">
        <f>INDEX(Raw_product_master[Standard_Cost_Per_Unit],MATCH(Cleaned_Sales_data[[#This Row],[Product]],Raw_product_master[Product],0))</f>
        <v>26240</v>
      </c>
      <c r="Q649">
        <v>15770</v>
      </c>
      <c r="R649" s="11">
        <v>0.16427083333333301</v>
      </c>
      <c r="S649" s="11">
        <f>INDEX(Raw_product_master[Target_Margin], MATCH(Cleaned_Sales_data[[#This Row],[Product]],Raw_product_master[Product], 0 ))</f>
        <v>0.12</v>
      </c>
      <c r="T649" t="str">
        <f>IF(Cleaned_Sales_data[[#This Row],[Profit]]&gt;0, "Profitable", "Loss")</f>
        <v>Profitable</v>
      </c>
      <c r="U649" t="str">
        <f>_xlfn.IFS(Cleaned_Sales_data[[#This Row],[Profit]]&gt;=10000, "High", Cleaned_Sales_data[[#This Row],[Profit]]&gt;=5000, "Medium", Cleaned_Sales_data[[#This Row],[Profit]]&gt;=0, "Low", Cleaned_Sales_data[[#This Row],[Profit]] &lt;0, "Loss")</f>
        <v>High</v>
      </c>
      <c r="V649" t="str">
        <f t="shared" si="10"/>
        <v>On Target</v>
      </c>
      <c r="W649" s="3">
        <v>45992</v>
      </c>
    </row>
    <row r="650" spans="1:23">
      <c r="A650" t="s">
        <v>663</v>
      </c>
      <c r="B650" s="3">
        <v>45793</v>
      </c>
      <c r="C650" t="s">
        <v>30</v>
      </c>
      <c r="D650" t="str">
        <f>INDEX(Raw_product_master[Category],MATCH(Cleaned_Sales_data[[#This Row],[Product]],Raw_product_master[Product],0))</f>
        <v>Displays</v>
      </c>
      <c r="E650" t="s">
        <v>51</v>
      </c>
      <c r="F650" t="s">
        <v>38</v>
      </c>
      <c r="G650" t="s">
        <v>35</v>
      </c>
      <c r="H650">
        <v>3</v>
      </c>
      <c r="I650">
        <v>28000</v>
      </c>
      <c r="J650" s="10">
        <v>0.08</v>
      </c>
      <c r="K650">
        <v>84000</v>
      </c>
      <c r="L650">
        <v>77280</v>
      </c>
      <c r="M650">
        <v>65520</v>
      </c>
      <c r="N650">
        <v>796</v>
      </c>
      <c r="O650">
        <v>550</v>
      </c>
      <c r="P650">
        <f>INDEX(Raw_product_master[Standard_Cost_Per_Unit],MATCH(Cleaned_Sales_data[[#This Row],[Product]],Raw_product_master[Product],0))</f>
        <v>21840</v>
      </c>
      <c r="Q650">
        <v>10414</v>
      </c>
      <c r="R650" s="11">
        <v>0.134756728778468</v>
      </c>
      <c r="S650" s="11">
        <f>INDEX(Raw_product_master[Target_Margin], MATCH(Cleaned_Sales_data[[#This Row],[Product]],Raw_product_master[Product], 0 ))</f>
        <v>0.18</v>
      </c>
      <c r="T650" t="str">
        <f>IF(Cleaned_Sales_data[[#This Row],[Profit]]&gt;0, "Profitable", "Loss")</f>
        <v>Profitable</v>
      </c>
      <c r="U650" t="str">
        <f>_xlfn.IFS(Cleaned_Sales_data[[#This Row],[Profit]]&gt;=10000, "High", Cleaned_Sales_data[[#This Row],[Profit]]&gt;=5000, "Medium", Cleaned_Sales_data[[#This Row],[Profit]]&gt;=0, "Low", Cleaned_Sales_data[[#This Row],[Profit]] &lt;0, "Loss")</f>
        <v>High</v>
      </c>
      <c r="V650" t="str">
        <f t="shared" si="10"/>
        <v>UnderPerforming</v>
      </c>
      <c r="W650" s="3">
        <v>45778</v>
      </c>
    </row>
    <row r="651" spans="1:23">
      <c r="A651" t="s">
        <v>691</v>
      </c>
      <c r="B651" s="3">
        <v>46144</v>
      </c>
      <c r="C651" t="s">
        <v>53</v>
      </c>
      <c r="D651" t="str">
        <f>INDEX(Raw_product_master[Category],MATCH(Cleaned_Sales_data[[#This Row],[Product]],Raw_product_master[Product],0))</f>
        <v>Accessories</v>
      </c>
      <c r="E651" t="s">
        <v>51</v>
      </c>
      <c r="F651" t="s">
        <v>38</v>
      </c>
      <c r="G651" t="s">
        <v>35</v>
      </c>
      <c r="H651">
        <v>7</v>
      </c>
      <c r="I651">
        <v>1500</v>
      </c>
      <c r="J651" s="10">
        <v>0.05</v>
      </c>
      <c r="K651">
        <v>10500</v>
      </c>
      <c r="L651">
        <v>9975</v>
      </c>
      <c r="M651">
        <v>5775</v>
      </c>
      <c r="N651">
        <v>771</v>
      </c>
      <c r="O651">
        <v>890</v>
      </c>
      <c r="P651">
        <f>INDEX(Raw_product_master[Standard_Cost_Per_Unit],MATCH(Cleaned_Sales_data[[#This Row],[Product]],Raw_product_master[Product],0))</f>
        <v>825</v>
      </c>
      <c r="Q651">
        <v>2539</v>
      </c>
      <c r="R651" s="11">
        <v>0.25453634085213001</v>
      </c>
      <c r="S651" s="11">
        <f>INDEX(Raw_product_master[Target_Margin], MATCH(Cleaned_Sales_data[[#This Row],[Product]],Raw_product_master[Product], 0 ))</f>
        <v>0.3</v>
      </c>
      <c r="T651" t="str">
        <f>IF(Cleaned_Sales_data[[#This Row],[Profit]]&gt;0, "Profitable", "Loss")</f>
        <v>Profitable</v>
      </c>
      <c r="U651" t="str">
        <f>_xlfn.IFS(Cleaned_Sales_data[[#This Row],[Profit]]&gt;=10000, "High", Cleaned_Sales_data[[#This Row],[Profit]]&gt;=5000, "Medium", Cleaned_Sales_data[[#This Row],[Profit]]&gt;=0, "Low", Cleaned_Sales_data[[#This Row],[Profit]] &lt;0, "Loss")</f>
        <v>Low</v>
      </c>
      <c r="V651" t="str">
        <f t="shared" si="10"/>
        <v>UnderPerforming</v>
      </c>
      <c r="W651" s="3">
        <v>46143</v>
      </c>
    </row>
    <row r="652" spans="1:23">
      <c r="A652" t="s">
        <v>700</v>
      </c>
      <c r="B652" s="3">
        <v>45985</v>
      </c>
      <c r="C652" t="s">
        <v>46</v>
      </c>
      <c r="D652" t="str">
        <f>INDEX(Raw_product_master[Category],MATCH(Cleaned_Sales_data[[#This Row],[Product]],Raw_product_master[Product],0))</f>
        <v>Office Equipment</v>
      </c>
      <c r="E652" t="s">
        <v>19</v>
      </c>
      <c r="F652" t="s">
        <v>38</v>
      </c>
      <c r="G652" t="s">
        <v>35</v>
      </c>
      <c r="H652">
        <v>1</v>
      </c>
      <c r="I652">
        <v>18000</v>
      </c>
      <c r="J652" s="10">
        <v>0.08</v>
      </c>
      <c r="K652">
        <v>18000</v>
      </c>
      <c r="L652">
        <v>16560</v>
      </c>
      <c r="M652">
        <v>14400</v>
      </c>
      <c r="N652">
        <v>1445</v>
      </c>
      <c r="O652">
        <v>926</v>
      </c>
      <c r="P652">
        <f>INDEX(Raw_product_master[Standard_Cost_Per_Unit],MATCH(Cleaned_Sales_data[[#This Row],[Product]],Raw_product_master[Product],0))</f>
        <v>14400</v>
      </c>
      <c r="Q652">
        <v>-211</v>
      </c>
      <c r="R652" s="11">
        <v>-1.27415458937198E-2</v>
      </c>
      <c r="S652" s="11">
        <f>INDEX(Raw_product_master[Target_Margin], MATCH(Cleaned_Sales_data[[#This Row],[Product]],Raw_product_master[Product], 0 ))</f>
        <v>0.15</v>
      </c>
      <c r="T652" t="str">
        <f>IF(Cleaned_Sales_data[[#This Row],[Profit]]&gt;0, "Profitable", "Loss")</f>
        <v>Loss</v>
      </c>
      <c r="U652" t="str">
        <f>_xlfn.IFS(Cleaned_Sales_data[[#This Row],[Profit]]&gt;=10000, "High", Cleaned_Sales_data[[#This Row],[Profit]]&gt;=5000, "Medium", Cleaned_Sales_data[[#This Row],[Profit]]&gt;=0, "Low", Cleaned_Sales_data[[#This Row],[Profit]] &lt;0, "Loss")</f>
        <v>Loss</v>
      </c>
      <c r="V652" t="str">
        <f t="shared" si="10"/>
        <v>UnderPerforming</v>
      </c>
      <c r="W652" s="3">
        <v>45962</v>
      </c>
    </row>
    <row r="653" spans="1:23">
      <c r="A653" t="s">
        <v>705</v>
      </c>
      <c r="B653" s="3">
        <v>45707</v>
      </c>
      <c r="C653" t="s">
        <v>24</v>
      </c>
      <c r="D653" t="str">
        <f>INDEX(Raw_product_master[Category],MATCH(Cleaned_Sales_data[[#This Row],[Product]],Raw_product_master[Product],0))</f>
        <v>Accessories</v>
      </c>
      <c r="E653" t="s">
        <v>34</v>
      </c>
      <c r="F653" t="s">
        <v>38</v>
      </c>
      <c r="G653" t="s">
        <v>35</v>
      </c>
      <c r="H653">
        <v>5</v>
      </c>
      <c r="I653">
        <v>3500</v>
      </c>
      <c r="J653" s="10">
        <v>0.05</v>
      </c>
      <c r="K653">
        <v>17500</v>
      </c>
      <c r="L653">
        <v>16625</v>
      </c>
      <c r="M653">
        <v>11900</v>
      </c>
      <c r="N653">
        <v>1091</v>
      </c>
      <c r="O653">
        <v>1147</v>
      </c>
      <c r="P653">
        <f>INDEX(Raw_product_master[Standard_Cost_Per_Unit],MATCH(Cleaned_Sales_data[[#This Row],[Product]],Raw_product_master[Product],0))</f>
        <v>2380</v>
      </c>
      <c r="Q653">
        <v>2487</v>
      </c>
      <c r="R653" s="11">
        <v>0.149593984962406</v>
      </c>
      <c r="S653" s="11">
        <f>INDEX(Raw_product_master[Target_Margin], MATCH(Cleaned_Sales_data[[#This Row],[Product]],Raw_product_master[Product], 0 ))</f>
        <v>0.2</v>
      </c>
      <c r="T653" t="str">
        <f>IF(Cleaned_Sales_data[[#This Row],[Profit]]&gt;0, "Profitable", "Loss")</f>
        <v>Profitable</v>
      </c>
      <c r="U653" t="str">
        <f>_xlfn.IFS(Cleaned_Sales_data[[#This Row],[Profit]]&gt;=10000, "High", Cleaned_Sales_data[[#This Row],[Profit]]&gt;=5000, "Medium", Cleaned_Sales_data[[#This Row],[Profit]]&gt;=0, "Low", Cleaned_Sales_data[[#This Row],[Profit]] &lt;0, "Loss")</f>
        <v>Low</v>
      </c>
      <c r="V653" t="str">
        <f t="shared" si="10"/>
        <v>UnderPerforming</v>
      </c>
      <c r="W653" s="3">
        <v>45689</v>
      </c>
    </row>
    <row r="654" spans="1:23">
      <c r="A654" t="s">
        <v>706</v>
      </c>
      <c r="B654" s="3">
        <v>46044</v>
      </c>
      <c r="C654" t="s">
        <v>61</v>
      </c>
      <c r="D654" t="str">
        <f>INDEX(Raw_product_master[Category],MATCH(Cleaned_Sales_data[[#This Row],[Product]],Raw_product_master[Product],0))</f>
        <v>Accessories</v>
      </c>
      <c r="E654" t="s">
        <v>34</v>
      </c>
      <c r="F654" t="s">
        <v>38</v>
      </c>
      <c r="G654" t="s">
        <v>35</v>
      </c>
      <c r="H654">
        <v>3</v>
      </c>
      <c r="I654">
        <v>4500</v>
      </c>
      <c r="J654" s="10">
        <v>0.08</v>
      </c>
      <c r="K654">
        <v>13500</v>
      </c>
      <c r="L654">
        <v>12420</v>
      </c>
      <c r="M654">
        <v>8775</v>
      </c>
      <c r="N654">
        <v>1003</v>
      </c>
      <c r="O654">
        <v>2394</v>
      </c>
      <c r="P654">
        <f>INDEX(Raw_product_master[Standard_Cost_Per_Unit],MATCH(Cleaned_Sales_data[[#This Row],[Product]],Raw_product_master[Product],0))</f>
        <v>2925</v>
      </c>
      <c r="Q654">
        <v>248</v>
      </c>
      <c r="R654" s="11">
        <v>1.9967793880837401E-2</v>
      </c>
      <c r="S654" s="11">
        <f>INDEX(Raw_product_master[Target_Margin], MATCH(Cleaned_Sales_data[[#This Row],[Product]],Raw_product_master[Product], 0 ))</f>
        <v>0.22</v>
      </c>
      <c r="T654" t="str">
        <f>IF(Cleaned_Sales_data[[#This Row],[Profit]]&gt;0, "Profitable", "Loss")</f>
        <v>Profitable</v>
      </c>
      <c r="U654" t="str">
        <f>_xlfn.IFS(Cleaned_Sales_data[[#This Row],[Profit]]&gt;=10000, "High", Cleaned_Sales_data[[#This Row],[Profit]]&gt;=5000, "Medium", Cleaned_Sales_data[[#This Row],[Profit]]&gt;=0, "Low", Cleaned_Sales_data[[#This Row],[Profit]] &lt;0, "Loss")</f>
        <v>Low</v>
      </c>
      <c r="V654" t="str">
        <f t="shared" si="10"/>
        <v>UnderPerforming</v>
      </c>
      <c r="W654" s="3">
        <v>46023</v>
      </c>
    </row>
    <row r="655" spans="1:23">
      <c r="A655" t="s">
        <v>711</v>
      </c>
      <c r="B655" s="3">
        <v>45982</v>
      </c>
      <c r="C655" t="s">
        <v>18</v>
      </c>
      <c r="D655" t="str">
        <f>INDEX(Raw_product_master[Category],MATCH(Cleaned_Sales_data[[#This Row],[Product]],Raw_product_master[Product],0))</f>
        <v>Computers</v>
      </c>
      <c r="E655" t="s">
        <v>51</v>
      </c>
      <c r="F655" t="s">
        <v>38</v>
      </c>
      <c r="G655" t="s">
        <v>35</v>
      </c>
      <c r="H655">
        <v>2</v>
      </c>
      <c r="I655">
        <v>32000</v>
      </c>
      <c r="J655" s="10">
        <v>0.1</v>
      </c>
      <c r="K655">
        <v>64000</v>
      </c>
      <c r="L655">
        <v>57600</v>
      </c>
      <c r="M655">
        <v>52480</v>
      </c>
      <c r="N655">
        <v>792</v>
      </c>
      <c r="O655">
        <v>1098</v>
      </c>
      <c r="P655">
        <f>INDEX(Raw_product_master[Standard_Cost_Per_Unit],MATCH(Cleaned_Sales_data[[#This Row],[Product]],Raw_product_master[Product],0))</f>
        <v>26240</v>
      </c>
      <c r="Q655">
        <v>3230</v>
      </c>
      <c r="R655" s="11">
        <v>5.6076388888888898E-2</v>
      </c>
      <c r="S655" s="11">
        <f>INDEX(Raw_product_master[Target_Margin], MATCH(Cleaned_Sales_data[[#This Row],[Product]],Raw_product_master[Product], 0 ))</f>
        <v>0.12</v>
      </c>
      <c r="T655" t="str">
        <f>IF(Cleaned_Sales_data[[#This Row],[Profit]]&gt;0, "Profitable", "Loss")</f>
        <v>Profitable</v>
      </c>
      <c r="U655" t="str">
        <f>_xlfn.IFS(Cleaned_Sales_data[[#This Row],[Profit]]&gt;=10000, "High", Cleaned_Sales_data[[#This Row],[Profit]]&gt;=5000, "Medium", Cleaned_Sales_data[[#This Row],[Profit]]&gt;=0, "Low", Cleaned_Sales_data[[#This Row],[Profit]] &lt;0, "Loss")</f>
        <v>Low</v>
      </c>
      <c r="V655" t="str">
        <f t="shared" si="10"/>
        <v>UnderPerforming</v>
      </c>
      <c r="W655" s="3">
        <v>45962</v>
      </c>
    </row>
    <row r="656" spans="1:23">
      <c r="A656" t="s">
        <v>732</v>
      </c>
      <c r="B656" s="3">
        <v>45689</v>
      </c>
      <c r="C656" t="s">
        <v>18</v>
      </c>
      <c r="D656" t="str">
        <f>INDEX(Raw_product_master[Category],MATCH(Cleaned_Sales_data[[#This Row],[Product]],Raw_product_master[Product],0))</f>
        <v>Computers</v>
      </c>
      <c r="E656" t="s">
        <v>34</v>
      </c>
      <c r="F656" t="s">
        <v>38</v>
      </c>
      <c r="G656" t="s">
        <v>35</v>
      </c>
      <c r="H656">
        <v>3</v>
      </c>
      <c r="I656">
        <v>32000</v>
      </c>
      <c r="J656" s="10">
        <v>0.05</v>
      </c>
      <c r="K656">
        <v>96000</v>
      </c>
      <c r="L656">
        <v>91200</v>
      </c>
      <c r="M656">
        <v>78720</v>
      </c>
      <c r="N656">
        <v>255</v>
      </c>
      <c r="O656">
        <v>819</v>
      </c>
      <c r="P656">
        <f>INDEX(Raw_product_master[Standard_Cost_Per_Unit],MATCH(Cleaned_Sales_data[[#This Row],[Product]],Raw_product_master[Product],0))</f>
        <v>26240</v>
      </c>
      <c r="Q656">
        <v>11406</v>
      </c>
      <c r="R656" s="11">
        <v>0.12506578947368399</v>
      </c>
      <c r="S656" s="11">
        <f>INDEX(Raw_product_master[Target_Margin], MATCH(Cleaned_Sales_data[[#This Row],[Product]],Raw_product_master[Product], 0 ))</f>
        <v>0.12</v>
      </c>
      <c r="T656" t="str">
        <f>IF(Cleaned_Sales_data[[#This Row],[Profit]]&gt;0, "Profitable", "Loss")</f>
        <v>Profitable</v>
      </c>
      <c r="U656" t="str">
        <f>_xlfn.IFS(Cleaned_Sales_data[[#This Row],[Profit]]&gt;=10000, "High", Cleaned_Sales_data[[#This Row],[Profit]]&gt;=5000, "Medium", Cleaned_Sales_data[[#This Row],[Profit]]&gt;=0, "Low", Cleaned_Sales_data[[#This Row],[Profit]] &lt;0, "Loss")</f>
        <v>High</v>
      </c>
      <c r="V656" t="str">
        <f t="shared" si="10"/>
        <v>On Target</v>
      </c>
      <c r="W656" s="3">
        <v>45689</v>
      </c>
    </row>
    <row r="657" spans="1:23">
      <c r="A657" t="s">
        <v>733</v>
      </c>
      <c r="B657" s="3">
        <v>45949</v>
      </c>
      <c r="C657" t="s">
        <v>61</v>
      </c>
      <c r="D657" t="str">
        <f>INDEX(Raw_product_master[Category],MATCH(Cleaned_Sales_data[[#This Row],[Product]],Raw_product_master[Product],0))</f>
        <v>Accessories</v>
      </c>
      <c r="E657" t="s">
        <v>25</v>
      </c>
      <c r="F657" t="s">
        <v>38</v>
      </c>
      <c r="G657" t="s">
        <v>35</v>
      </c>
      <c r="H657">
        <v>3</v>
      </c>
      <c r="I657">
        <v>4500</v>
      </c>
      <c r="J657" s="10">
        <v>0.1</v>
      </c>
      <c r="K657">
        <v>13500</v>
      </c>
      <c r="L657">
        <v>12150</v>
      </c>
      <c r="M657">
        <v>8775</v>
      </c>
      <c r="N657">
        <v>329</v>
      </c>
      <c r="O657">
        <v>738</v>
      </c>
      <c r="P657">
        <f>INDEX(Raw_product_master[Standard_Cost_Per_Unit],MATCH(Cleaned_Sales_data[[#This Row],[Product]],Raw_product_master[Product],0))</f>
        <v>2925</v>
      </c>
      <c r="Q657">
        <v>2308</v>
      </c>
      <c r="R657" s="11">
        <v>0.189958847736626</v>
      </c>
      <c r="S657" s="11">
        <f>INDEX(Raw_product_master[Target_Margin], MATCH(Cleaned_Sales_data[[#This Row],[Product]],Raw_product_master[Product], 0 ))</f>
        <v>0.22</v>
      </c>
      <c r="T657" t="str">
        <f>IF(Cleaned_Sales_data[[#This Row],[Profit]]&gt;0, "Profitable", "Loss")</f>
        <v>Profitable</v>
      </c>
      <c r="U657" t="str">
        <f>_xlfn.IFS(Cleaned_Sales_data[[#This Row],[Profit]]&gt;=10000, "High", Cleaned_Sales_data[[#This Row],[Profit]]&gt;=5000, "Medium", Cleaned_Sales_data[[#This Row],[Profit]]&gt;=0, "Low", Cleaned_Sales_data[[#This Row],[Profit]] &lt;0, "Loss")</f>
        <v>Low</v>
      </c>
      <c r="V657" t="str">
        <f t="shared" si="10"/>
        <v>UnderPerforming</v>
      </c>
      <c r="W657" s="3">
        <v>45931</v>
      </c>
    </row>
    <row r="658" spans="1:23">
      <c r="A658" t="s">
        <v>736</v>
      </c>
      <c r="B658" s="3">
        <v>45774</v>
      </c>
      <c r="C658" t="s">
        <v>30</v>
      </c>
      <c r="D658" t="str">
        <f>INDEX(Raw_product_master[Category],MATCH(Cleaned_Sales_data[[#This Row],[Product]],Raw_product_master[Product],0))</f>
        <v>Displays</v>
      </c>
      <c r="E658" t="s">
        <v>25</v>
      </c>
      <c r="F658" t="s">
        <v>38</v>
      </c>
      <c r="G658" t="s">
        <v>35</v>
      </c>
      <c r="H658">
        <v>1</v>
      </c>
      <c r="I658">
        <v>28000</v>
      </c>
      <c r="J658" s="10">
        <v>0.03</v>
      </c>
      <c r="K658">
        <v>28000</v>
      </c>
      <c r="L658">
        <v>27160</v>
      </c>
      <c r="M658">
        <v>21840</v>
      </c>
      <c r="N658">
        <v>1183</v>
      </c>
      <c r="O658">
        <v>1396</v>
      </c>
      <c r="P658">
        <f>INDEX(Raw_product_master[Standard_Cost_Per_Unit],MATCH(Cleaned_Sales_data[[#This Row],[Product]],Raw_product_master[Product],0))</f>
        <v>21840</v>
      </c>
      <c r="Q658">
        <v>2741</v>
      </c>
      <c r="R658" s="11">
        <v>0.100920471281296</v>
      </c>
      <c r="S658" s="11">
        <f>INDEX(Raw_product_master[Target_Margin], MATCH(Cleaned_Sales_data[[#This Row],[Product]],Raw_product_master[Product], 0 ))</f>
        <v>0.18</v>
      </c>
      <c r="T658" t="str">
        <f>IF(Cleaned_Sales_data[[#This Row],[Profit]]&gt;0, "Profitable", "Loss")</f>
        <v>Profitable</v>
      </c>
      <c r="U658" t="str">
        <f>_xlfn.IFS(Cleaned_Sales_data[[#This Row],[Profit]]&gt;=10000, "High", Cleaned_Sales_data[[#This Row],[Profit]]&gt;=5000, "Medium", Cleaned_Sales_data[[#This Row],[Profit]]&gt;=0, "Low", Cleaned_Sales_data[[#This Row],[Profit]] &lt;0, "Loss")</f>
        <v>Low</v>
      </c>
      <c r="V658" t="str">
        <f t="shared" si="10"/>
        <v>UnderPerforming</v>
      </c>
      <c r="W658" s="3">
        <v>45748</v>
      </c>
    </row>
    <row r="659" spans="1:23">
      <c r="A659" t="s">
        <v>749</v>
      </c>
      <c r="B659" s="3">
        <v>45791</v>
      </c>
      <c r="C659" t="s">
        <v>61</v>
      </c>
      <c r="D659" t="str">
        <f>INDEX(Raw_product_master[Category],MATCH(Cleaned_Sales_data[[#This Row],[Product]],Raw_product_master[Product],0))</f>
        <v>Accessories</v>
      </c>
      <c r="E659" t="s">
        <v>51</v>
      </c>
      <c r="F659" t="s">
        <v>38</v>
      </c>
      <c r="G659" t="s">
        <v>35</v>
      </c>
      <c r="H659">
        <v>3</v>
      </c>
      <c r="I659">
        <v>4500</v>
      </c>
      <c r="J659" s="10">
        <v>0.05</v>
      </c>
      <c r="K659">
        <v>13500</v>
      </c>
      <c r="L659">
        <v>12825</v>
      </c>
      <c r="M659">
        <v>8775</v>
      </c>
      <c r="N659">
        <v>1732</v>
      </c>
      <c r="O659">
        <v>337</v>
      </c>
      <c r="P659">
        <f>INDEX(Raw_product_master[Standard_Cost_Per_Unit],MATCH(Cleaned_Sales_data[[#This Row],[Product]],Raw_product_master[Product],0))</f>
        <v>2925</v>
      </c>
      <c r="Q659">
        <v>1981</v>
      </c>
      <c r="R659" s="11">
        <v>0.154463937621832</v>
      </c>
      <c r="S659" s="11">
        <f>INDEX(Raw_product_master[Target_Margin], MATCH(Cleaned_Sales_data[[#This Row],[Product]],Raw_product_master[Product], 0 ))</f>
        <v>0.22</v>
      </c>
      <c r="T659" t="str">
        <f>IF(Cleaned_Sales_data[[#This Row],[Profit]]&gt;0, "Profitable", "Loss")</f>
        <v>Profitable</v>
      </c>
      <c r="U659" t="str">
        <f>_xlfn.IFS(Cleaned_Sales_data[[#This Row],[Profit]]&gt;=10000, "High", Cleaned_Sales_data[[#This Row],[Profit]]&gt;=5000, "Medium", Cleaned_Sales_data[[#This Row],[Profit]]&gt;=0, "Low", Cleaned_Sales_data[[#This Row],[Profit]] &lt;0, "Loss")</f>
        <v>Low</v>
      </c>
      <c r="V659" t="str">
        <f t="shared" si="10"/>
        <v>UnderPerforming</v>
      </c>
      <c r="W659" s="3">
        <v>45778</v>
      </c>
    </row>
    <row r="660" spans="1:23">
      <c r="A660" t="s">
        <v>763</v>
      </c>
      <c r="B660" s="3">
        <v>45889</v>
      </c>
      <c r="C660" t="s">
        <v>46</v>
      </c>
      <c r="D660" t="str">
        <f>INDEX(Raw_product_master[Category],MATCH(Cleaned_Sales_data[[#This Row],[Product]],Raw_product_master[Product],0))</f>
        <v>Office Equipment</v>
      </c>
      <c r="E660" t="s">
        <v>63</v>
      </c>
      <c r="F660" t="s">
        <v>38</v>
      </c>
      <c r="G660" t="s">
        <v>35</v>
      </c>
      <c r="H660">
        <v>2</v>
      </c>
      <c r="I660">
        <v>18000</v>
      </c>
      <c r="J660" s="10">
        <v>0.05</v>
      </c>
      <c r="K660">
        <v>36000</v>
      </c>
      <c r="L660">
        <v>34200</v>
      </c>
      <c r="M660">
        <v>28800</v>
      </c>
      <c r="N660">
        <v>775</v>
      </c>
      <c r="O660">
        <v>554</v>
      </c>
      <c r="P660">
        <f>INDEX(Raw_product_master[Standard_Cost_Per_Unit],MATCH(Cleaned_Sales_data[[#This Row],[Product]],Raw_product_master[Product],0))</f>
        <v>14400</v>
      </c>
      <c r="Q660">
        <v>4071</v>
      </c>
      <c r="R660" s="11">
        <v>0.11903508771929799</v>
      </c>
      <c r="S660" s="11">
        <f>INDEX(Raw_product_master[Target_Margin], MATCH(Cleaned_Sales_data[[#This Row],[Product]],Raw_product_master[Product], 0 ))</f>
        <v>0.15</v>
      </c>
      <c r="T660" t="str">
        <f>IF(Cleaned_Sales_data[[#This Row],[Profit]]&gt;0, "Profitable", "Loss")</f>
        <v>Profitable</v>
      </c>
      <c r="U660" t="str">
        <f>_xlfn.IFS(Cleaned_Sales_data[[#This Row],[Profit]]&gt;=10000, "High", Cleaned_Sales_data[[#This Row],[Profit]]&gt;=5000, "Medium", Cleaned_Sales_data[[#This Row],[Profit]]&gt;=0, "Low", Cleaned_Sales_data[[#This Row],[Profit]] &lt;0, "Loss")</f>
        <v>Low</v>
      </c>
      <c r="V660" t="str">
        <f t="shared" si="10"/>
        <v>UnderPerforming</v>
      </c>
      <c r="W660" s="3">
        <v>45870</v>
      </c>
    </row>
    <row r="661" spans="1:23">
      <c r="A661" t="s">
        <v>782</v>
      </c>
      <c r="B661" s="3">
        <v>45856</v>
      </c>
      <c r="C661" t="s">
        <v>61</v>
      </c>
      <c r="D661" t="str">
        <f>INDEX(Raw_product_master[Category],MATCH(Cleaned_Sales_data[[#This Row],[Product]],Raw_product_master[Product],0))</f>
        <v>Accessories</v>
      </c>
      <c r="E661" t="s">
        <v>25</v>
      </c>
      <c r="F661" t="s">
        <v>38</v>
      </c>
      <c r="G661" t="s">
        <v>35</v>
      </c>
      <c r="H661">
        <v>7</v>
      </c>
      <c r="I661">
        <v>4500</v>
      </c>
      <c r="J661" s="10">
        <v>0.05</v>
      </c>
      <c r="K661">
        <v>31500</v>
      </c>
      <c r="L661">
        <v>29925</v>
      </c>
      <c r="M661">
        <v>20475</v>
      </c>
      <c r="N661">
        <v>632</v>
      </c>
      <c r="O661">
        <v>2206</v>
      </c>
      <c r="P661">
        <f>INDEX(Raw_product_master[Standard_Cost_Per_Unit],MATCH(Cleaned_Sales_data[[#This Row],[Product]],Raw_product_master[Product],0))</f>
        <v>2925</v>
      </c>
      <c r="Q661">
        <v>6612</v>
      </c>
      <c r="R661" s="11">
        <v>0.22095238095238101</v>
      </c>
      <c r="S661" s="11">
        <f>INDEX(Raw_product_master[Target_Margin], MATCH(Cleaned_Sales_data[[#This Row],[Product]],Raw_product_master[Product], 0 ))</f>
        <v>0.22</v>
      </c>
      <c r="T661" t="str">
        <f>IF(Cleaned_Sales_data[[#This Row],[Profit]]&gt;0, "Profitable", "Loss")</f>
        <v>Profitable</v>
      </c>
      <c r="U661" t="str">
        <f>_xlfn.IFS(Cleaned_Sales_data[[#This Row],[Profit]]&gt;=10000, "High", Cleaned_Sales_data[[#This Row],[Profit]]&gt;=5000, "Medium", Cleaned_Sales_data[[#This Row],[Profit]]&gt;=0, "Low", Cleaned_Sales_data[[#This Row],[Profit]] &lt;0, "Loss")</f>
        <v>Medium</v>
      </c>
      <c r="V661" t="str">
        <f t="shared" si="10"/>
        <v>On Target</v>
      </c>
      <c r="W661" s="3">
        <v>45839</v>
      </c>
    </row>
    <row r="662" spans="1:23">
      <c r="A662" t="s">
        <v>784</v>
      </c>
      <c r="B662" s="3">
        <v>46196</v>
      </c>
      <c r="C662" t="s">
        <v>53</v>
      </c>
      <c r="D662" t="str">
        <f>INDEX(Raw_product_master[Category],MATCH(Cleaned_Sales_data[[#This Row],[Product]],Raw_product_master[Product],0))</f>
        <v>Accessories</v>
      </c>
      <c r="E662" t="s">
        <v>31</v>
      </c>
      <c r="F662" t="s">
        <v>38</v>
      </c>
      <c r="G662" t="s">
        <v>35</v>
      </c>
      <c r="H662">
        <v>2</v>
      </c>
      <c r="I662">
        <v>1500</v>
      </c>
      <c r="J662" s="10">
        <v>0.08</v>
      </c>
      <c r="K662">
        <v>3000</v>
      </c>
      <c r="L662">
        <v>2760</v>
      </c>
      <c r="M662">
        <v>1650</v>
      </c>
      <c r="N662">
        <v>1590</v>
      </c>
      <c r="O662">
        <v>1584</v>
      </c>
      <c r="P662">
        <f>INDEX(Raw_product_master[Standard_Cost_Per_Unit],MATCH(Cleaned_Sales_data[[#This Row],[Product]],Raw_product_master[Product],0))</f>
        <v>825</v>
      </c>
      <c r="Q662">
        <v>-2064</v>
      </c>
      <c r="R662" s="11">
        <v>-0.74782608695652197</v>
      </c>
      <c r="S662" s="11">
        <f>INDEX(Raw_product_master[Target_Margin], MATCH(Cleaned_Sales_data[[#This Row],[Product]],Raw_product_master[Product], 0 ))</f>
        <v>0.3</v>
      </c>
      <c r="T662" t="str">
        <f>IF(Cleaned_Sales_data[[#This Row],[Profit]]&gt;0, "Profitable", "Loss")</f>
        <v>Loss</v>
      </c>
      <c r="U662" t="str">
        <f>_xlfn.IFS(Cleaned_Sales_data[[#This Row],[Profit]]&gt;=10000, "High", Cleaned_Sales_data[[#This Row],[Profit]]&gt;=5000, "Medium", Cleaned_Sales_data[[#This Row],[Profit]]&gt;=0, "Low", Cleaned_Sales_data[[#This Row],[Profit]] &lt;0, "Loss")</f>
        <v>Loss</v>
      </c>
      <c r="V662" t="str">
        <f t="shared" si="10"/>
        <v>UnderPerforming</v>
      </c>
      <c r="W662" s="3">
        <v>46174</v>
      </c>
    </row>
    <row r="663" spans="1:23">
      <c r="A663" t="s">
        <v>788</v>
      </c>
      <c r="B663" s="3">
        <v>46164</v>
      </c>
      <c r="C663" t="s">
        <v>53</v>
      </c>
      <c r="D663" t="str">
        <f>INDEX(Raw_product_master[Category],MATCH(Cleaned_Sales_data[[#This Row],[Product]],Raw_product_master[Product],0))</f>
        <v>Accessories</v>
      </c>
      <c r="E663" t="s">
        <v>25</v>
      </c>
      <c r="F663" t="s">
        <v>38</v>
      </c>
      <c r="G663" t="s">
        <v>35</v>
      </c>
      <c r="H663">
        <v>4</v>
      </c>
      <c r="I663">
        <v>1500</v>
      </c>
      <c r="J663" s="10">
        <v>0.2</v>
      </c>
      <c r="K663">
        <v>6000</v>
      </c>
      <c r="L663">
        <v>4800</v>
      </c>
      <c r="M663">
        <v>3300</v>
      </c>
      <c r="N663">
        <v>1523</v>
      </c>
      <c r="O663">
        <v>1240</v>
      </c>
      <c r="P663">
        <f>INDEX(Raw_product_master[Standard_Cost_Per_Unit],MATCH(Cleaned_Sales_data[[#This Row],[Product]],Raw_product_master[Product],0))</f>
        <v>825</v>
      </c>
      <c r="Q663">
        <v>-1263</v>
      </c>
      <c r="R663" s="11">
        <v>-0.263125</v>
      </c>
      <c r="S663" s="11">
        <f>INDEX(Raw_product_master[Target_Margin], MATCH(Cleaned_Sales_data[[#This Row],[Product]],Raw_product_master[Product], 0 ))</f>
        <v>0.3</v>
      </c>
      <c r="T663" t="str">
        <f>IF(Cleaned_Sales_data[[#This Row],[Profit]]&gt;0, "Profitable", "Loss")</f>
        <v>Loss</v>
      </c>
      <c r="U663" t="str">
        <f>_xlfn.IFS(Cleaned_Sales_data[[#This Row],[Profit]]&gt;=10000, "High", Cleaned_Sales_data[[#This Row],[Profit]]&gt;=5000, "Medium", Cleaned_Sales_data[[#This Row],[Profit]]&gt;=0, "Low", Cleaned_Sales_data[[#This Row],[Profit]] &lt;0, "Loss")</f>
        <v>Loss</v>
      </c>
      <c r="V663" t="str">
        <f t="shared" si="10"/>
        <v>UnderPerforming</v>
      </c>
      <c r="W663" s="3">
        <v>46143</v>
      </c>
    </row>
    <row r="664" spans="1:23">
      <c r="A664" t="s">
        <v>37</v>
      </c>
      <c r="B664" s="3">
        <v>45824</v>
      </c>
      <c r="C664" t="s">
        <v>18</v>
      </c>
      <c r="D664" t="str">
        <f>INDEX(Raw_product_master[Category],MATCH(Cleaned_Sales_data[[#This Row],[Product]],Raw_product_master[Product],0))</f>
        <v>Computers</v>
      </c>
      <c r="E664" t="s">
        <v>25</v>
      </c>
      <c r="F664" t="s">
        <v>38</v>
      </c>
      <c r="G664" t="s">
        <v>27</v>
      </c>
      <c r="H664">
        <v>1</v>
      </c>
      <c r="I664">
        <v>32000</v>
      </c>
      <c r="J664" s="10">
        <v>0</v>
      </c>
      <c r="K664">
        <v>32000</v>
      </c>
      <c r="L664">
        <v>32000</v>
      </c>
      <c r="M664">
        <v>26240</v>
      </c>
      <c r="N664">
        <v>846</v>
      </c>
      <c r="O664">
        <v>2168</v>
      </c>
      <c r="P664">
        <f>INDEX(Raw_product_master[Standard_Cost_Per_Unit],MATCH(Cleaned_Sales_data[[#This Row],[Product]],Raw_product_master[Product],0))</f>
        <v>26240</v>
      </c>
      <c r="Q664">
        <v>2746</v>
      </c>
      <c r="R664" s="11">
        <v>8.58125E-2</v>
      </c>
      <c r="S664" s="11">
        <f>INDEX(Raw_product_master[Target_Margin], MATCH(Cleaned_Sales_data[[#This Row],[Product]],Raw_product_master[Product], 0 ))</f>
        <v>0.12</v>
      </c>
      <c r="T664" t="str">
        <f>IF(Cleaned_Sales_data[[#This Row],[Profit]]&gt;0, "Profitable", "Loss")</f>
        <v>Profitable</v>
      </c>
      <c r="U664" t="str">
        <f>_xlfn.IFS(Cleaned_Sales_data[[#This Row],[Profit]]&gt;=10000, "High", Cleaned_Sales_data[[#This Row],[Profit]]&gt;=5000, "Medium", Cleaned_Sales_data[[#This Row],[Profit]]&gt;=0, "Low", Cleaned_Sales_data[[#This Row],[Profit]] &lt;0, "Loss")</f>
        <v>Low</v>
      </c>
      <c r="V664" t="str">
        <f t="shared" si="10"/>
        <v>UnderPerforming</v>
      </c>
      <c r="W664" s="3">
        <v>45809</v>
      </c>
    </row>
    <row r="665" spans="1:23">
      <c r="A665" t="s">
        <v>45</v>
      </c>
      <c r="B665" s="3">
        <v>45710</v>
      </c>
      <c r="C665" t="s">
        <v>46</v>
      </c>
      <c r="D665" t="str">
        <f>INDEX(Raw_product_master[Category],MATCH(Cleaned_Sales_data[[#This Row],[Product]],Raw_product_master[Product],0))</f>
        <v>Office Equipment</v>
      </c>
      <c r="E665" t="s">
        <v>25</v>
      </c>
      <c r="F665" t="s">
        <v>38</v>
      </c>
      <c r="G665" t="s">
        <v>21</v>
      </c>
      <c r="H665">
        <v>1</v>
      </c>
      <c r="I665">
        <v>18000</v>
      </c>
      <c r="J665" s="10">
        <v>0.05</v>
      </c>
      <c r="K665">
        <v>18000</v>
      </c>
      <c r="L665">
        <v>17100</v>
      </c>
      <c r="M665">
        <v>14400</v>
      </c>
      <c r="N665">
        <v>537</v>
      </c>
      <c r="O665">
        <v>978</v>
      </c>
      <c r="P665">
        <f>INDEX(Raw_product_master[Standard_Cost_Per_Unit],MATCH(Cleaned_Sales_data[[#This Row],[Product]],Raw_product_master[Product],0))</f>
        <v>14400</v>
      </c>
      <c r="Q665">
        <v>1185</v>
      </c>
      <c r="R665" s="11">
        <v>6.9298245614035095E-2</v>
      </c>
      <c r="S665" s="11">
        <f>INDEX(Raw_product_master[Target_Margin], MATCH(Cleaned_Sales_data[[#This Row],[Product]],Raw_product_master[Product], 0 ))</f>
        <v>0.15</v>
      </c>
      <c r="T665" t="str">
        <f>IF(Cleaned_Sales_data[[#This Row],[Profit]]&gt;0, "Profitable", "Loss")</f>
        <v>Profitable</v>
      </c>
      <c r="U665" t="str">
        <f>_xlfn.IFS(Cleaned_Sales_data[[#This Row],[Profit]]&gt;=10000, "High", Cleaned_Sales_data[[#This Row],[Profit]]&gt;=5000, "Medium", Cleaned_Sales_data[[#This Row],[Profit]]&gt;=0, "Low", Cleaned_Sales_data[[#This Row],[Profit]] &lt;0, "Loss")</f>
        <v>Low</v>
      </c>
      <c r="V665" t="str">
        <f t="shared" si="10"/>
        <v>UnderPerforming</v>
      </c>
      <c r="W665" s="3">
        <v>45689</v>
      </c>
    </row>
    <row r="666" spans="1:23">
      <c r="A666" t="s">
        <v>49</v>
      </c>
      <c r="B666" s="3">
        <v>46036</v>
      </c>
      <c r="C666" t="s">
        <v>50</v>
      </c>
      <c r="D666" t="str">
        <f>INDEX(Raw_product_master[Category],MATCH(Cleaned_Sales_data[[#This Row],[Product]],Raw_product_master[Product],0))</f>
        <v>Accessories</v>
      </c>
      <c r="E666" t="s">
        <v>51</v>
      </c>
      <c r="F666" t="s">
        <v>38</v>
      </c>
      <c r="G666" t="s">
        <v>21</v>
      </c>
      <c r="H666">
        <v>1</v>
      </c>
      <c r="I666">
        <v>2500</v>
      </c>
      <c r="J666" s="10">
        <v>0.1</v>
      </c>
      <c r="K666">
        <v>2500</v>
      </c>
      <c r="L666">
        <v>2250</v>
      </c>
      <c r="M666">
        <v>1550</v>
      </c>
      <c r="N666">
        <v>618</v>
      </c>
      <c r="O666">
        <v>2436</v>
      </c>
      <c r="P666">
        <f>INDEX(Raw_product_master[Standard_Cost_Per_Unit],MATCH(Cleaned_Sales_data[[#This Row],[Product]],Raw_product_master[Product],0))</f>
        <v>1550</v>
      </c>
      <c r="Q666">
        <v>-2354</v>
      </c>
      <c r="R666" s="11">
        <v>-1.0462222222222199</v>
      </c>
      <c r="S666" s="11">
        <f>INDEX(Raw_product_master[Target_Margin], MATCH(Cleaned_Sales_data[[#This Row],[Product]],Raw_product_master[Product], 0 ))</f>
        <v>0.25</v>
      </c>
      <c r="T666" t="str">
        <f>IF(Cleaned_Sales_data[[#This Row],[Profit]]&gt;0, "Profitable", "Loss")</f>
        <v>Loss</v>
      </c>
      <c r="U666" t="str">
        <f>_xlfn.IFS(Cleaned_Sales_data[[#This Row],[Profit]]&gt;=10000, "High", Cleaned_Sales_data[[#This Row],[Profit]]&gt;=5000, "Medium", Cleaned_Sales_data[[#This Row],[Profit]]&gt;=0, "Low", Cleaned_Sales_data[[#This Row],[Profit]] &lt;0, "Loss")</f>
        <v>Loss</v>
      </c>
      <c r="V666" t="str">
        <f t="shared" si="10"/>
        <v>UnderPerforming</v>
      </c>
      <c r="W666" s="3">
        <v>46023</v>
      </c>
    </row>
    <row r="667" spans="1:23">
      <c r="A667" t="s">
        <v>74</v>
      </c>
      <c r="B667" s="3">
        <v>46130</v>
      </c>
      <c r="C667" t="s">
        <v>75</v>
      </c>
      <c r="D667" t="str">
        <f>INDEX(Raw_product_master[Category],MATCH(Cleaned_Sales_data[[#This Row],[Product]],Raw_product_master[Product],0))</f>
        <v>Computers</v>
      </c>
      <c r="E667" t="s">
        <v>25</v>
      </c>
      <c r="F667" t="s">
        <v>38</v>
      </c>
      <c r="G667" t="s">
        <v>27</v>
      </c>
      <c r="H667">
        <v>1</v>
      </c>
      <c r="I667">
        <v>65000</v>
      </c>
      <c r="J667" s="10">
        <v>0.05</v>
      </c>
      <c r="K667">
        <v>65000</v>
      </c>
      <c r="L667">
        <v>61750</v>
      </c>
      <c r="M667">
        <v>54600</v>
      </c>
      <c r="N667">
        <v>750</v>
      </c>
      <c r="O667">
        <v>2485</v>
      </c>
      <c r="P667">
        <f>INDEX(Raw_product_master[Standard_Cost_Per_Unit],MATCH(Cleaned_Sales_data[[#This Row],[Product]],Raw_product_master[Product],0))</f>
        <v>54600</v>
      </c>
      <c r="Q667">
        <v>3915</v>
      </c>
      <c r="R667" s="11">
        <v>6.3400809716599199E-2</v>
      </c>
      <c r="S667" s="11">
        <f>INDEX(Raw_product_master[Target_Margin], MATCH(Cleaned_Sales_data[[#This Row],[Product]],Raw_product_master[Product], 0 ))</f>
        <v>0.12</v>
      </c>
      <c r="T667" t="str">
        <f>IF(Cleaned_Sales_data[[#This Row],[Profit]]&gt;0, "Profitable", "Loss")</f>
        <v>Profitable</v>
      </c>
      <c r="U667" t="str">
        <f>_xlfn.IFS(Cleaned_Sales_data[[#This Row],[Profit]]&gt;=10000, "High", Cleaned_Sales_data[[#This Row],[Profit]]&gt;=5000, "Medium", Cleaned_Sales_data[[#This Row],[Profit]]&gt;=0, "Low", Cleaned_Sales_data[[#This Row],[Profit]] &lt;0, "Loss")</f>
        <v>Low</v>
      </c>
      <c r="V667" t="str">
        <f t="shared" si="10"/>
        <v>UnderPerforming</v>
      </c>
      <c r="W667" s="3">
        <v>46113</v>
      </c>
    </row>
    <row r="668" spans="1:23">
      <c r="A668" t="s">
        <v>103</v>
      </c>
      <c r="B668" s="3">
        <v>45925</v>
      </c>
      <c r="C668" t="s">
        <v>53</v>
      </c>
      <c r="D668" t="str">
        <f>INDEX(Raw_product_master[Category],MATCH(Cleaned_Sales_data[[#This Row],[Product]],Raw_product_master[Product],0))</f>
        <v>Accessories</v>
      </c>
      <c r="E668" t="s">
        <v>19</v>
      </c>
      <c r="F668" t="s">
        <v>38</v>
      </c>
      <c r="G668" t="s">
        <v>21</v>
      </c>
      <c r="H668">
        <v>1</v>
      </c>
      <c r="I668">
        <v>1500</v>
      </c>
      <c r="J668" s="10">
        <v>0.05</v>
      </c>
      <c r="K668">
        <v>1500</v>
      </c>
      <c r="L668">
        <v>1425</v>
      </c>
      <c r="M668">
        <v>825</v>
      </c>
      <c r="N668">
        <v>890</v>
      </c>
      <c r="O668">
        <v>1736</v>
      </c>
      <c r="P668">
        <f>INDEX(Raw_product_master[Standard_Cost_Per_Unit],MATCH(Cleaned_Sales_data[[#This Row],[Product]],Raw_product_master[Product],0))</f>
        <v>825</v>
      </c>
      <c r="Q668">
        <v>-2026</v>
      </c>
      <c r="R668" s="11">
        <v>-1.42175438596491</v>
      </c>
      <c r="S668" s="11">
        <f>INDEX(Raw_product_master[Target_Margin], MATCH(Cleaned_Sales_data[[#This Row],[Product]],Raw_product_master[Product], 0 ))</f>
        <v>0.3</v>
      </c>
      <c r="T668" t="str">
        <f>IF(Cleaned_Sales_data[[#This Row],[Profit]]&gt;0, "Profitable", "Loss")</f>
        <v>Loss</v>
      </c>
      <c r="U668" t="str">
        <f>_xlfn.IFS(Cleaned_Sales_data[[#This Row],[Profit]]&gt;=10000, "High", Cleaned_Sales_data[[#This Row],[Profit]]&gt;=5000, "Medium", Cleaned_Sales_data[[#This Row],[Profit]]&gt;=0, "Low", Cleaned_Sales_data[[#This Row],[Profit]] &lt;0, "Loss")</f>
        <v>Loss</v>
      </c>
      <c r="V668" t="str">
        <f t="shared" si="10"/>
        <v>UnderPerforming</v>
      </c>
      <c r="W668" s="3">
        <v>45901</v>
      </c>
    </row>
    <row r="669" spans="1:23">
      <c r="A669" t="s">
        <v>111</v>
      </c>
      <c r="B669" s="3">
        <v>45696</v>
      </c>
      <c r="C669" t="s">
        <v>53</v>
      </c>
      <c r="D669" t="str">
        <f>INDEX(Raw_product_master[Category],MATCH(Cleaned_Sales_data[[#This Row],[Product]],Raw_product_master[Product],0))</f>
        <v>Accessories</v>
      </c>
      <c r="E669" t="s">
        <v>51</v>
      </c>
      <c r="F669" t="s">
        <v>38</v>
      </c>
      <c r="G669" t="s">
        <v>27</v>
      </c>
      <c r="H669">
        <v>3</v>
      </c>
      <c r="I669">
        <v>1500</v>
      </c>
      <c r="J669" s="10">
        <v>0.03</v>
      </c>
      <c r="K669">
        <v>4500</v>
      </c>
      <c r="L669">
        <v>4365</v>
      </c>
      <c r="M669">
        <v>2475</v>
      </c>
      <c r="N669">
        <v>1788</v>
      </c>
      <c r="O669">
        <v>1267</v>
      </c>
      <c r="P669">
        <f>INDEX(Raw_product_master[Standard_Cost_Per_Unit],MATCH(Cleaned_Sales_data[[#This Row],[Product]],Raw_product_master[Product],0))</f>
        <v>825</v>
      </c>
      <c r="Q669">
        <v>-1165</v>
      </c>
      <c r="R669" s="11">
        <v>-0.26689576174112301</v>
      </c>
      <c r="S669" s="11">
        <f>INDEX(Raw_product_master[Target_Margin], MATCH(Cleaned_Sales_data[[#This Row],[Product]],Raw_product_master[Product], 0 ))</f>
        <v>0.3</v>
      </c>
      <c r="T669" t="str">
        <f>IF(Cleaned_Sales_data[[#This Row],[Profit]]&gt;0, "Profitable", "Loss")</f>
        <v>Loss</v>
      </c>
      <c r="U669" t="str">
        <f>_xlfn.IFS(Cleaned_Sales_data[[#This Row],[Profit]]&gt;=10000, "High", Cleaned_Sales_data[[#This Row],[Profit]]&gt;=5000, "Medium", Cleaned_Sales_data[[#This Row],[Profit]]&gt;=0, "Low", Cleaned_Sales_data[[#This Row],[Profit]] &lt;0, "Loss")</f>
        <v>Loss</v>
      </c>
      <c r="V669" t="str">
        <f t="shared" si="10"/>
        <v>UnderPerforming</v>
      </c>
      <c r="W669" s="3">
        <v>45689</v>
      </c>
    </row>
    <row r="670" spans="1:23">
      <c r="A670" t="s">
        <v>118</v>
      </c>
      <c r="B670" s="3">
        <v>45774</v>
      </c>
      <c r="C670" t="s">
        <v>75</v>
      </c>
      <c r="D670" t="str">
        <f>INDEX(Raw_product_master[Category],MATCH(Cleaned_Sales_data[[#This Row],[Product]],Raw_product_master[Product],0))</f>
        <v>Computers</v>
      </c>
      <c r="E670" t="s">
        <v>34</v>
      </c>
      <c r="F670" t="s">
        <v>38</v>
      </c>
      <c r="G670" t="s">
        <v>27</v>
      </c>
      <c r="H670">
        <v>3</v>
      </c>
      <c r="I670">
        <v>65000</v>
      </c>
      <c r="J670" s="10">
        <v>0.05</v>
      </c>
      <c r="K670">
        <v>195000</v>
      </c>
      <c r="L670">
        <v>185250</v>
      </c>
      <c r="M670">
        <v>163800</v>
      </c>
      <c r="N670">
        <v>1632</v>
      </c>
      <c r="O670">
        <v>923</v>
      </c>
      <c r="P670">
        <f>INDEX(Raw_product_master[Standard_Cost_Per_Unit],MATCH(Cleaned_Sales_data[[#This Row],[Product]],Raw_product_master[Product],0))</f>
        <v>54600</v>
      </c>
      <c r="Q670">
        <v>18895</v>
      </c>
      <c r="R670" s="11">
        <v>0.10199730094466899</v>
      </c>
      <c r="S670" s="11">
        <f>INDEX(Raw_product_master[Target_Margin], MATCH(Cleaned_Sales_data[[#This Row],[Product]],Raw_product_master[Product], 0 ))</f>
        <v>0.12</v>
      </c>
      <c r="T670" t="str">
        <f>IF(Cleaned_Sales_data[[#This Row],[Profit]]&gt;0, "Profitable", "Loss")</f>
        <v>Profitable</v>
      </c>
      <c r="U670" t="str">
        <f>_xlfn.IFS(Cleaned_Sales_data[[#This Row],[Profit]]&gt;=10000, "High", Cleaned_Sales_data[[#This Row],[Profit]]&gt;=5000, "Medium", Cleaned_Sales_data[[#This Row],[Profit]]&gt;=0, "Low", Cleaned_Sales_data[[#This Row],[Profit]] &lt;0, "Loss")</f>
        <v>High</v>
      </c>
      <c r="V670" t="str">
        <f t="shared" si="10"/>
        <v>UnderPerforming</v>
      </c>
      <c r="W670" s="3">
        <v>45748</v>
      </c>
    </row>
    <row r="671" spans="1:23">
      <c r="A671" t="s">
        <v>122</v>
      </c>
      <c r="B671" s="3">
        <v>45698</v>
      </c>
      <c r="C671" t="s">
        <v>30</v>
      </c>
      <c r="D671" t="str">
        <f>INDEX(Raw_product_master[Category],MATCH(Cleaned_Sales_data[[#This Row],[Product]],Raw_product_master[Product],0))</f>
        <v>Displays</v>
      </c>
      <c r="E671" t="s">
        <v>31</v>
      </c>
      <c r="F671" t="s">
        <v>38</v>
      </c>
      <c r="G671" t="s">
        <v>21</v>
      </c>
      <c r="H671">
        <v>2</v>
      </c>
      <c r="I671">
        <v>28000</v>
      </c>
      <c r="J671" s="10">
        <v>0.05</v>
      </c>
      <c r="K671">
        <v>56000</v>
      </c>
      <c r="L671">
        <v>53200</v>
      </c>
      <c r="M671">
        <v>43680</v>
      </c>
      <c r="N671">
        <v>1539</v>
      </c>
      <c r="O671">
        <v>639</v>
      </c>
      <c r="P671">
        <f>INDEX(Raw_product_master[Standard_Cost_Per_Unit],MATCH(Cleaned_Sales_data[[#This Row],[Product]],Raw_product_master[Product],0))</f>
        <v>21840</v>
      </c>
      <c r="Q671">
        <v>7342</v>
      </c>
      <c r="R671" s="11">
        <v>0.138007518796992</v>
      </c>
      <c r="S671" s="11">
        <f>INDEX(Raw_product_master[Target_Margin], MATCH(Cleaned_Sales_data[[#This Row],[Product]],Raw_product_master[Product], 0 ))</f>
        <v>0.18</v>
      </c>
      <c r="T671" t="str">
        <f>IF(Cleaned_Sales_data[[#This Row],[Profit]]&gt;0, "Profitable", "Loss")</f>
        <v>Profitable</v>
      </c>
      <c r="U671" t="str">
        <f>_xlfn.IFS(Cleaned_Sales_data[[#This Row],[Profit]]&gt;=10000, "High", Cleaned_Sales_data[[#This Row],[Profit]]&gt;=5000, "Medium", Cleaned_Sales_data[[#This Row],[Profit]]&gt;=0, "Low", Cleaned_Sales_data[[#This Row],[Profit]] &lt;0, "Loss")</f>
        <v>Medium</v>
      </c>
      <c r="V671" t="str">
        <f t="shared" si="10"/>
        <v>UnderPerforming</v>
      </c>
      <c r="W671" s="3">
        <v>45689</v>
      </c>
    </row>
    <row r="672" spans="1:23">
      <c r="A672" t="s">
        <v>123</v>
      </c>
      <c r="B672" s="3">
        <v>45910</v>
      </c>
      <c r="C672" t="s">
        <v>75</v>
      </c>
      <c r="D672" t="str">
        <f>INDEX(Raw_product_master[Category],MATCH(Cleaned_Sales_data[[#This Row],[Product]],Raw_product_master[Product],0))</f>
        <v>Computers</v>
      </c>
      <c r="E672" t="s">
        <v>34</v>
      </c>
      <c r="F672" t="s">
        <v>38</v>
      </c>
      <c r="G672" t="s">
        <v>21</v>
      </c>
      <c r="H672">
        <v>1</v>
      </c>
      <c r="I672">
        <v>65000</v>
      </c>
      <c r="J672" s="10">
        <v>0.05</v>
      </c>
      <c r="K672">
        <v>65000</v>
      </c>
      <c r="L672">
        <v>61750</v>
      </c>
      <c r="M672">
        <v>54600</v>
      </c>
      <c r="N672">
        <v>660</v>
      </c>
      <c r="O672">
        <v>1024</v>
      </c>
      <c r="P672">
        <f>INDEX(Raw_product_master[Standard_Cost_Per_Unit],MATCH(Cleaned_Sales_data[[#This Row],[Product]],Raw_product_master[Product],0))</f>
        <v>54600</v>
      </c>
      <c r="Q672">
        <v>5466</v>
      </c>
      <c r="R672" s="11">
        <v>8.8518218623481804E-2</v>
      </c>
      <c r="S672" s="11">
        <f>INDEX(Raw_product_master[Target_Margin], MATCH(Cleaned_Sales_data[[#This Row],[Product]],Raw_product_master[Product], 0 ))</f>
        <v>0.12</v>
      </c>
      <c r="T672" t="str">
        <f>IF(Cleaned_Sales_data[[#This Row],[Profit]]&gt;0, "Profitable", "Loss")</f>
        <v>Profitable</v>
      </c>
      <c r="U672" t="str">
        <f>_xlfn.IFS(Cleaned_Sales_data[[#This Row],[Profit]]&gt;=10000, "High", Cleaned_Sales_data[[#This Row],[Profit]]&gt;=5000, "Medium", Cleaned_Sales_data[[#This Row],[Profit]]&gt;=0, "Low", Cleaned_Sales_data[[#This Row],[Profit]] &lt;0, "Loss")</f>
        <v>Medium</v>
      </c>
      <c r="V672" t="str">
        <f t="shared" si="10"/>
        <v>UnderPerforming</v>
      </c>
      <c r="W672" s="3">
        <v>45901</v>
      </c>
    </row>
    <row r="673" spans="1:23">
      <c r="A673" t="s">
        <v>131</v>
      </c>
      <c r="B673" s="3">
        <v>45732</v>
      </c>
      <c r="C673" t="s">
        <v>46</v>
      </c>
      <c r="D673" t="str">
        <f>INDEX(Raw_product_master[Category],MATCH(Cleaned_Sales_data[[#This Row],[Product]],Raw_product_master[Product],0))</f>
        <v>Office Equipment</v>
      </c>
      <c r="E673" t="s">
        <v>19</v>
      </c>
      <c r="F673" t="s">
        <v>38</v>
      </c>
      <c r="G673" t="s">
        <v>21</v>
      </c>
      <c r="H673">
        <v>3</v>
      </c>
      <c r="I673">
        <v>18000</v>
      </c>
      <c r="J673" s="10">
        <v>0</v>
      </c>
      <c r="K673">
        <v>54000</v>
      </c>
      <c r="L673">
        <v>54000</v>
      </c>
      <c r="M673">
        <v>43200</v>
      </c>
      <c r="N673">
        <v>1430</v>
      </c>
      <c r="O673">
        <v>1352</v>
      </c>
      <c r="P673">
        <f>INDEX(Raw_product_master[Standard_Cost_Per_Unit],MATCH(Cleaned_Sales_data[[#This Row],[Product]],Raw_product_master[Product],0))</f>
        <v>14400</v>
      </c>
      <c r="Q673">
        <v>8018</v>
      </c>
      <c r="R673" s="11">
        <v>0.14848148148148199</v>
      </c>
      <c r="S673" s="11">
        <f>INDEX(Raw_product_master[Target_Margin], MATCH(Cleaned_Sales_data[[#This Row],[Product]],Raw_product_master[Product], 0 ))</f>
        <v>0.15</v>
      </c>
      <c r="T673" t="str">
        <f>IF(Cleaned_Sales_data[[#This Row],[Profit]]&gt;0, "Profitable", "Loss")</f>
        <v>Profitable</v>
      </c>
      <c r="U673" t="str">
        <f>_xlfn.IFS(Cleaned_Sales_data[[#This Row],[Profit]]&gt;=10000, "High", Cleaned_Sales_data[[#This Row],[Profit]]&gt;=5000, "Medium", Cleaned_Sales_data[[#This Row],[Profit]]&gt;=0, "Low", Cleaned_Sales_data[[#This Row],[Profit]] &lt;0, "Loss")</f>
        <v>Medium</v>
      </c>
      <c r="V673" t="str">
        <f t="shared" si="10"/>
        <v>UnderPerforming</v>
      </c>
      <c r="W673" s="3">
        <v>45717</v>
      </c>
    </row>
    <row r="674" spans="1:23">
      <c r="A674" t="s">
        <v>156</v>
      </c>
      <c r="B674" s="3">
        <v>46059</v>
      </c>
      <c r="C674" t="s">
        <v>61</v>
      </c>
      <c r="D674" t="str">
        <f>INDEX(Raw_product_master[Category],MATCH(Cleaned_Sales_data[[#This Row],[Product]],Raw_product_master[Product],0))</f>
        <v>Accessories</v>
      </c>
      <c r="E674" t="s">
        <v>34</v>
      </c>
      <c r="F674" t="s">
        <v>38</v>
      </c>
      <c r="G674" t="s">
        <v>21</v>
      </c>
      <c r="H674">
        <v>4</v>
      </c>
      <c r="I674">
        <v>4500</v>
      </c>
      <c r="J674" s="10">
        <v>0.05</v>
      </c>
      <c r="K674">
        <v>18000</v>
      </c>
      <c r="L674">
        <v>17100</v>
      </c>
      <c r="M674">
        <v>11700</v>
      </c>
      <c r="N674">
        <v>1265</v>
      </c>
      <c r="O674">
        <v>2236</v>
      </c>
      <c r="P674">
        <f>INDEX(Raw_product_master[Standard_Cost_Per_Unit],MATCH(Cleaned_Sales_data[[#This Row],[Product]],Raw_product_master[Product],0))</f>
        <v>2925</v>
      </c>
      <c r="Q674">
        <v>1899</v>
      </c>
      <c r="R674" s="11">
        <v>0.111052631578947</v>
      </c>
      <c r="S674" s="11">
        <f>INDEX(Raw_product_master[Target_Margin], MATCH(Cleaned_Sales_data[[#This Row],[Product]],Raw_product_master[Product], 0 ))</f>
        <v>0.22</v>
      </c>
      <c r="T674" t="str">
        <f>IF(Cleaned_Sales_data[[#This Row],[Profit]]&gt;0, "Profitable", "Loss")</f>
        <v>Profitable</v>
      </c>
      <c r="U674" t="str">
        <f>_xlfn.IFS(Cleaned_Sales_data[[#This Row],[Profit]]&gt;=10000, "High", Cleaned_Sales_data[[#This Row],[Profit]]&gt;=5000, "Medium", Cleaned_Sales_data[[#This Row],[Profit]]&gt;=0, "Low", Cleaned_Sales_data[[#This Row],[Profit]] &lt;0, "Loss")</f>
        <v>Low</v>
      </c>
      <c r="V674" t="str">
        <f t="shared" si="10"/>
        <v>UnderPerforming</v>
      </c>
      <c r="W674" s="3">
        <v>46054</v>
      </c>
    </row>
    <row r="675" spans="1:23">
      <c r="A675" t="s">
        <v>162</v>
      </c>
      <c r="B675" s="3">
        <v>45940</v>
      </c>
      <c r="C675" t="s">
        <v>50</v>
      </c>
      <c r="D675" t="str">
        <f>INDEX(Raw_product_master[Category],MATCH(Cleaned_Sales_data[[#This Row],[Product]],Raw_product_master[Product],0))</f>
        <v>Accessories</v>
      </c>
      <c r="E675" t="s">
        <v>51</v>
      </c>
      <c r="F675" t="s">
        <v>38</v>
      </c>
      <c r="G675" t="s">
        <v>27</v>
      </c>
      <c r="H675">
        <v>3</v>
      </c>
      <c r="I675">
        <v>2500</v>
      </c>
      <c r="J675" s="10">
        <v>0.08</v>
      </c>
      <c r="K675">
        <v>7500</v>
      </c>
      <c r="L675">
        <v>6900</v>
      </c>
      <c r="M675">
        <v>4650</v>
      </c>
      <c r="N675">
        <v>993</v>
      </c>
      <c r="O675">
        <v>1934</v>
      </c>
      <c r="P675">
        <f>INDEX(Raw_product_master[Standard_Cost_Per_Unit],MATCH(Cleaned_Sales_data[[#This Row],[Product]],Raw_product_master[Product],0))</f>
        <v>1550</v>
      </c>
      <c r="Q675">
        <v>-677</v>
      </c>
      <c r="R675" s="11">
        <v>-9.8115942028985506E-2</v>
      </c>
      <c r="S675" s="11">
        <f>INDEX(Raw_product_master[Target_Margin], MATCH(Cleaned_Sales_data[[#This Row],[Product]],Raw_product_master[Product], 0 ))</f>
        <v>0.25</v>
      </c>
      <c r="T675" t="str">
        <f>IF(Cleaned_Sales_data[[#This Row],[Profit]]&gt;0, "Profitable", "Loss")</f>
        <v>Loss</v>
      </c>
      <c r="U675" t="str">
        <f>_xlfn.IFS(Cleaned_Sales_data[[#This Row],[Profit]]&gt;=10000, "High", Cleaned_Sales_data[[#This Row],[Profit]]&gt;=5000, "Medium", Cleaned_Sales_data[[#This Row],[Profit]]&gt;=0, "Low", Cleaned_Sales_data[[#This Row],[Profit]] &lt;0, "Loss")</f>
        <v>Loss</v>
      </c>
      <c r="V675" t="str">
        <f t="shared" si="10"/>
        <v>UnderPerforming</v>
      </c>
      <c r="W675" s="3">
        <v>45931</v>
      </c>
    </row>
    <row r="676" spans="1:23">
      <c r="A676" t="s">
        <v>171</v>
      </c>
      <c r="B676" s="3">
        <v>45805</v>
      </c>
      <c r="C676" t="s">
        <v>24</v>
      </c>
      <c r="D676" t="str">
        <f>INDEX(Raw_product_master[Category],MATCH(Cleaned_Sales_data[[#This Row],[Product]],Raw_product_master[Product],0))</f>
        <v>Accessories</v>
      </c>
      <c r="E676" t="s">
        <v>34</v>
      </c>
      <c r="F676" t="s">
        <v>38</v>
      </c>
      <c r="G676" t="s">
        <v>21</v>
      </c>
      <c r="H676">
        <v>1</v>
      </c>
      <c r="I676">
        <v>3500</v>
      </c>
      <c r="J676" s="10">
        <v>0.03</v>
      </c>
      <c r="K676">
        <v>3500</v>
      </c>
      <c r="L676">
        <v>3395</v>
      </c>
      <c r="M676">
        <v>2380</v>
      </c>
      <c r="N676">
        <v>1307</v>
      </c>
      <c r="O676">
        <v>788</v>
      </c>
      <c r="P676">
        <f>INDEX(Raw_product_master[Standard_Cost_Per_Unit],MATCH(Cleaned_Sales_data[[#This Row],[Product]],Raw_product_master[Product],0))</f>
        <v>2380</v>
      </c>
      <c r="Q676">
        <v>-1080</v>
      </c>
      <c r="R676" s="11">
        <v>-0.318114874815906</v>
      </c>
      <c r="S676" s="11">
        <f>INDEX(Raw_product_master[Target_Margin], MATCH(Cleaned_Sales_data[[#This Row],[Product]],Raw_product_master[Product], 0 ))</f>
        <v>0.2</v>
      </c>
      <c r="T676" t="str">
        <f>IF(Cleaned_Sales_data[[#This Row],[Profit]]&gt;0, "Profitable", "Loss")</f>
        <v>Loss</v>
      </c>
      <c r="U676" t="str">
        <f>_xlfn.IFS(Cleaned_Sales_data[[#This Row],[Profit]]&gt;=10000, "High", Cleaned_Sales_data[[#This Row],[Profit]]&gt;=5000, "Medium", Cleaned_Sales_data[[#This Row],[Profit]]&gt;=0, "Low", Cleaned_Sales_data[[#This Row],[Profit]] &lt;0, "Loss")</f>
        <v>Loss</v>
      </c>
      <c r="V676" t="str">
        <f t="shared" si="10"/>
        <v>UnderPerforming</v>
      </c>
      <c r="W676" s="3">
        <v>45778</v>
      </c>
    </row>
    <row r="677" spans="1:23">
      <c r="A677" t="s">
        <v>184</v>
      </c>
      <c r="B677" s="3">
        <v>45803</v>
      </c>
      <c r="C677" t="s">
        <v>24</v>
      </c>
      <c r="D677" t="str">
        <f>INDEX(Raw_product_master[Category],MATCH(Cleaned_Sales_data[[#This Row],[Product]],Raw_product_master[Product],0))</f>
        <v>Accessories</v>
      </c>
      <c r="E677" t="s">
        <v>51</v>
      </c>
      <c r="F677" t="s">
        <v>38</v>
      </c>
      <c r="G677" t="s">
        <v>21</v>
      </c>
      <c r="H677">
        <v>5</v>
      </c>
      <c r="I677">
        <v>3500</v>
      </c>
      <c r="J677" s="10">
        <v>0.1</v>
      </c>
      <c r="K677">
        <v>17500</v>
      </c>
      <c r="L677">
        <v>15750</v>
      </c>
      <c r="M677">
        <v>11900</v>
      </c>
      <c r="N677">
        <v>1004</v>
      </c>
      <c r="O677">
        <v>174</v>
      </c>
      <c r="P677">
        <f>INDEX(Raw_product_master[Standard_Cost_Per_Unit],MATCH(Cleaned_Sales_data[[#This Row],[Product]],Raw_product_master[Product],0))</f>
        <v>2380</v>
      </c>
      <c r="Q677">
        <v>2672</v>
      </c>
      <c r="R677" s="11">
        <v>0.169650793650794</v>
      </c>
      <c r="S677" s="11">
        <f>INDEX(Raw_product_master[Target_Margin], MATCH(Cleaned_Sales_data[[#This Row],[Product]],Raw_product_master[Product], 0 ))</f>
        <v>0.2</v>
      </c>
      <c r="T677" t="str">
        <f>IF(Cleaned_Sales_data[[#This Row],[Profit]]&gt;0, "Profitable", "Loss")</f>
        <v>Profitable</v>
      </c>
      <c r="U677" t="str">
        <f>_xlfn.IFS(Cleaned_Sales_data[[#This Row],[Profit]]&gt;=10000, "High", Cleaned_Sales_data[[#This Row],[Profit]]&gt;=5000, "Medium", Cleaned_Sales_data[[#This Row],[Profit]]&gt;=0, "Low", Cleaned_Sales_data[[#This Row],[Profit]] &lt;0, "Loss")</f>
        <v>Low</v>
      </c>
      <c r="V677" t="str">
        <f t="shared" si="10"/>
        <v>UnderPerforming</v>
      </c>
      <c r="W677" s="3">
        <v>45778</v>
      </c>
    </row>
    <row r="678" spans="1:23">
      <c r="A678" t="s">
        <v>193</v>
      </c>
      <c r="B678" s="3">
        <v>45669</v>
      </c>
      <c r="C678" t="s">
        <v>75</v>
      </c>
      <c r="D678" t="str">
        <f>INDEX(Raw_product_master[Category],MATCH(Cleaned_Sales_data[[#This Row],[Product]],Raw_product_master[Product],0))</f>
        <v>Computers</v>
      </c>
      <c r="E678" t="s">
        <v>34</v>
      </c>
      <c r="F678" t="s">
        <v>38</v>
      </c>
      <c r="G678" t="s">
        <v>21</v>
      </c>
      <c r="H678">
        <v>1</v>
      </c>
      <c r="I678">
        <v>65000</v>
      </c>
      <c r="J678" s="10">
        <v>0.1</v>
      </c>
      <c r="K678">
        <v>65000</v>
      </c>
      <c r="L678">
        <v>58500</v>
      </c>
      <c r="M678">
        <v>54600</v>
      </c>
      <c r="N678">
        <v>1792</v>
      </c>
      <c r="O678">
        <v>1620</v>
      </c>
      <c r="P678">
        <f>INDEX(Raw_product_master[Standard_Cost_Per_Unit],MATCH(Cleaned_Sales_data[[#This Row],[Product]],Raw_product_master[Product],0))</f>
        <v>54600</v>
      </c>
      <c r="Q678">
        <v>488</v>
      </c>
      <c r="R678" s="11">
        <v>8.3418803418803394E-3</v>
      </c>
      <c r="S678" s="11">
        <f>INDEX(Raw_product_master[Target_Margin], MATCH(Cleaned_Sales_data[[#This Row],[Product]],Raw_product_master[Product], 0 ))</f>
        <v>0.12</v>
      </c>
      <c r="T678" t="str">
        <f>IF(Cleaned_Sales_data[[#This Row],[Profit]]&gt;0, "Profitable", "Loss")</f>
        <v>Profitable</v>
      </c>
      <c r="U678" t="str">
        <f>_xlfn.IFS(Cleaned_Sales_data[[#This Row],[Profit]]&gt;=10000, "High", Cleaned_Sales_data[[#This Row],[Profit]]&gt;=5000, "Medium", Cleaned_Sales_data[[#This Row],[Profit]]&gt;=0, "Low", Cleaned_Sales_data[[#This Row],[Profit]] &lt;0, "Loss")</f>
        <v>Low</v>
      </c>
      <c r="V678" t="str">
        <f t="shared" si="10"/>
        <v>UnderPerforming</v>
      </c>
      <c r="W678" s="3">
        <v>45658</v>
      </c>
    </row>
    <row r="679" spans="1:23">
      <c r="A679" t="s">
        <v>194</v>
      </c>
      <c r="B679" s="3">
        <v>45857</v>
      </c>
      <c r="C679" t="s">
        <v>18</v>
      </c>
      <c r="D679" t="str">
        <f>INDEX(Raw_product_master[Category],MATCH(Cleaned_Sales_data[[#This Row],[Product]],Raw_product_master[Product],0))</f>
        <v>Computers</v>
      </c>
      <c r="E679" t="s">
        <v>63</v>
      </c>
      <c r="F679" t="s">
        <v>38</v>
      </c>
      <c r="G679" t="s">
        <v>21</v>
      </c>
      <c r="H679">
        <v>1</v>
      </c>
      <c r="I679">
        <v>32000</v>
      </c>
      <c r="J679" s="10">
        <v>0.1</v>
      </c>
      <c r="K679">
        <v>32000</v>
      </c>
      <c r="L679">
        <v>28800</v>
      </c>
      <c r="M679">
        <v>26240</v>
      </c>
      <c r="N679">
        <v>1708</v>
      </c>
      <c r="O679">
        <v>809</v>
      </c>
      <c r="P679">
        <f>INDEX(Raw_product_master[Standard_Cost_Per_Unit],MATCH(Cleaned_Sales_data[[#This Row],[Product]],Raw_product_master[Product],0))</f>
        <v>26240</v>
      </c>
      <c r="Q679">
        <v>43</v>
      </c>
      <c r="R679" s="11">
        <v>1.49305555555556E-3</v>
      </c>
      <c r="S679" s="11">
        <f>INDEX(Raw_product_master[Target_Margin], MATCH(Cleaned_Sales_data[[#This Row],[Product]],Raw_product_master[Product], 0 ))</f>
        <v>0.12</v>
      </c>
      <c r="T679" t="str">
        <f>IF(Cleaned_Sales_data[[#This Row],[Profit]]&gt;0, "Profitable", "Loss")</f>
        <v>Profitable</v>
      </c>
      <c r="U679" t="str">
        <f>_xlfn.IFS(Cleaned_Sales_data[[#This Row],[Profit]]&gt;=10000, "High", Cleaned_Sales_data[[#This Row],[Profit]]&gt;=5000, "Medium", Cleaned_Sales_data[[#This Row],[Profit]]&gt;=0, "Low", Cleaned_Sales_data[[#This Row],[Profit]] &lt;0, "Loss")</f>
        <v>Low</v>
      </c>
      <c r="V679" t="str">
        <f t="shared" si="10"/>
        <v>UnderPerforming</v>
      </c>
      <c r="W679" s="3">
        <v>45839</v>
      </c>
    </row>
    <row r="680" spans="1:23">
      <c r="A680" t="s">
        <v>200</v>
      </c>
      <c r="B680" s="3">
        <v>46071</v>
      </c>
      <c r="C680" t="s">
        <v>53</v>
      </c>
      <c r="D680" t="str">
        <f>INDEX(Raw_product_master[Category],MATCH(Cleaned_Sales_data[[#This Row],[Product]],Raw_product_master[Product],0))</f>
        <v>Accessories</v>
      </c>
      <c r="E680" t="s">
        <v>19</v>
      </c>
      <c r="F680" t="s">
        <v>38</v>
      </c>
      <c r="G680" t="s">
        <v>21</v>
      </c>
      <c r="H680">
        <v>6</v>
      </c>
      <c r="I680">
        <v>1500</v>
      </c>
      <c r="J680" s="10">
        <v>0.05</v>
      </c>
      <c r="K680">
        <v>9000</v>
      </c>
      <c r="L680">
        <v>8550</v>
      </c>
      <c r="M680">
        <v>4950</v>
      </c>
      <c r="N680">
        <v>938</v>
      </c>
      <c r="O680">
        <v>645</v>
      </c>
      <c r="P680">
        <f>INDEX(Raw_product_master[Standard_Cost_Per_Unit],MATCH(Cleaned_Sales_data[[#This Row],[Product]],Raw_product_master[Product],0))</f>
        <v>825</v>
      </c>
      <c r="Q680">
        <v>2017</v>
      </c>
      <c r="R680" s="11">
        <v>0.23590643274853801</v>
      </c>
      <c r="S680" s="11">
        <f>INDEX(Raw_product_master[Target_Margin], MATCH(Cleaned_Sales_data[[#This Row],[Product]],Raw_product_master[Product], 0 ))</f>
        <v>0.3</v>
      </c>
      <c r="T680" t="str">
        <f>IF(Cleaned_Sales_data[[#This Row],[Profit]]&gt;0, "Profitable", "Loss")</f>
        <v>Profitable</v>
      </c>
      <c r="U680" t="str">
        <f>_xlfn.IFS(Cleaned_Sales_data[[#This Row],[Profit]]&gt;=10000, "High", Cleaned_Sales_data[[#This Row],[Profit]]&gt;=5000, "Medium", Cleaned_Sales_data[[#This Row],[Profit]]&gt;=0, "Low", Cleaned_Sales_data[[#This Row],[Profit]] &lt;0, "Loss")</f>
        <v>Low</v>
      </c>
      <c r="V680" t="str">
        <f t="shared" si="10"/>
        <v>UnderPerforming</v>
      </c>
      <c r="W680" s="3">
        <v>46054</v>
      </c>
    </row>
    <row r="681" spans="1:23">
      <c r="A681" t="s">
        <v>204</v>
      </c>
      <c r="B681" s="3">
        <v>45797</v>
      </c>
      <c r="C681" t="s">
        <v>18</v>
      </c>
      <c r="D681" t="str">
        <f>INDEX(Raw_product_master[Category],MATCH(Cleaned_Sales_data[[#This Row],[Product]],Raw_product_master[Product],0))</f>
        <v>Computers</v>
      </c>
      <c r="E681" t="s">
        <v>19</v>
      </c>
      <c r="F681" t="s">
        <v>38</v>
      </c>
      <c r="G681" t="s">
        <v>21</v>
      </c>
      <c r="H681">
        <v>1</v>
      </c>
      <c r="I681">
        <v>32000</v>
      </c>
      <c r="J681" s="10">
        <v>0</v>
      </c>
      <c r="K681">
        <v>32000</v>
      </c>
      <c r="L681">
        <v>32000</v>
      </c>
      <c r="M681">
        <v>26240</v>
      </c>
      <c r="N681">
        <v>1567</v>
      </c>
      <c r="O681">
        <v>1063</v>
      </c>
      <c r="P681">
        <f>INDEX(Raw_product_master[Standard_Cost_Per_Unit],MATCH(Cleaned_Sales_data[[#This Row],[Product]],Raw_product_master[Product],0))</f>
        <v>26240</v>
      </c>
      <c r="Q681">
        <v>3130</v>
      </c>
      <c r="R681" s="11">
        <v>9.7812499999999997E-2</v>
      </c>
      <c r="S681" s="11">
        <f>INDEX(Raw_product_master[Target_Margin], MATCH(Cleaned_Sales_data[[#This Row],[Product]],Raw_product_master[Product], 0 ))</f>
        <v>0.12</v>
      </c>
      <c r="T681" t="str">
        <f>IF(Cleaned_Sales_data[[#This Row],[Profit]]&gt;0, "Profitable", "Loss")</f>
        <v>Profitable</v>
      </c>
      <c r="U681" t="str">
        <f>_xlfn.IFS(Cleaned_Sales_data[[#This Row],[Profit]]&gt;=10000, "High", Cleaned_Sales_data[[#This Row],[Profit]]&gt;=5000, "Medium", Cleaned_Sales_data[[#This Row],[Profit]]&gt;=0, "Low", Cleaned_Sales_data[[#This Row],[Profit]] &lt;0, "Loss")</f>
        <v>Low</v>
      </c>
      <c r="V681" t="str">
        <f t="shared" si="10"/>
        <v>UnderPerforming</v>
      </c>
      <c r="W681" s="3">
        <v>45778</v>
      </c>
    </row>
    <row r="682" spans="1:23">
      <c r="A682" t="s">
        <v>205</v>
      </c>
      <c r="B682" s="3">
        <v>46001</v>
      </c>
      <c r="C682" t="s">
        <v>50</v>
      </c>
      <c r="D682" t="str">
        <f>INDEX(Raw_product_master[Category],MATCH(Cleaned_Sales_data[[#This Row],[Product]],Raw_product_master[Product],0))</f>
        <v>Accessories</v>
      </c>
      <c r="E682" t="s">
        <v>19</v>
      </c>
      <c r="F682" t="s">
        <v>38</v>
      </c>
      <c r="G682" t="s">
        <v>27</v>
      </c>
      <c r="H682">
        <v>4</v>
      </c>
      <c r="I682">
        <v>2500</v>
      </c>
      <c r="J682" s="10">
        <v>0.05</v>
      </c>
      <c r="K682">
        <v>10000</v>
      </c>
      <c r="L682">
        <v>9500</v>
      </c>
      <c r="M682">
        <v>6200</v>
      </c>
      <c r="N682">
        <v>1663</v>
      </c>
      <c r="O682">
        <v>1425</v>
      </c>
      <c r="P682">
        <f>INDEX(Raw_product_master[Standard_Cost_Per_Unit],MATCH(Cleaned_Sales_data[[#This Row],[Product]],Raw_product_master[Product],0))</f>
        <v>1550</v>
      </c>
      <c r="Q682">
        <v>212</v>
      </c>
      <c r="R682" s="11">
        <v>2.2315789473684199E-2</v>
      </c>
      <c r="S682" s="11">
        <f>INDEX(Raw_product_master[Target_Margin], MATCH(Cleaned_Sales_data[[#This Row],[Product]],Raw_product_master[Product], 0 ))</f>
        <v>0.25</v>
      </c>
      <c r="T682" t="str">
        <f>IF(Cleaned_Sales_data[[#This Row],[Profit]]&gt;0, "Profitable", "Loss")</f>
        <v>Profitable</v>
      </c>
      <c r="U682" t="str">
        <f>_xlfn.IFS(Cleaned_Sales_data[[#This Row],[Profit]]&gt;=10000, "High", Cleaned_Sales_data[[#This Row],[Profit]]&gt;=5000, "Medium", Cleaned_Sales_data[[#This Row],[Profit]]&gt;=0, "Low", Cleaned_Sales_data[[#This Row],[Profit]] &lt;0, "Loss")</f>
        <v>Low</v>
      </c>
      <c r="V682" t="str">
        <f t="shared" si="10"/>
        <v>UnderPerforming</v>
      </c>
      <c r="W682" s="3">
        <v>45992</v>
      </c>
    </row>
    <row r="683" spans="1:23">
      <c r="A683" t="s">
        <v>209</v>
      </c>
      <c r="B683" s="3">
        <v>45746</v>
      </c>
      <c r="C683" t="s">
        <v>46</v>
      </c>
      <c r="D683" t="str">
        <f>INDEX(Raw_product_master[Category],MATCH(Cleaned_Sales_data[[#This Row],[Product]],Raw_product_master[Product],0))</f>
        <v>Office Equipment</v>
      </c>
      <c r="E683" t="s">
        <v>63</v>
      </c>
      <c r="F683" t="s">
        <v>38</v>
      </c>
      <c r="G683" t="s">
        <v>27</v>
      </c>
      <c r="H683">
        <v>3</v>
      </c>
      <c r="I683">
        <v>18000</v>
      </c>
      <c r="J683" s="10">
        <v>0.1</v>
      </c>
      <c r="K683">
        <v>54000</v>
      </c>
      <c r="L683">
        <v>48600</v>
      </c>
      <c r="M683">
        <v>43200</v>
      </c>
      <c r="N683">
        <v>980</v>
      </c>
      <c r="O683">
        <v>992</v>
      </c>
      <c r="P683">
        <f>INDEX(Raw_product_master[Standard_Cost_Per_Unit],MATCH(Cleaned_Sales_data[[#This Row],[Product]],Raw_product_master[Product],0))</f>
        <v>14400</v>
      </c>
      <c r="Q683">
        <v>3428</v>
      </c>
      <c r="R683" s="11">
        <v>7.0534979423868299E-2</v>
      </c>
      <c r="S683" s="11">
        <f>INDEX(Raw_product_master[Target_Margin], MATCH(Cleaned_Sales_data[[#This Row],[Product]],Raw_product_master[Product], 0 ))</f>
        <v>0.15</v>
      </c>
      <c r="T683" t="str">
        <f>IF(Cleaned_Sales_data[[#This Row],[Profit]]&gt;0, "Profitable", "Loss")</f>
        <v>Profitable</v>
      </c>
      <c r="U683" t="str">
        <f>_xlfn.IFS(Cleaned_Sales_data[[#This Row],[Profit]]&gt;=10000, "High", Cleaned_Sales_data[[#This Row],[Profit]]&gt;=5000, "Medium", Cleaned_Sales_data[[#This Row],[Profit]]&gt;=0, "Low", Cleaned_Sales_data[[#This Row],[Profit]] &lt;0, "Loss")</f>
        <v>Low</v>
      </c>
      <c r="V683" t="str">
        <f t="shared" si="10"/>
        <v>UnderPerforming</v>
      </c>
      <c r="W683" s="3">
        <v>45717</v>
      </c>
    </row>
    <row r="684" spans="1:23">
      <c r="A684" t="s">
        <v>220</v>
      </c>
      <c r="B684" s="3">
        <v>45777</v>
      </c>
      <c r="C684" t="s">
        <v>75</v>
      </c>
      <c r="D684" t="str">
        <f>INDEX(Raw_product_master[Category],MATCH(Cleaned_Sales_data[[#This Row],[Product]],Raw_product_master[Product],0))</f>
        <v>Computers</v>
      </c>
      <c r="E684" t="s">
        <v>19</v>
      </c>
      <c r="F684" t="s">
        <v>38</v>
      </c>
      <c r="G684" t="s">
        <v>27</v>
      </c>
      <c r="H684">
        <v>2</v>
      </c>
      <c r="I684">
        <v>65000</v>
      </c>
      <c r="J684" s="10">
        <v>0.05</v>
      </c>
      <c r="K684">
        <v>130000</v>
      </c>
      <c r="L684">
        <v>123500</v>
      </c>
      <c r="M684">
        <v>109200</v>
      </c>
      <c r="N684">
        <v>221</v>
      </c>
      <c r="O684">
        <v>573</v>
      </c>
      <c r="P684">
        <f>INDEX(Raw_product_master[Standard_Cost_Per_Unit],MATCH(Cleaned_Sales_data[[#This Row],[Product]],Raw_product_master[Product],0))</f>
        <v>54600</v>
      </c>
      <c r="Q684">
        <v>13506</v>
      </c>
      <c r="R684" s="11">
        <v>0.10936032388664001</v>
      </c>
      <c r="S684" s="11">
        <f>INDEX(Raw_product_master[Target_Margin], MATCH(Cleaned_Sales_data[[#This Row],[Product]],Raw_product_master[Product], 0 ))</f>
        <v>0.12</v>
      </c>
      <c r="T684" t="str">
        <f>IF(Cleaned_Sales_data[[#This Row],[Profit]]&gt;0, "Profitable", "Loss")</f>
        <v>Profitable</v>
      </c>
      <c r="U684" t="str">
        <f>_xlfn.IFS(Cleaned_Sales_data[[#This Row],[Profit]]&gt;=10000, "High", Cleaned_Sales_data[[#This Row],[Profit]]&gt;=5000, "Medium", Cleaned_Sales_data[[#This Row],[Profit]]&gt;=0, "Low", Cleaned_Sales_data[[#This Row],[Profit]] &lt;0, "Loss")</f>
        <v>High</v>
      </c>
      <c r="V684" t="str">
        <f t="shared" si="10"/>
        <v>UnderPerforming</v>
      </c>
      <c r="W684" s="3">
        <v>45748</v>
      </c>
    </row>
    <row r="685" spans="1:23">
      <c r="A685" t="s">
        <v>236</v>
      </c>
      <c r="B685" s="3">
        <v>46040</v>
      </c>
      <c r="C685" t="s">
        <v>30</v>
      </c>
      <c r="D685" t="str">
        <f>INDEX(Raw_product_master[Category],MATCH(Cleaned_Sales_data[[#This Row],[Product]],Raw_product_master[Product],0))</f>
        <v>Displays</v>
      </c>
      <c r="E685" t="s">
        <v>19</v>
      </c>
      <c r="F685" t="s">
        <v>38</v>
      </c>
      <c r="G685" t="s">
        <v>21</v>
      </c>
      <c r="H685">
        <v>2</v>
      </c>
      <c r="I685">
        <v>28000</v>
      </c>
      <c r="J685" s="10">
        <v>0.1</v>
      </c>
      <c r="K685">
        <v>56000</v>
      </c>
      <c r="L685">
        <v>50400</v>
      </c>
      <c r="M685">
        <v>43680</v>
      </c>
      <c r="N685">
        <v>310</v>
      </c>
      <c r="O685">
        <v>350</v>
      </c>
      <c r="P685">
        <f>INDEX(Raw_product_master[Standard_Cost_Per_Unit],MATCH(Cleaned_Sales_data[[#This Row],[Product]],Raw_product_master[Product],0))</f>
        <v>21840</v>
      </c>
      <c r="Q685">
        <v>6060</v>
      </c>
      <c r="R685" s="11">
        <v>0.12023809523809501</v>
      </c>
      <c r="S685" s="11">
        <f>INDEX(Raw_product_master[Target_Margin], MATCH(Cleaned_Sales_data[[#This Row],[Product]],Raw_product_master[Product], 0 ))</f>
        <v>0.18</v>
      </c>
      <c r="T685" t="str">
        <f>IF(Cleaned_Sales_data[[#This Row],[Profit]]&gt;0, "Profitable", "Loss")</f>
        <v>Profitable</v>
      </c>
      <c r="U685" t="str">
        <f>_xlfn.IFS(Cleaned_Sales_data[[#This Row],[Profit]]&gt;=10000, "High", Cleaned_Sales_data[[#This Row],[Profit]]&gt;=5000, "Medium", Cleaned_Sales_data[[#This Row],[Profit]]&gt;=0, "Low", Cleaned_Sales_data[[#This Row],[Profit]] &lt;0, "Loss")</f>
        <v>Medium</v>
      </c>
      <c r="V685" t="str">
        <f t="shared" si="10"/>
        <v>UnderPerforming</v>
      </c>
      <c r="W685" s="3">
        <v>46023</v>
      </c>
    </row>
    <row r="686" spans="1:23">
      <c r="A686" t="s">
        <v>240</v>
      </c>
      <c r="B686" s="3">
        <v>45989</v>
      </c>
      <c r="C686" t="s">
        <v>50</v>
      </c>
      <c r="D686" t="str">
        <f>INDEX(Raw_product_master[Category],MATCH(Cleaned_Sales_data[[#This Row],[Product]],Raw_product_master[Product],0))</f>
        <v>Accessories</v>
      </c>
      <c r="E686" t="s">
        <v>63</v>
      </c>
      <c r="F686" t="s">
        <v>38</v>
      </c>
      <c r="G686" t="s">
        <v>21</v>
      </c>
      <c r="H686">
        <v>3</v>
      </c>
      <c r="I686">
        <v>2500</v>
      </c>
      <c r="J686" s="10">
        <v>0.03</v>
      </c>
      <c r="K686">
        <v>7500</v>
      </c>
      <c r="L686">
        <v>7275</v>
      </c>
      <c r="M686">
        <v>4650</v>
      </c>
      <c r="N686">
        <v>1430</v>
      </c>
      <c r="O686">
        <v>452</v>
      </c>
      <c r="P686">
        <f>INDEX(Raw_product_master[Standard_Cost_Per_Unit],MATCH(Cleaned_Sales_data[[#This Row],[Product]],Raw_product_master[Product],0))</f>
        <v>1550</v>
      </c>
      <c r="Q686">
        <v>743</v>
      </c>
      <c r="R686" s="11">
        <v>0.10213058419244</v>
      </c>
      <c r="S686" s="11">
        <f>INDEX(Raw_product_master[Target_Margin], MATCH(Cleaned_Sales_data[[#This Row],[Product]],Raw_product_master[Product], 0 ))</f>
        <v>0.25</v>
      </c>
      <c r="T686" t="str">
        <f>IF(Cleaned_Sales_data[[#This Row],[Profit]]&gt;0, "Profitable", "Loss")</f>
        <v>Profitable</v>
      </c>
      <c r="U686" t="str">
        <f>_xlfn.IFS(Cleaned_Sales_data[[#This Row],[Profit]]&gt;=10000, "High", Cleaned_Sales_data[[#This Row],[Profit]]&gt;=5000, "Medium", Cleaned_Sales_data[[#This Row],[Profit]]&gt;=0, "Low", Cleaned_Sales_data[[#This Row],[Profit]] &lt;0, "Loss")</f>
        <v>Low</v>
      </c>
      <c r="V686" t="str">
        <f t="shared" si="10"/>
        <v>UnderPerforming</v>
      </c>
      <c r="W686" s="3">
        <v>45962</v>
      </c>
    </row>
    <row r="687" spans="1:23">
      <c r="A687" t="s">
        <v>255</v>
      </c>
      <c r="B687" s="3">
        <v>46002</v>
      </c>
      <c r="C687" t="s">
        <v>30</v>
      </c>
      <c r="D687" t="str">
        <f>INDEX(Raw_product_master[Category],MATCH(Cleaned_Sales_data[[#This Row],[Product]],Raw_product_master[Product],0))</f>
        <v>Displays</v>
      </c>
      <c r="E687" t="s">
        <v>34</v>
      </c>
      <c r="F687" t="s">
        <v>38</v>
      </c>
      <c r="G687" t="s">
        <v>21</v>
      </c>
      <c r="H687">
        <v>1</v>
      </c>
      <c r="I687">
        <v>28000</v>
      </c>
      <c r="J687" s="10">
        <v>0.1</v>
      </c>
      <c r="K687">
        <v>28000</v>
      </c>
      <c r="L687">
        <v>25200</v>
      </c>
      <c r="M687">
        <v>21840</v>
      </c>
      <c r="N687">
        <v>502</v>
      </c>
      <c r="O687">
        <v>687</v>
      </c>
      <c r="P687">
        <f>INDEX(Raw_product_master[Standard_Cost_Per_Unit],MATCH(Cleaned_Sales_data[[#This Row],[Product]],Raw_product_master[Product],0))</f>
        <v>21840</v>
      </c>
      <c r="Q687">
        <v>2171</v>
      </c>
      <c r="R687" s="11">
        <v>8.6150793650793603E-2</v>
      </c>
      <c r="S687" s="11">
        <f>INDEX(Raw_product_master[Target_Margin], MATCH(Cleaned_Sales_data[[#This Row],[Product]],Raw_product_master[Product], 0 ))</f>
        <v>0.18</v>
      </c>
      <c r="T687" t="str">
        <f>IF(Cleaned_Sales_data[[#This Row],[Profit]]&gt;0, "Profitable", "Loss")</f>
        <v>Profitable</v>
      </c>
      <c r="U687" t="str">
        <f>_xlfn.IFS(Cleaned_Sales_data[[#This Row],[Profit]]&gt;=10000, "High", Cleaned_Sales_data[[#This Row],[Profit]]&gt;=5000, "Medium", Cleaned_Sales_data[[#This Row],[Profit]]&gt;=0, "Low", Cleaned_Sales_data[[#This Row],[Profit]] &lt;0, "Loss")</f>
        <v>Low</v>
      </c>
      <c r="V687" t="str">
        <f t="shared" si="10"/>
        <v>UnderPerforming</v>
      </c>
      <c r="W687" s="3">
        <v>45992</v>
      </c>
    </row>
    <row r="688" spans="1:23">
      <c r="A688" t="s">
        <v>256</v>
      </c>
      <c r="B688" s="3">
        <v>45818</v>
      </c>
      <c r="C688" t="s">
        <v>18</v>
      </c>
      <c r="D688" t="str">
        <f>INDEX(Raw_product_master[Category],MATCH(Cleaned_Sales_data[[#This Row],[Product]],Raw_product_master[Product],0))</f>
        <v>Computers</v>
      </c>
      <c r="E688" t="s">
        <v>63</v>
      </c>
      <c r="F688" t="s">
        <v>38</v>
      </c>
      <c r="G688" t="s">
        <v>21</v>
      </c>
      <c r="H688">
        <v>2</v>
      </c>
      <c r="I688">
        <v>32000</v>
      </c>
      <c r="J688" s="10">
        <v>0.05</v>
      </c>
      <c r="K688">
        <v>64000</v>
      </c>
      <c r="L688">
        <v>60800</v>
      </c>
      <c r="M688">
        <v>52480</v>
      </c>
      <c r="N688">
        <v>1292</v>
      </c>
      <c r="O688">
        <v>1109</v>
      </c>
      <c r="P688">
        <f>INDEX(Raw_product_master[Standard_Cost_Per_Unit],MATCH(Cleaned_Sales_data[[#This Row],[Product]],Raw_product_master[Product],0))</f>
        <v>26240</v>
      </c>
      <c r="Q688">
        <v>5919</v>
      </c>
      <c r="R688" s="11">
        <v>9.7351973684210502E-2</v>
      </c>
      <c r="S688" s="11">
        <f>INDEX(Raw_product_master[Target_Margin], MATCH(Cleaned_Sales_data[[#This Row],[Product]],Raw_product_master[Product], 0 ))</f>
        <v>0.12</v>
      </c>
      <c r="T688" t="str">
        <f>IF(Cleaned_Sales_data[[#This Row],[Profit]]&gt;0, "Profitable", "Loss")</f>
        <v>Profitable</v>
      </c>
      <c r="U688" t="str">
        <f>_xlfn.IFS(Cleaned_Sales_data[[#This Row],[Profit]]&gt;=10000, "High", Cleaned_Sales_data[[#This Row],[Profit]]&gt;=5000, "Medium", Cleaned_Sales_data[[#This Row],[Profit]]&gt;=0, "Low", Cleaned_Sales_data[[#This Row],[Profit]] &lt;0, "Loss")</f>
        <v>Medium</v>
      </c>
      <c r="V688" t="str">
        <f t="shared" si="10"/>
        <v>UnderPerforming</v>
      </c>
      <c r="W688" s="3">
        <v>45809</v>
      </c>
    </row>
    <row r="689" spans="1:23">
      <c r="A689" t="s">
        <v>274</v>
      </c>
      <c r="B689" s="3">
        <v>45937</v>
      </c>
      <c r="C689" t="s">
        <v>50</v>
      </c>
      <c r="D689" t="str">
        <f>INDEX(Raw_product_master[Category],MATCH(Cleaned_Sales_data[[#This Row],[Product]],Raw_product_master[Product],0))</f>
        <v>Accessories</v>
      </c>
      <c r="E689" t="s">
        <v>31</v>
      </c>
      <c r="F689" t="s">
        <v>38</v>
      </c>
      <c r="G689" t="s">
        <v>21</v>
      </c>
      <c r="H689">
        <v>7</v>
      </c>
      <c r="I689">
        <v>2500</v>
      </c>
      <c r="J689" s="10">
        <v>0.1</v>
      </c>
      <c r="K689">
        <v>17500</v>
      </c>
      <c r="L689">
        <v>15750</v>
      </c>
      <c r="M689">
        <v>10850</v>
      </c>
      <c r="N689">
        <v>1777</v>
      </c>
      <c r="O689">
        <v>1098</v>
      </c>
      <c r="P689">
        <f>INDEX(Raw_product_master[Standard_Cost_Per_Unit],MATCH(Cleaned_Sales_data[[#This Row],[Product]],Raw_product_master[Product],0))</f>
        <v>1550</v>
      </c>
      <c r="Q689">
        <v>2025</v>
      </c>
      <c r="R689" s="11">
        <v>0.128571428571429</v>
      </c>
      <c r="S689" s="11">
        <f>INDEX(Raw_product_master[Target_Margin], MATCH(Cleaned_Sales_data[[#This Row],[Product]],Raw_product_master[Product], 0 ))</f>
        <v>0.25</v>
      </c>
      <c r="T689" t="str">
        <f>IF(Cleaned_Sales_data[[#This Row],[Profit]]&gt;0, "Profitable", "Loss")</f>
        <v>Profitable</v>
      </c>
      <c r="U689" t="str">
        <f>_xlfn.IFS(Cleaned_Sales_data[[#This Row],[Profit]]&gt;=10000, "High", Cleaned_Sales_data[[#This Row],[Profit]]&gt;=5000, "Medium", Cleaned_Sales_data[[#This Row],[Profit]]&gt;=0, "Low", Cleaned_Sales_data[[#This Row],[Profit]] &lt;0, "Loss")</f>
        <v>Low</v>
      </c>
      <c r="V689" t="str">
        <f t="shared" si="10"/>
        <v>UnderPerforming</v>
      </c>
      <c r="W689" s="3">
        <v>45931</v>
      </c>
    </row>
    <row r="690" spans="1:23">
      <c r="A690" t="s">
        <v>287</v>
      </c>
      <c r="B690" s="3">
        <v>46123</v>
      </c>
      <c r="C690" t="s">
        <v>61</v>
      </c>
      <c r="D690" t="str">
        <f>INDEX(Raw_product_master[Category],MATCH(Cleaned_Sales_data[[#This Row],[Product]],Raw_product_master[Product],0))</f>
        <v>Accessories</v>
      </c>
      <c r="E690" t="s">
        <v>34</v>
      </c>
      <c r="F690" t="s">
        <v>38</v>
      </c>
      <c r="G690" t="s">
        <v>21</v>
      </c>
      <c r="H690">
        <v>1</v>
      </c>
      <c r="I690">
        <v>4500</v>
      </c>
      <c r="J690" s="10">
        <v>0.05</v>
      </c>
      <c r="K690">
        <v>4500</v>
      </c>
      <c r="L690">
        <v>4275</v>
      </c>
      <c r="M690">
        <v>2925</v>
      </c>
      <c r="N690">
        <v>777</v>
      </c>
      <c r="O690">
        <v>229</v>
      </c>
      <c r="P690">
        <f>INDEX(Raw_product_master[Standard_Cost_Per_Unit],MATCH(Cleaned_Sales_data[[#This Row],[Product]],Raw_product_master[Product],0))</f>
        <v>2925</v>
      </c>
      <c r="Q690">
        <v>344</v>
      </c>
      <c r="R690" s="11">
        <v>8.0467836257309897E-2</v>
      </c>
      <c r="S690" s="11">
        <f>INDEX(Raw_product_master[Target_Margin], MATCH(Cleaned_Sales_data[[#This Row],[Product]],Raw_product_master[Product], 0 ))</f>
        <v>0.22</v>
      </c>
      <c r="T690" t="str">
        <f>IF(Cleaned_Sales_data[[#This Row],[Profit]]&gt;0, "Profitable", "Loss")</f>
        <v>Profitable</v>
      </c>
      <c r="U690" t="str">
        <f>_xlfn.IFS(Cleaned_Sales_data[[#This Row],[Profit]]&gt;=10000, "High", Cleaned_Sales_data[[#This Row],[Profit]]&gt;=5000, "Medium", Cleaned_Sales_data[[#This Row],[Profit]]&gt;=0, "Low", Cleaned_Sales_data[[#This Row],[Profit]] &lt;0, "Loss")</f>
        <v>Low</v>
      </c>
      <c r="V690" t="str">
        <f t="shared" si="10"/>
        <v>UnderPerforming</v>
      </c>
      <c r="W690" s="3">
        <v>46113</v>
      </c>
    </row>
    <row r="691" spans="1:23">
      <c r="A691" t="s">
        <v>307</v>
      </c>
      <c r="B691" s="3">
        <v>46017</v>
      </c>
      <c r="C691" t="s">
        <v>61</v>
      </c>
      <c r="D691" t="str">
        <f>INDEX(Raw_product_master[Category],MATCH(Cleaned_Sales_data[[#This Row],[Product]],Raw_product_master[Product],0))</f>
        <v>Accessories</v>
      </c>
      <c r="E691" t="s">
        <v>63</v>
      </c>
      <c r="F691" t="s">
        <v>38</v>
      </c>
      <c r="G691" t="s">
        <v>21</v>
      </c>
      <c r="H691">
        <v>7</v>
      </c>
      <c r="I691">
        <v>4500</v>
      </c>
      <c r="J691" s="10">
        <v>0</v>
      </c>
      <c r="K691">
        <v>31500</v>
      </c>
      <c r="L691">
        <v>31500</v>
      </c>
      <c r="M691">
        <v>20475</v>
      </c>
      <c r="N691">
        <v>1443</v>
      </c>
      <c r="O691">
        <v>1346</v>
      </c>
      <c r="P691">
        <f>INDEX(Raw_product_master[Standard_Cost_Per_Unit],MATCH(Cleaned_Sales_data[[#This Row],[Product]],Raw_product_master[Product],0))</f>
        <v>2925</v>
      </c>
      <c r="Q691">
        <v>8236</v>
      </c>
      <c r="R691" s="11">
        <v>0.261460317460317</v>
      </c>
      <c r="S691" s="11">
        <f>INDEX(Raw_product_master[Target_Margin], MATCH(Cleaned_Sales_data[[#This Row],[Product]],Raw_product_master[Product], 0 ))</f>
        <v>0.22</v>
      </c>
      <c r="T691" t="str">
        <f>IF(Cleaned_Sales_data[[#This Row],[Profit]]&gt;0, "Profitable", "Loss")</f>
        <v>Profitable</v>
      </c>
      <c r="U691" t="str">
        <f>_xlfn.IFS(Cleaned_Sales_data[[#This Row],[Profit]]&gt;=10000, "High", Cleaned_Sales_data[[#This Row],[Profit]]&gt;=5000, "Medium", Cleaned_Sales_data[[#This Row],[Profit]]&gt;=0, "Low", Cleaned_Sales_data[[#This Row],[Profit]] &lt;0, "Loss")</f>
        <v>Medium</v>
      </c>
      <c r="V691" t="str">
        <f t="shared" si="10"/>
        <v>On Target</v>
      </c>
      <c r="W691" s="3">
        <v>45992</v>
      </c>
    </row>
    <row r="692" spans="1:23">
      <c r="A692" t="s">
        <v>311</v>
      </c>
      <c r="B692" s="3">
        <v>45829</v>
      </c>
      <c r="C692" t="s">
        <v>53</v>
      </c>
      <c r="D692" t="str">
        <f>INDEX(Raw_product_master[Category],MATCH(Cleaned_Sales_data[[#This Row],[Product]],Raw_product_master[Product],0))</f>
        <v>Accessories</v>
      </c>
      <c r="E692" t="s">
        <v>19</v>
      </c>
      <c r="F692" t="s">
        <v>38</v>
      </c>
      <c r="G692" t="s">
        <v>21</v>
      </c>
      <c r="H692">
        <v>2</v>
      </c>
      <c r="I692">
        <v>1500</v>
      </c>
      <c r="J692" s="10">
        <v>0.08</v>
      </c>
      <c r="K692">
        <v>3000</v>
      </c>
      <c r="L692">
        <v>2760</v>
      </c>
      <c r="M692">
        <v>1650</v>
      </c>
      <c r="N692">
        <v>989</v>
      </c>
      <c r="O692">
        <v>2103</v>
      </c>
      <c r="P692">
        <f>INDEX(Raw_product_master[Standard_Cost_Per_Unit],MATCH(Cleaned_Sales_data[[#This Row],[Product]],Raw_product_master[Product],0))</f>
        <v>825</v>
      </c>
      <c r="Q692">
        <v>-1982</v>
      </c>
      <c r="R692" s="11">
        <v>-0.71811594202898599</v>
      </c>
      <c r="S692" s="11">
        <f>INDEX(Raw_product_master[Target_Margin], MATCH(Cleaned_Sales_data[[#This Row],[Product]],Raw_product_master[Product], 0 ))</f>
        <v>0.3</v>
      </c>
      <c r="T692" t="str">
        <f>IF(Cleaned_Sales_data[[#This Row],[Profit]]&gt;0, "Profitable", "Loss")</f>
        <v>Loss</v>
      </c>
      <c r="U692" t="str">
        <f>_xlfn.IFS(Cleaned_Sales_data[[#This Row],[Profit]]&gt;=10000, "High", Cleaned_Sales_data[[#This Row],[Profit]]&gt;=5000, "Medium", Cleaned_Sales_data[[#This Row],[Profit]]&gt;=0, "Low", Cleaned_Sales_data[[#This Row],[Profit]] &lt;0, "Loss")</f>
        <v>Loss</v>
      </c>
      <c r="V692" t="str">
        <f t="shared" si="10"/>
        <v>UnderPerforming</v>
      </c>
      <c r="W692" s="3">
        <v>45809</v>
      </c>
    </row>
    <row r="693" spans="1:23">
      <c r="A693" t="s">
        <v>316</v>
      </c>
      <c r="B693" s="3">
        <v>46070</v>
      </c>
      <c r="C693" t="s">
        <v>46</v>
      </c>
      <c r="D693" t="str">
        <f>INDEX(Raw_product_master[Category],MATCH(Cleaned_Sales_data[[#This Row],[Product]],Raw_product_master[Product],0))</f>
        <v>Office Equipment</v>
      </c>
      <c r="E693" t="s">
        <v>34</v>
      </c>
      <c r="F693" t="s">
        <v>38</v>
      </c>
      <c r="G693" t="s">
        <v>21</v>
      </c>
      <c r="H693">
        <v>3</v>
      </c>
      <c r="I693">
        <v>18000</v>
      </c>
      <c r="J693" s="10">
        <v>0.05</v>
      </c>
      <c r="K693">
        <v>54000</v>
      </c>
      <c r="L693">
        <v>51300</v>
      </c>
      <c r="M693">
        <v>43200</v>
      </c>
      <c r="N693">
        <v>218</v>
      </c>
      <c r="O693">
        <v>122</v>
      </c>
      <c r="P693">
        <f>INDEX(Raw_product_master[Standard_Cost_Per_Unit],MATCH(Cleaned_Sales_data[[#This Row],[Product]],Raw_product_master[Product],0))</f>
        <v>14400</v>
      </c>
      <c r="Q693">
        <v>7760</v>
      </c>
      <c r="R693" s="11">
        <v>0.15126705653021399</v>
      </c>
      <c r="S693" s="11">
        <f>INDEX(Raw_product_master[Target_Margin], MATCH(Cleaned_Sales_data[[#This Row],[Product]],Raw_product_master[Product], 0 ))</f>
        <v>0.15</v>
      </c>
      <c r="T693" t="str">
        <f>IF(Cleaned_Sales_data[[#This Row],[Profit]]&gt;0, "Profitable", "Loss")</f>
        <v>Profitable</v>
      </c>
      <c r="U693" t="str">
        <f>_xlfn.IFS(Cleaned_Sales_data[[#This Row],[Profit]]&gt;=10000, "High", Cleaned_Sales_data[[#This Row],[Profit]]&gt;=5000, "Medium", Cleaned_Sales_data[[#This Row],[Profit]]&gt;=0, "Low", Cleaned_Sales_data[[#This Row],[Profit]] &lt;0, "Loss")</f>
        <v>Medium</v>
      </c>
      <c r="V693" t="str">
        <f t="shared" si="10"/>
        <v>On Target</v>
      </c>
      <c r="W693" s="3">
        <v>46054</v>
      </c>
    </row>
    <row r="694" spans="1:23">
      <c r="A694" t="s">
        <v>361</v>
      </c>
      <c r="B694" s="3">
        <v>45932</v>
      </c>
      <c r="C694" t="s">
        <v>75</v>
      </c>
      <c r="D694" t="str">
        <f>INDEX(Raw_product_master[Category],MATCH(Cleaned_Sales_data[[#This Row],[Product]],Raw_product_master[Product],0))</f>
        <v>Computers</v>
      </c>
      <c r="E694" t="s">
        <v>63</v>
      </c>
      <c r="F694" t="s">
        <v>38</v>
      </c>
      <c r="G694" t="s">
        <v>27</v>
      </c>
      <c r="H694">
        <v>3</v>
      </c>
      <c r="I694">
        <v>65000</v>
      </c>
      <c r="J694" s="10">
        <v>0.2</v>
      </c>
      <c r="K694">
        <v>195000</v>
      </c>
      <c r="L694">
        <v>156000</v>
      </c>
      <c r="M694">
        <v>163800</v>
      </c>
      <c r="N694">
        <v>1098</v>
      </c>
      <c r="O694">
        <v>1549</v>
      </c>
      <c r="P694">
        <f>INDEX(Raw_product_master[Standard_Cost_Per_Unit],MATCH(Cleaned_Sales_data[[#This Row],[Product]],Raw_product_master[Product],0))</f>
        <v>54600</v>
      </c>
      <c r="Q694">
        <v>-10447</v>
      </c>
      <c r="R694" s="11">
        <v>-6.69679487179487E-2</v>
      </c>
      <c r="S694" s="11">
        <f>INDEX(Raw_product_master[Target_Margin], MATCH(Cleaned_Sales_data[[#This Row],[Product]],Raw_product_master[Product], 0 ))</f>
        <v>0.12</v>
      </c>
      <c r="T694" t="str">
        <f>IF(Cleaned_Sales_data[[#This Row],[Profit]]&gt;0, "Profitable", "Loss")</f>
        <v>Loss</v>
      </c>
      <c r="U694" t="str">
        <f>_xlfn.IFS(Cleaned_Sales_data[[#This Row],[Profit]]&gt;=10000, "High", Cleaned_Sales_data[[#This Row],[Profit]]&gt;=5000, "Medium", Cleaned_Sales_data[[#This Row],[Profit]]&gt;=0, "Low", Cleaned_Sales_data[[#This Row],[Profit]] &lt;0, "Loss")</f>
        <v>Loss</v>
      </c>
      <c r="V694" t="str">
        <f t="shared" si="10"/>
        <v>UnderPerforming</v>
      </c>
      <c r="W694" s="3">
        <v>45931</v>
      </c>
    </row>
    <row r="695" spans="1:23">
      <c r="A695" t="s">
        <v>367</v>
      </c>
      <c r="B695" s="3">
        <v>45981</v>
      </c>
      <c r="C695" t="s">
        <v>50</v>
      </c>
      <c r="D695" t="str">
        <f>INDEX(Raw_product_master[Category],MATCH(Cleaned_Sales_data[[#This Row],[Product]],Raw_product_master[Product],0))</f>
        <v>Accessories</v>
      </c>
      <c r="E695" t="s">
        <v>19</v>
      </c>
      <c r="F695" t="s">
        <v>38</v>
      </c>
      <c r="G695" t="s">
        <v>27</v>
      </c>
      <c r="H695">
        <v>4</v>
      </c>
      <c r="I695">
        <v>2500</v>
      </c>
      <c r="J695" s="10">
        <v>0</v>
      </c>
      <c r="K695">
        <v>10000</v>
      </c>
      <c r="L695">
        <v>10000</v>
      </c>
      <c r="M695">
        <v>6200</v>
      </c>
      <c r="N695">
        <v>1424</v>
      </c>
      <c r="O695">
        <v>2028</v>
      </c>
      <c r="P695">
        <f>INDEX(Raw_product_master[Standard_Cost_Per_Unit],MATCH(Cleaned_Sales_data[[#This Row],[Product]],Raw_product_master[Product],0))</f>
        <v>1550</v>
      </c>
      <c r="Q695">
        <v>348</v>
      </c>
      <c r="R695" s="11">
        <v>3.4799999999999998E-2</v>
      </c>
      <c r="S695" s="11">
        <f>INDEX(Raw_product_master[Target_Margin], MATCH(Cleaned_Sales_data[[#This Row],[Product]],Raw_product_master[Product], 0 ))</f>
        <v>0.25</v>
      </c>
      <c r="T695" t="str">
        <f>IF(Cleaned_Sales_data[[#This Row],[Profit]]&gt;0, "Profitable", "Loss")</f>
        <v>Profitable</v>
      </c>
      <c r="U695" t="str">
        <f>_xlfn.IFS(Cleaned_Sales_data[[#This Row],[Profit]]&gt;=10000, "High", Cleaned_Sales_data[[#This Row],[Profit]]&gt;=5000, "Medium", Cleaned_Sales_data[[#This Row],[Profit]]&gt;=0, "Low", Cleaned_Sales_data[[#This Row],[Profit]] &lt;0, "Loss")</f>
        <v>Low</v>
      </c>
      <c r="V695" t="str">
        <f t="shared" si="10"/>
        <v>UnderPerforming</v>
      </c>
      <c r="W695" s="3">
        <v>45962</v>
      </c>
    </row>
    <row r="696" spans="1:23">
      <c r="A696" t="s">
        <v>378</v>
      </c>
      <c r="B696" s="3">
        <v>45958</v>
      </c>
      <c r="C696" t="s">
        <v>24</v>
      </c>
      <c r="D696" t="str">
        <f>INDEX(Raw_product_master[Category],MATCH(Cleaned_Sales_data[[#This Row],[Product]],Raw_product_master[Product],0))</f>
        <v>Accessories</v>
      </c>
      <c r="E696" t="s">
        <v>25</v>
      </c>
      <c r="F696" t="s">
        <v>38</v>
      </c>
      <c r="G696" t="s">
        <v>21</v>
      </c>
      <c r="H696">
        <v>5</v>
      </c>
      <c r="I696">
        <v>3500</v>
      </c>
      <c r="J696" s="10">
        <v>0.03</v>
      </c>
      <c r="K696">
        <v>17500</v>
      </c>
      <c r="L696">
        <v>16975</v>
      </c>
      <c r="M696">
        <v>11900</v>
      </c>
      <c r="N696">
        <v>644</v>
      </c>
      <c r="O696">
        <v>2052</v>
      </c>
      <c r="P696">
        <f>INDEX(Raw_product_master[Standard_Cost_Per_Unit],MATCH(Cleaned_Sales_data[[#This Row],[Product]],Raw_product_master[Product],0))</f>
        <v>2380</v>
      </c>
      <c r="Q696">
        <v>2379</v>
      </c>
      <c r="R696" s="11">
        <v>0.14014727540500699</v>
      </c>
      <c r="S696" s="11">
        <f>INDEX(Raw_product_master[Target_Margin], MATCH(Cleaned_Sales_data[[#This Row],[Product]],Raw_product_master[Product], 0 ))</f>
        <v>0.2</v>
      </c>
      <c r="T696" t="str">
        <f>IF(Cleaned_Sales_data[[#This Row],[Profit]]&gt;0, "Profitable", "Loss")</f>
        <v>Profitable</v>
      </c>
      <c r="U696" t="str">
        <f>_xlfn.IFS(Cleaned_Sales_data[[#This Row],[Profit]]&gt;=10000, "High", Cleaned_Sales_data[[#This Row],[Profit]]&gt;=5000, "Medium", Cleaned_Sales_data[[#This Row],[Profit]]&gt;=0, "Low", Cleaned_Sales_data[[#This Row],[Profit]] &lt;0, "Loss")</f>
        <v>Low</v>
      </c>
      <c r="V696" t="str">
        <f t="shared" si="10"/>
        <v>UnderPerforming</v>
      </c>
      <c r="W696" s="3">
        <v>45931</v>
      </c>
    </row>
    <row r="697" spans="1:23">
      <c r="A697" t="s">
        <v>379</v>
      </c>
      <c r="B697" s="3">
        <v>45981</v>
      </c>
      <c r="C697" t="s">
        <v>46</v>
      </c>
      <c r="D697" t="str">
        <f>INDEX(Raw_product_master[Category],MATCH(Cleaned_Sales_data[[#This Row],[Product]],Raw_product_master[Product],0))</f>
        <v>Office Equipment</v>
      </c>
      <c r="E697" t="s">
        <v>34</v>
      </c>
      <c r="F697" t="s">
        <v>38</v>
      </c>
      <c r="G697" t="s">
        <v>21</v>
      </c>
      <c r="H697">
        <v>1</v>
      </c>
      <c r="I697">
        <v>18000</v>
      </c>
      <c r="J697" s="10">
        <v>0.08</v>
      </c>
      <c r="K697">
        <v>18000</v>
      </c>
      <c r="L697">
        <v>16560</v>
      </c>
      <c r="M697">
        <v>14400</v>
      </c>
      <c r="N697">
        <v>1566</v>
      </c>
      <c r="O697">
        <v>826</v>
      </c>
      <c r="P697">
        <f>INDEX(Raw_product_master[Standard_Cost_Per_Unit],MATCH(Cleaned_Sales_data[[#This Row],[Product]],Raw_product_master[Product],0))</f>
        <v>14400</v>
      </c>
      <c r="Q697">
        <v>-232</v>
      </c>
      <c r="R697" s="11">
        <v>-1.40096618357488E-2</v>
      </c>
      <c r="S697" s="11">
        <f>INDEX(Raw_product_master[Target_Margin], MATCH(Cleaned_Sales_data[[#This Row],[Product]],Raw_product_master[Product], 0 ))</f>
        <v>0.15</v>
      </c>
      <c r="T697" t="str">
        <f>IF(Cleaned_Sales_data[[#This Row],[Profit]]&gt;0, "Profitable", "Loss")</f>
        <v>Loss</v>
      </c>
      <c r="U697" t="str">
        <f>_xlfn.IFS(Cleaned_Sales_data[[#This Row],[Profit]]&gt;=10000, "High", Cleaned_Sales_data[[#This Row],[Profit]]&gt;=5000, "Medium", Cleaned_Sales_data[[#This Row],[Profit]]&gt;=0, "Low", Cleaned_Sales_data[[#This Row],[Profit]] &lt;0, "Loss")</f>
        <v>Loss</v>
      </c>
      <c r="V697" t="str">
        <f t="shared" si="10"/>
        <v>UnderPerforming</v>
      </c>
      <c r="W697" s="3">
        <v>45962</v>
      </c>
    </row>
    <row r="698" spans="1:23">
      <c r="A698" t="s">
        <v>386</v>
      </c>
      <c r="B698" s="3">
        <v>46108</v>
      </c>
      <c r="C698" t="s">
        <v>75</v>
      </c>
      <c r="D698" t="str">
        <f>INDEX(Raw_product_master[Category],MATCH(Cleaned_Sales_data[[#This Row],[Product]],Raw_product_master[Product],0))</f>
        <v>Computers</v>
      </c>
      <c r="E698" t="s">
        <v>19</v>
      </c>
      <c r="F698" t="s">
        <v>38</v>
      </c>
      <c r="G698" t="s">
        <v>27</v>
      </c>
      <c r="H698">
        <v>1</v>
      </c>
      <c r="I698">
        <v>65000</v>
      </c>
      <c r="J698" s="10">
        <v>0.15</v>
      </c>
      <c r="K698">
        <v>65000</v>
      </c>
      <c r="L698">
        <v>55250</v>
      </c>
      <c r="M698">
        <v>54600</v>
      </c>
      <c r="N698">
        <v>1253</v>
      </c>
      <c r="O698">
        <v>1989</v>
      </c>
      <c r="P698">
        <f>INDEX(Raw_product_master[Standard_Cost_Per_Unit],MATCH(Cleaned_Sales_data[[#This Row],[Product]],Raw_product_master[Product],0))</f>
        <v>54600</v>
      </c>
      <c r="Q698">
        <v>-2592</v>
      </c>
      <c r="R698" s="11">
        <v>-4.6914027149321302E-2</v>
      </c>
      <c r="S698" s="11">
        <f>INDEX(Raw_product_master[Target_Margin], MATCH(Cleaned_Sales_data[[#This Row],[Product]],Raw_product_master[Product], 0 ))</f>
        <v>0.12</v>
      </c>
      <c r="T698" t="str">
        <f>IF(Cleaned_Sales_data[[#This Row],[Profit]]&gt;0, "Profitable", "Loss")</f>
        <v>Loss</v>
      </c>
      <c r="U698" t="str">
        <f>_xlfn.IFS(Cleaned_Sales_data[[#This Row],[Profit]]&gt;=10000, "High", Cleaned_Sales_data[[#This Row],[Profit]]&gt;=5000, "Medium", Cleaned_Sales_data[[#This Row],[Profit]]&gt;=0, "Low", Cleaned_Sales_data[[#This Row],[Profit]] &lt;0, "Loss")</f>
        <v>Loss</v>
      </c>
      <c r="V698" t="str">
        <f t="shared" si="10"/>
        <v>UnderPerforming</v>
      </c>
      <c r="W698" s="3">
        <v>46082</v>
      </c>
    </row>
    <row r="699" spans="1:23">
      <c r="A699" t="s">
        <v>397</v>
      </c>
      <c r="B699" s="3">
        <v>46092</v>
      </c>
      <c r="C699" t="s">
        <v>46</v>
      </c>
      <c r="D699" t="str">
        <f>INDEX(Raw_product_master[Category],MATCH(Cleaned_Sales_data[[#This Row],[Product]],Raw_product_master[Product],0))</f>
        <v>Office Equipment</v>
      </c>
      <c r="E699" t="s">
        <v>51</v>
      </c>
      <c r="F699" t="s">
        <v>38</v>
      </c>
      <c r="G699" t="s">
        <v>27</v>
      </c>
      <c r="H699">
        <v>1</v>
      </c>
      <c r="I699">
        <v>18000</v>
      </c>
      <c r="J699" s="10">
        <v>0.05</v>
      </c>
      <c r="K699">
        <v>18000</v>
      </c>
      <c r="L699">
        <v>17100</v>
      </c>
      <c r="M699">
        <v>14400</v>
      </c>
      <c r="N699">
        <v>1334</v>
      </c>
      <c r="O699">
        <v>2286</v>
      </c>
      <c r="P699">
        <f>INDEX(Raw_product_master[Standard_Cost_Per_Unit],MATCH(Cleaned_Sales_data[[#This Row],[Product]],Raw_product_master[Product],0))</f>
        <v>14400</v>
      </c>
      <c r="Q699">
        <v>-920</v>
      </c>
      <c r="R699" s="11">
        <v>-5.3801169590643301E-2</v>
      </c>
      <c r="S699" s="11">
        <f>INDEX(Raw_product_master[Target_Margin], MATCH(Cleaned_Sales_data[[#This Row],[Product]],Raw_product_master[Product], 0 ))</f>
        <v>0.15</v>
      </c>
      <c r="T699" t="str">
        <f>IF(Cleaned_Sales_data[[#This Row],[Profit]]&gt;0, "Profitable", "Loss")</f>
        <v>Loss</v>
      </c>
      <c r="U699" t="str">
        <f>_xlfn.IFS(Cleaned_Sales_data[[#This Row],[Profit]]&gt;=10000, "High", Cleaned_Sales_data[[#This Row],[Profit]]&gt;=5000, "Medium", Cleaned_Sales_data[[#This Row],[Profit]]&gt;=0, "Low", Cleaned_Sales_data[[#This Row],[Profit]] &lt;0, "Loss")</f>
        <v>Loss</v>
      </c>
      <c r="V699" t="str">
        <f t="shared" si="10"/>
        <v>UnderPerforming</v>
      </c>
      <c r="W699" s="3">
        <v>46082</v>
      </c>
    </row>
    <row r="700" spans="1:23">
      <c r="A700" t="s">
        <v>398</v>
      </c>
      <c r="B700" s="3">
        <v>46177</v>
      </c>
      <c r="C700" t="s">
        <v>46</v>
      </c>
      <c r="D700" t="str">
        <f>INDEX(Raw_product_master[Category],MATCH(Cleaned_Sales_data[[#This Row],[Product]],Raw_product_master[Product],0))</f>
        <v>Office Equipment</v>
      </c>
      <c r="E700" t="s">
        <v>31</v>
      </c>
      <c r="F700" t="s">
        <v>38</v>
      </c>
      <c r="G700" t="s">
        <v>21</v>
      </c>
      <c r="H700">
        <v>2</v>
      </c>
      <c r="I700">
        <v>18000</v>
      </c>
      <c r="J700" s="10">
        <v>0.08</v>
      </c>
      <c r="K700">
        <v>36000</v>
      </c>
      <c r="L700">
        <v>33120</v>
      </c>
      <c r="M700">
        <v>28800</v>
      </c>
      <c r="N700">
        <v>961</v>
      </c>
      <c r="O700">
        <v>264</v>
      </c>
      <c r="P700">
        <f>INDEX(Raw_product_master[Standard_Cost_Per_Unit],MATCH(Cleaned_Sales_data[[#This Row],[Product]],Raw_product_master[Product],0))</f>
        <v>14400</v>
      </c>
      <c r="Q700">
        <v>3095</v>
      </c>
      <c r="R700" s="11">
        <v>9.3448067632850199E-2</v>
      </c>
      <c r="S700" s="11">
        <f>INDEX(Raw_product_master[Target_Margin], MATCH(Cleaned_Sales_data[[#This Row],[Product]],Raw_product_master[Product], 0 ))</f>
        <v>0.15</v>
      </c>
      <c r="T700" t="str">
        <f>IF(Cleaned_Sales_data[[#This Row],[Profit]]&gt;0, "Profitable", "Loss")</f>
        <v>Profitable</v>
      </c>
      <c r="U700" t="str">
        <f>_xlfn.IFS(Cleaned_Sales_data[[#This Row],[Profit]]&gt;=10000, "High", Cleaned_Sales_data[[#This Row],[Profit]]&gt;=5000, "Medium", Cleaned_Sales_data[[#This Row],[Profit]]&gt;=0, "Low", Cleaned_Sales_data[[#This Row],[Profit]] &lt;0, "Loss")</f>
        <v>Low</v>
      </c>
      <c r="V700" t="str">
        <f t="shared" si="10"/>
        <v>UnderPerforming</v>
      </c>
      <c r="W700" s="3">
        <v>46174</v>
      </c>
    </row>
    <row r="701" spans="1:23">
      <c r="A701" t="s">
        <v>402</v>
      </c>
      <c r="B701" s="3">
        <v>45739</v>
      </c>
      <c r="C701" t="s">
        <v>18</v>
      </c>
      <c r="D701" t="str">
        <f>INDEX(Raw_product_master[Category],MATCH(Cleaned_Sales_data[[#This Row],[Product]],Raw_product_master[Product],0))</f>
        <v>Computers</v>
      </c>
      <c r="E701" t="s">
        <v>31</v>
      </c>
      <c r="F701" t="s">
        <v>38</v>
      </c>
      <c r="G701" t="s">
        <v>21</v>
      </c>
      <c r="H701">
        <v>3</v>
      </c>
      <c r="I701">
        <v>32000</v>
      </c>
      <c r="J701" s="10">
        <v>0.08</v>
      </c>
      <c r="K701">
        <v>96000</v>
      </c>
      <c r="L701">
        <v>88320</v>
      </c>
      <c r="M701">
        <v>78720</v>
      </c>
      <c r="N701">
        <v>903</v>
      </c>
      <c r="O701">
        <v>1814</v>
      </c>
      <c r="P701">
        <f>INDEX(Raw_product_master[Standard_Cost_Per_Unit],MATCH(Cleaned_Sales_data[[#This Row],[Product]],Raw_product_master[Product],0))</f>
        <v>26240</v>
      </c>
      <c r="Q701">
        <v>6883</v>
      </c>
      <c r="R701" s="11">
        <v>7.7932518115941998E-2</v>
      </c>
      <c r="S701" s="11">
        <f>INDEX(Raw_product_master[Target_Margin], MATCH(Cleaned_Sales_data[[#This Row],[Product]],Raw_product_master[Product], 0 ))</f>
        <v>0.12</v>
      </c>
      <c r="T701" t="str">
        <f>IF(Cleaned_Sales_data[[#This Row],[Profit]]&gt;0, "Profitable", "Loss")</f>
        <v>Profitable</v>
      </c>
      <c r="U701" t="str">
        <f>_xlfn.IFS(Cleaned_Sales_data[[#This Row],[Profit]]&gt;=10000, "High", Cleaned_Sales_data[[#This Row],[Profit]]&gt;=5000, "Medium", Cleaned_Sales_data[[#This Row],[Profit]]&gt;=0, "Low", Cleaned_Sales_data[[#This Row],[Profit]] &lt;0, "Loss")</f>
        <v>Medium</v>
      </c>
      <c r="V701" t="str">
        <f t="shared" si="10"/>
        <v>UnderPerforming</v>
      </c>
      <c r="W701" s="3">
        <v>45717</v>
      </c>
    </row>
    <row r="702" spans="1:23">
      <c r="A702" t="s">
        <v>412</v>
      </c>
      <c r="B702" s="3">
        <v>45888</v>
      </c>
      <c r="C702" t="s">
        <v>18</v>
      </c>
      <c r="D702" t="str">
        <f>INDEX(Raw_product_master[Category],MATCH(Cleaned_Sales_data[[#This Row],[Product]],Raw_product_master[Product],0))</f>
        <v>Computers</v>
      </c>
      <c r="E702" t="s">
        <v>51</v>
      </c>
      <c r="F702" t="s">
        <v>38</v>
      </c>
      <c r="G702" t="s">
        <v>21</v>
      </c>
      <c r="H702">
        <v>2</v>
      </c>
      <c r="I702">
        <v>32000</v>
      </c>
      <c r="J702" s="10">
        <v>0.03</v>
      </c>
      <c r="K702">
        <v>64000</v>
      </c>
      <c r="L702">
        <v>62080</v>
      </c>
      <c r="M702">
        <v>52480</v>
      </c>
      <c r="N702">
        <v>1790</v>
      </c>
      <c r="O702">
        <v>1150</v>
      </c>
      <c r="P702">
        <f>INDEX(Raw_product_master[Standard_Cost_Per_Unit],MATCH(Cleaned_Sales_data[[#This Row],[Product]],Raw_product_master[Product],0))</f>
        <v>26240</v>
      </c>
      <c r="Q702">
        <v>6660</v>
      </c>
      <c r="R702" s="11">
        <v>0.107280927835052</v>
      </c>
      <c r="S702" s="11">
        <f>INDEX(Raw_product_master[Target_Margin], MATCH(Cleaned_Sales_data[[#This Row],[Product]],Raw_product_master[Product], 0 ))</f>
        <v>0.12</v>
      </c>
      <c r="T702" t="str">
        <f>IF(Cleaned_Sales_data[[#This Row],[Profit]]&gt;0, "Profitable", "Loss")</f>
        <v>Profitable</v>
      </c>
      <c r="U702" t="str">
        <f>_xlfn.IFS(Cleaned_Sales_data[[#This Row],[Profit]]&gt;=10000, "High", Cleaned_Sales_data[[#This Row],[Profit]]&gt;=5000, "Medium", Cleaned_Sales_data[[#This Row],[Profit]]&gt;=0, "Low", Cleaned_Sales_data[[#This Row],[Profit]] &lt;0, "Loss")</f>
        <v>Medium</v>
      </c>
      <c r="V702" t="str">
        <f t="shared" si="10"/>
        <v>UnderPerforming</v>
      </c>
      <c r="W702" s="3">
        <v>45870</v>
      </c>
    </row>
    <row r="703" spans="1:23">
      <c r="A703" t="s">
        <v>415</v>
      </c>
      <c r="B703" s="3">
        <v>45917</v>
      </c>
      <c r="C703" t="s">
        <v>53</v>
      </c>
      <c r="D703" t="str">
        <f>INDEX(Raw_product_master[Category],MATCH(Cleaned_Sales_data[[#This Row],[Product]],Raw_product_master[Product],0))</f>
        <v>Accessories</v>
      </c>
      <c r="E703" t="s">
        <v>51</v>
      </c>
      <c r="F703" t="s">
        <v>38</v>
      </c>
      <c r="G703" t="s">
        <v>21</v>
      </c>
      <c r="H703">
        <v>5</v>
      </c>
      <c r="I703">
        <v>1500</v>
      </c>
      <c r="J703" s="10">
        <v>0.1</v>
      </c>
      <c r="K703">
        <v>7500</v>
      </c>
      <c r="L703">
        <v>6750</v>
      </c>
      <c r="M703">
        <v>4125</v>
      </c>
      <c r="N703">
        <v>1245</v>
      </c>
      <c r="O703">
        <v>1153</v>
      </c>
      <c r="P703">
        <f>INDEX(Raw_product_master[Standard_Cost_Per_Unit],MATCH(Cleaned_Sales_data[[#This Row],[Product]],Raw_product_master[Product],0))</f>
        <v>825</v>
      </c>
      <c r="Q703">
        <v>227</v>
      </c>
      <c r="R703" s="11">
        <v>3.36296296296296E-2</v>
      </c>
      <c r="S703" s="11">
        <f>INDEX(Raw_product_master[Target_Margin], MATCH(Cleaned_Sales_data[[#This Row],[Product]],Raw_product_master[Product], 0 ))</f>
        <v>0.3</v>
      </c>
      <c r="T703" t="str">
        <f>IF(Cleaned_Sales_data[[#This Row],[Profit]]&gt;0, "Profitable", "Loss")</f>
        <v>Profitable</v>
      </c>
      <c r="U703" t="str">
        <f>_xlfn.IFS(Cleaned_Sales_data[[#This Row],[Profit]]&gt;=10000, "High", Cleaned_Sales_data[[#This Row],[Profit]]&gt;=5000, "Medium", Cleaned_Sales_data[[#This Row],[Profit]]&gt;=0, "Low", Cleaned_Sales_data[[#This Row],[Profit]] &lt;0, "Loss")</f>
        <v>Low</v>
      </c>
      <c r="V703" t="str">
        <f t="shared" si="10"/>
        <v>UnderPerforming</v>
      </c>
      <c r="W703" s="3">
        <v>45901</v>
      </c>
    </row>
    <row r="704" spans="1:23">
      <c r="A704" t="s">
        <v>428</v>
      </c>
      <c r="B704" s="3">
        <v>45828</v>
      </c>
      <c r="C704" t="s">
        <v>61</v>
      </c>
      <c r="D704" t="str">
        <f>INDEX(Raw_product_master[Category],MATCH(Cleaned_Sales_data[[#This Row],[Product]],Raw_product_master[Product],0))</f>
        <v>Accessories</v>
      </c>
      <c r="E704" t="s">
        <v>63</v>
      </c>
      <c r="F704" t="s">
        <v>38</v>
      </c>
      <c r="G704" t="s">
        <v>21</v>
      </c>
      <c r="H704">
        <v>1</v>
      </c>
      <c r="I704">
        <v>4500</v>
      </c>
      <c r="J704" s="10">
        <v>0.15</v>
      </c>
      <c r="K704">
        <v>4500</v>
      </c>
      <c r="L704">
        <v>3825</v>
      </c>
      <c r="M704">
        <v>2925</v>
      </c>
      <c r="N704">
        <v>1083</v>
      </c>
      <c r="O704">
        <v>640</v>
      </c>
      <c r="P704">
        <f>INDEX(Raw_product_master[Standard_Cost_Per_Unit],MATCH(Cleaned_Sales_data[[#This Row],[Product]],Raw_product_master[Product],0))</f>
        <v>2925</v>
      </c>
      <c r="Q704">
        <v>-823</v>
      </c>
      <c r="R704" s="11">
        <v>-0.21516339869281001</v>
      </c>
      <c r="S704" s="11">
        <f>INDEX(Raw_product_master[Target_Margin], MATCH(Cleaned_Sales_data[[#This Row],[Product]],Raw_product_master[Product], 0 ))</f>
        <v>0.22</v>
      </c>
      <c r="T704" t="str">
        <f>IF(Cleaned_Sales_data[[#This Row],[Profit]]&gt;0, "Profitable", "Loss")</f>
        <v>Loss</v>
      </c>
      <c r="U704" t="str">
        <f>_xlfn.IFS(Cleaned_Sales_data[[#This Row],[Profit]]&gt;=10000, "High", Cleaned_Sales_data[[#This Row],[Profit]]&gt;=5000, "Medium", Cleaned_Sales_data[[#This Row],[Profit]]&gt;=0, "Low", Cleaned_Sales_data[[#This Row],[Profit]] &lt;0, "Loss")</f>
        <v>Loss</v>
      </c>
      <c r="V704" t="str">
        <f t="shared" si="10"/>
        <v>UnderPerforming</v>
      </c>
      <c r="W704" s="3">
        <v>45809</v>
      </c>
    </row>
    <row r="705" spans="1:23">
      <c r="A705" t="s">
        <v>440</v>
      </c>
      <c r="B705" s="3">
        <v>45818</v>
      </c>
      <c r="C705" t="s">
        <v>61</v>
      </c>
      <c r="D705" t="str">
        <f>INDEX(Raw_product_master[Category],MATCH(Cleaned_Sales_data[[#This Row],[Product]],Raw_product_master[Product],0))</f>
        <v>Accessories</v>
      </c>
      <c r="E705" t="s">
        <v>63</v>
      </c>
      <c r="F705" t="s">
        <v>38</v>
      </c>
      <c r="G705" t="s">
        <v>21</v>
      </c>
      <c r="H705">
        <v>5</v>
      </c>
      <c r="I705">
        <v>4500</v>
      </c>
      <c r="J705" s="10">
        <v>0.05</v>
      </c>
      <c r="K705">
        <v>22500</v>
      </c>
      <c r="L705">
        <v>21375</v>
      </c>
      <c r="M705">
        <v>14625</v>
      </c>
      <c r="N705">
        <v>692</v>
      </c>
      <c r="O705">
        <v>719</v>
      </c>
      <c r="P705">
        <f>INDEX(Raw_product_master[Standard_Cost_Per_Unit],MATCH(Cleaned_Sales_data[[#This Row],[Product]],Raw_product_master[Product],0))</f>
        <v>2925</v>
      </c>
      <c r="Q705">
        <v>5339</v>
      </c>
      <c r="R705" s="11">
        <v>0.24977777777777799</v>
      </c>
      <c r="S705" s="11">
        <f>INDEX(Raw_product_master[Target_Margin], MATCH(Cleaned_Sales_data[[#This Row],[Product]],Raw_product_master[Product], 0 ))</f>
        <v>0.22</v>
      </c>
      <c r="T705" t="str">
        <f>IF(Cleaned_Sales_data[[#This Row],[Profit]]&gt;0, "Profitable", "Loss")</f>
        <v>Profitable</v>
      </c>
      <c r="U705" t="str">
        <f>_xlfn.IFS(Cleaned_Sales_data[[#This Row],[Profit]]&gt;=10000, "High", Cleaned_Sales_data[[#This Row],[Profit]]&gt;=5000, "Medium", Cleaned_Sales_data[[#This Row],[Profit]]&gt;=0, "Low", Cleaned_Sales_data[[#This Row],[Profit]] &lt;0, "Loss")</f>
        <v>Medium</v>
      </c>
      <c r="V705" t="str">
        <f t="shared" si="10"/>
        <v>On Target</v>
      </c>
      <c r="W705" s="3">
        <v>45809</v>
      </c>
    </row>
    <row r="706" spans="1:23">
      <c r="A706" t="s">
        <v>441</v>
      </c>
      <c r="B706" s="3">
        <v>45909</v>
      </c>
      <c r="C706" t="s">
        <v>50</v>
      </c>
      <c r="D706" t="str">
        <f>INDEX(Raw_product_master[Category],MATCH(Cleaned_Sales_data[[#This Row],[Product]],Raw_product_master[Product],0))</f>
        <v>Accessories</v>
      </c>
      <c r="E706" t="s">
        <v>19</v>
      </c>
      <c r="F706" t="s">
        <v>38</v>
      </c>
      <c r="G706" t="s">
        <v>21</v>
      </c>
      <c r="H706">
        <v>7</v>
      </c>
      <c r="I706">
        <v>2500</v>
      </c>
      <c r="J706" s="10">
        <v>0.03</v>
      </c>
      <c r="K706">
        <v>17500</v>
      </c>
      <c r="L706">
        <v>16975</v>
      </c>
      <c r="M706">
        <v>10850</v>
      </c>
      <c r="N706">
        <v>471</v>
      </c>
      <c r="O706">
        <v>679</v>
      </c>
      <c r="P706">
        <f>INDEX(Raw_product_master[Standard_Cost_Per_Unit],MATCH(Cleaned_Sales_data[[#This Row],[Product]],Raw_product_master[Product],0))</f>
        <v>1550</v>
      </c>
      <c r="Q706">
        <v>4975</v>
      </c>
      <c r="R706" s="11">
        <v>0.29307805596465403</v>
      </c>
      <c r="S706" s="11">
        <f>INDEX(Raw_product_master[Target_Margin], MATCH(Cleaned_Sales_data[[#This Row],[Product]],Raw_product_master[Product], 0 ))</f>
        <v>0.25</v>
      </c>
      <c r="T706" t="str">
        <f>IF(Cleaned_Sales_data[[#This Row],[Profit]]&gt;0, "Profitable", "Loss")</f>
        <v>Profitable</v>
      </c>
      <c r="U706" t="str">
        <f>_xlfn.IFS(Cleaned_Sales_data[[#This Row],[Profit]]&gt;=10000, "High", Cleaned_Sales_data[[#This Row],[Profit]]&gt;=5000, "Medium", Cleaned_Sales_data[[#This Row],[Profit]]&gt;=0, "Low", Cleaned_Sales_data[[#This Row],[Profit]] &lt;0, "Loss")</f>
        <v>Low</v>
      </c>
      <c r="V706" t="str">
        <f t="shared" ref="V706:V751" si="11">IF(R706&lt;S706, "UnderPerforming", "On Target")</f>
        <v>On Target</v>
      </c>
      <c r="W706" s="3">
        <v>45901</v>
      </c>
    </row>
    <row r="707" spans="1:23">
      <c r="A707" t="s">
        <v>443</v>
      </c>
      <c r="B707" s="3">
        <v>46011</v>
      </c>
      <c r="C707" t="s">
        <v>53</v>
      </c>
      <c r="D707" t="str">
        <f>INDEX(Raw_product_master[Category],MATCH(Cleaned_Sales_data[[#This Row],[Product]],Raw_product_master[Product],0))</f>
        <v>Accessories</v>
      </c>
      <c r="E707" t="s">
        <v>63</v>
      </c>
      <c r="F707" t="s">
        <v>38</v>
      </c>
      <c r="G707" t="s">
        <v>21</v>
      </c>
      <c r="H707">
        <v>4</v>
      </c>
      <c r="I707">
        <v>1500</v>
      </c>
      <c r="J707" s="10">
        <v>0.1</v>
      </c>
      <c r="K707">
        <v>6000</v>
      </c>
      <c r="L707">
        <v>5400</v>
      </c>
      <c r="M707">
        <v>3300</v>
      </c>
      <c r="N707">
        <v>1794</v>
      </c>
      <c r="O707">
        <v>2272</v>
      </c>
      <c r="P707">
        <f>INDEX(Raw_product_master[Standard_Cost_Per_Unit],MATCH(Cleaned_Sales_data[[#This Row],[Product]],Raw_product_master[Product],0))</f>
        <v>825</v>
      </c>
      <c r="Q707">
        <v>-1966</v>
      </c>
      <c r="R707" s="11">
        <v>-0.36407407407407399</v>
      </c>
      <c r="S707" s="11">
        <f>INDEX(Raw_product_master[Target_Margin], MATCH(Cleaned_Sales_data[[#This Row],[Product]],Raw_product_master[Product], 0 ))</f>
        <v>0.3</v>
      </c>
      <c r="T707" t="str">
        <f>IF(Cleaned_Sales_data[[#This Row],[Profit]]&gt;0, "Profitable", "Loss")</f>
        <v>Loss</v>
      </c>
      <c r="U707" t="str">
        <f>_xlfn.IFS(Cleaned_Sales_data[[#This Row],[Profit]]&gt;=10000, "High", Cleaned_Sales_data[[#This Row],[Profit]]&gt;=5000, "Medium", Cleaned_Sales_data[[#This Row],[Profit]]&gt;=0, "Low", Cleaned_Sales_data[[#This Row],[Profit]] &lt;0, "Loss")</f>
        <v>Loss</v>
      </c>
      <c r="V707" t="str">
        <f t="shared" si="11"/>
        <v>UnderPerforming</v>
      </c>
      <c r="W707" s="3">
        <v>45992</v>
      </c>
    </row>
    <row r="708" spans="1:23">
      <c r="A708" t="s">
        <v>465</v>
      </c>
      <c r="B708" s="3">
        <v>45919</v>
      </c>
      <c r="C708" t="s">
        <v>50</v>
      </c>
      <c r="D708" t="str">
        <f>INDEX(Raw_product_master[Category],MATCH(Cleaned_Sales_data[[#This Row],[Product]],Raw_product_master[Product],0))</f>
        <v>Accessories</v>
      </c>
      <c r="E708" t="s">
        <v>31</v>
      </c>
      <c r="F708" t="s">
        <v>38</v>
      </c>
      <c r="G708" t="s">
        <v>27</v>
      </c>
      <c r="H708">
        <v>1</v>
      </c>
      <c r="I708">
        <v>2500</v>
      </c>
      <c r="J708" s="10">
        <v>0.03</v>
      </c>
      <c r="K708">
        <v>2500</v>
      </c>
      <c r="L708">
        <v>2425</v>
      </c>
      <c r="M708">
        <v>1550</v>
      </c>
      <c r="N708">
        <v>1364</v>
      </c>
      <c r="O708">
        <v>681</v>
      </c>
      <c r="P708">
        <f>INDEX(Raw_product_master[Standard_Cost_Per_Unit],MATCH(Cleaned_Sales_data[[#This Row],[Product]],Raw_product_master[Product],0))</f>
        <v>1550</v>
      </c>
      <c r="Q708">
        <v>-1170</v>
      </c>
      <c r="R708" s="11">
        <v>-0.482474226804124</v>
      </c>
      <c r="S708" s="11">
        <f>INDEX(Raw_product_master[Target_Margin], MATCH(Cleaned_Sales_data[[#This Row],[Product]],Raw_product_master[Product], 0 ))</f>
        <v>0.25</v>
      </c>
      <c r="T708" t="str">
        <f>IF(Cleaned_Sales_data[[#This Row],[Profit]]&gt;0, "Profitable", "Loss")</f>
        <v>Loss</v>
      </c>
      <c r="U708" t="str">
        <f>_xlfn.IFS(Cleaned_Sales_data[[#This Row],[Profit]]&gt;=10000, "High", Cleaned_Sales_data[[#This Row],[Profit]]&gt;=5000, "Medium", Cleaned_Sales_data[[#This Row],[Profit]]&gt;=0, "Low", Cleaned_Sales_data[[#This Row],[Profit]] &lt;0, "Loss")</f>
        <v>Loss</v>
      </c>
      <c r="V708" t="str">
        <f t="shared" si="11"/>
        <v>UnderPerforming</v>
      </c>
      <c r="W708" s="3">
        <v>45901</v>
      </c>
    </row>
    <row r="709" spans="1:23">
      <c r="A709" t="s">
        <v>482</v>
      </c>
      <c r="B709" s="3">
        <v>45923</v>
      </c>
      <c r="C709" t="s">
        <v>30</v>
      </c>
      <c r="D709" t="str">
        <f>INDEX(Raw_product_master[Category],MATCH(Cleaned_Sales_data[[#This Row],[Product]],Raw_product_master[Product],0))</f>
        <v>Displays</v>
      </c>
      <c r="E709" t="s">
        <v>51</v>
      </c>
      <c r="F709" t="s">
        <v>38</v>
      </c>
      <c r="G709" t="s">
        <v>21</v>
      </c>
      <c r="H709">
        <v>1</v>
      </c>
      <c r="I709">
        <v>28000</v>
      </c>
      <c r="J709" s="10">
        <v>0.03</v>
      </c>
      <c r="K709">
        <v>28000</v>
      </c>
      <c r="L709">
        <v>27160</v>
      </c>
      <c r="M709">
        <v>21840</v>
      </c>
      <c r="N709">
        <v>794</v>
      </c>
      <c r="O709">
        <v>1277</v>
      </c>
      <c r="P709">
        <f>INDEX(Raw_product_master[Standard_Cost_Per_Unit],MATCH(Cleaned_Sales_data[[#This Row],[Product]],Raw_product_master[Product],0))</f>
        <v>21840</v>
      </c>
      <c r="Q709">
        <v>3249</v>
      </c>
      <c r="R709" s="11">
        <v>0.11962444771723101</v>
      </c>
      <c r="S709" s="11">
        <f>INDEX(Raw_product_master[Target_Margin], MATCH(Cleaned_Sales_data[[#This Row],[Product]],Raw_product_master[Product], 0 ))</f>
        <v>0.18</v>
      </c>
      <c r="T709" t="str">
        <f>IF(Cleaned_Sales_data[[#This Row],[Profit]]&gt;0, "Profitable", "Loss")</f>
        <v>Profitable</v>
      </c>
      <c r="U709" t="str">
        <f>_xlfn.IFS(Cleaned_Sales_data[[#This Row],[Profit]]&gt;=10000, "High", Cleaned_Sales_data[[#This Row],[Profit]]&gt;=5000, "Medium", Cleaned_Sales_data[[#This Row],[Profit]]&gt;=0, "Low", Cleaned_Sales_data[[#This Row],[Profit]] &lt;0, "Loss")</f>
        <v>Low</v>
      </c>
      <c r="V709" t="str">
        <f t="shared" si="11"/>
        <v>UnderPerforming</v>
      </c>
      <c r="W709" s="3">
        <v>45901</v>
      </c>
    </row>
    <row r="710" spans="1:23">
      <c r="A710" t="s">
        <v>491</v>
      </c>
      <c r="B710" s="3">
        <v>46147</v>
      </c>
      <c r="C710" t="s">
        <v>18</v>
      </c>
      <c r="D710" t="str">
        <f>INDEX(Raw_product_master[Category],MATCH(Cleaned_Sales_data[[#This Row],[Product]],Raw_product_master[Product],0))</f>
        <v>Computers</v>
      </c>
      <c r="E710" t="s">
        <v>63</v>
      </c>
      <c r="F710" t="s">
        <v>38</v>
      </c>
      <c r="G710" t="s">
        <v>21</v>
      </c>
      <c r="H710">
        <v>3</v>
      </c>
      <c r="I710">
        <v>32000</v>
      </c>
      <c r="J710" s="10">
        <v>0.08</v>
      </c>
      <c r="K710">
        <v>96000</v>
      </c>
      <c r="L710">
        <v>88320</v>
      </c>
      <c r="M710">
        <v>78720</v>
      </c>
      <c r="N710">
        <v>890</v>
      </c>
      <c r="O710">
        <v>593</v>
      </c>
      <c r="P710">
        <f>INDEX(Raw_product_master[Standard_Cost_Per_Unit],MATCH(Cleaned_Sales_data[[#This Row],[Product]],Raw_product_master[Product],0))</f>
        <v>26240</v>
      </c>
      <c r="Q710">
        <v>8117</v>
      </c>
      <c r="R710" s="11">
        <v>9.1904438405797095E-2</v>
      </c>
      <c r="S710" s="11">
        <f>INDEX(Raw_product_master[Target_Margin], MATCH(Cleaned_Sales_data[[#This Row],[Product]],Raw_product_master[Product], 0 ))</f>
        <v>0.12</v>
      </c>
      <c r="T710" t="str">
        <f>IF(Cleaned_Sales_data[[#This Row],[Profit]]&gt;0, "Profitable", "Loss")</f>
        <v>Profitable</v>
      </c>
      <c r="U710" t="str">
        <f>_xlfn.IFS(Cleaned_Sales_data[[#This Row],[Profit]]&gt;=10000, "High", Cleaned_Sales_data[[#This Row],[Profit]]&gt;=5000, "Medium", Cleaned_Sales_data[[#This Row],[Profit]]&gt;=0, "Low", Cleaned_Sales_data[[#This Row],[Profit]] &lt;0, "Loss")</f>
        <v>Medium</v>
      </c>
      <c r="V710" t="str">
        <f t="shared" si="11"/>
        <v>UnderPerforming</v>
      </c>
      <c r="W710" s="3">
        <v>46143</v>
      </c>
    </row>
    <row r="711" spans="1:23">
      <c r="A711" t="s">
        <v>496</v>
      </c>
      <c r="B711" s="3">
        <v>45899</v>
      </c>
      <c r="C711" t="s">
        <v>24</v>
      </c>
      <c r="D711" t="str">
        <f>INDEX(Raw_product_master[Category],MATCH(Cleaned_Sales_data[[#This Row],[Product]],Raw_product_master[Product],0))</f>
        <v>Accessories</v>
      </c>
      <c r="E711" t="s">
        <v>19</v>
      </c>
      <c r="F711" t="s">
        <v>38</v>
      </c>
      <c r="G711" t="s">
        <v>21</v>
      </c>
      <c r="H711">
        <v>5</v>
      </c>
      <c r="I711">
        <v>3500</v>
      </c>
      <c r="J711" s="10">
        <v>0.1</v>
      </c>
      <c r="K711">
        <v>17500</v>
      </c>
      <c r="L711">
        <v>15750</v>
      </c>
      <c r="M711">
        <v>11900</v>
      </c>
      <c r="N711">
        <v>1059</v>
      </c>
      <c r="O711">
        <v>2168</v>
      </c>
      <c r="P711">
        <f>INDEX(Raw_product_master[Standard_Cost_Per_Unit],MATCH(Cleaned_Sales_data[[#This Row],[Product]],Raw_product_master[Product],0))</f>
        <v>2380</v>
      </c>
      <c r="Q711">
        <v>623</v>
      </c>
      <c r="R711" s="11">
        <v>3.9555555555555601E-2</v>
      </c>
      <c r="S711" s="11">
        <f>INDEX(Raw_product_master[Target_Margin], MATCH(Cleaned_Sales_data[[#This Row],[Product]],Raw_product_master[Product], 0 ))</f>
        <v>0.2</v>
      </c>
      <c r="T711" t="str">
        <f>IF(Cleaned_Sales_data[[#This Row],[Profit]]&gt;0, "Profitable", "Loss")</f>
        <v>Profitable</v>
      </c>
      <c r="U711" t="str">
        <f>_xlfn.IFS(Cleaned_Sales_data[[#This Row],[Profit]]&gt;=10000, "High", Cleaned_Sales_data[[#This Row],[Profit]]&gt;=5000, "Medium", Cleaned_Sales_data[[#This Row],[Profit]]&gt;=0, "Low", Cleaned_Sales_data[[#This Row],[Profit]] &lt;0, "Loss")</f>
        <v>Low</v>
      </c>
      <c r="V711" t="str">
        <f t="shared" si="11"/>
        <v>UnderPerforming</v>
      </c>
      <c r="W711" s="3">
        <v>45870</v>
      </c>
    </row>
    <row r="712" spans="1:23">
      <c r="A712" t="s">
        <v>498</v>
      </c>
      <c r="B712" s="3">
        <v>45968</v>
      </c>
      <c r="C712" t="s">
        <v>24</v>
      </c>
      <c r="D712" t="str">
        <f>INDEX(Raw_product_master[Category],MATCH(Cleaned_Sales_data[[#This Row],[Product]],Raw_product_master[Product],0))</f>
        <v>Accessories</v>
      </c>
      <c r="E712" t="s">
        <v>34</v>
      </c>
      <c r="F712" t="s">
        <v>38</v>
      </c>
      <c r="G712" t="s">
        <v>27</v>
      </c>
      <c r="H712">
        <v>5</v>
      </c>
      <c r="I712">
        <v>3500</v>
      </c>
      <c r="J712" s="10">
        <v>0.05</v>
      </c>
      <c r="K712">
        <v>17500</v>
      </c>
      <c r="L712">
        <v>16625</v>
      </c>
      <c r="M712">
        <v>11900</v>
      </c>
      <c r="N712">
        <v>251</v>
      </c>
      <c r="O712">
        <v>2300</v>
      </c>
      <c r="P712">
        <f>INDEX(Raw_product_master[Standard_Cost_Per_Unit],MATCH(Cleaned_Sales_data[[#This Row],[Product]],Raw_product_master[Product],0))</f>
        <v>2380</v>
      </c>
      <c r="Q712">
        <v>2174</v>
      </c>
      <c r="R712" s="11">
        <v>0.130766917293233</v>
      </c>
      <c r="S712" s="11">
        <f>INDEX(Raw_product_master[Target_Margin], MATCH(Cleaned_Sales_data[[#This Row],[Product]],Raw_product_master[Product], 0 ))</f>
        <v>0.2</v>
      </c>
      <c r="T712" t="str">
        <f>IF(Cleaned_Sales_data[[#This Row],[Profit]]&gt;0, "Profitable", "Loss")</f>
        <v>Profitable</v>
      </c>
      <c r="U712" t="str">
        <f>_xlfn.IFS(Cleaned_Sales_data[[#This Row],[Profit]]&gt;=10000, "High", Cleaned_Sales_data[[#This Row],[Profit]]&gt;=5000, "Medium", Cleaned_Sales_data[[#This Row],[Profit]]&gt;=0, "Low", Cleaned_Sales_data[[#This Row],[Profit]] &lt;0, "Loss")</f>
        <v>Low</v>
      </c>
      <c r="V712" t="str">
        <f t="shared" si="11"/>
        <v>UnderPerforming</v>
      </c>
      <c r="W712" s="3">
        <v>45962</v>
      </c>
    </row>
    <row r="713" spans="1:23">
      <c r="A713" t="s">
        <v>506</v>
      </c>
      <c r="B713" s="3">
        <v>46156</v>
      </c>
      <c r="C713" t="s">
        <v>30</v>
      </c>
      <c r="D713" t="str">
        <f>INDEX(Raw_product_master[Category],MATCH(Cleaned_Sales_data[[#This Row],[Product]],Raw_product_master[Product],0))</f>
        <v>Displays</v>
      </c>
      <c r="E713" t="s">
        <v>51</v>
      </c>
      <c r="F713" t="s">
        <v>38</v>
      </c>
      <c r="G713" t="s">
        <v>21</v>
      </c>
      <c r="H713">
        <v>3</v>
      </c>
      <c r="I713">
        <v>28000</v>
      </c>
      <c r="J713" s="10">
        <v>0.1</v>
      </c>
      <c r="K713">
        <v>84000</v>
      </c>
      <c r="L713">
        <v>75600</v>
      </c>
      <c r="M713">
        <v>65520</v>
      </c>
      <c r="N713">
        <v>1145</v>
      </c>
      <c r="O713">
        <v>1477</v>
      </c>
      <c r="P713">
        <f>INDEX(Raw_product_master[Standard_Cost_Per_Unit],MATCH(Cleaned_Sales_data[[#This Row],[Product]],Raw_product_master[Product],0))</f>
        <v>21840</v>
      </c>
      <c r="Q713">
        <v>7458</v>
      </c>
      <c r="R713" s="11">
        <v>9.86507936507936E-2</v>
      </c>
      <c r="S713" s="11">
        <f>INDEX(Raw_product_master[Target_Margin], MATCH(Cleaned_Sales_data[[#This Row],[Product]],Raw_product_master[Product], 0 ))</f>
        <v>0.18</v>
      </c>
      <c r="T713" t="str">
        <f>IF(Cleaned_Sales_data[[#This Row],[Profit]]&gt;0, "Profitable", "Loss")</f>
        <v>Profitable</v>
      </c>
      <c r="U713" t="str">
        <f>_xlfn.IFS(Cleaned_Sales_data[[#This Row],[Profit]]&gt;=10000, "High", Cleaned_Sales_data[[#This Row],[Profit]]&gt;=5000, "Medium", Cleaned_Sales_data[[#This Row],[Profit]]&gt;=0, "Low", Cleaned_Sales_data[[#This Row],[Profit]] &lt;0, "Loss")</f>
        <v>Medium</v>
      </c>
      <c r="V713" t="str">
        <f t="shared" si="11"/>
        <v>UnderPerforming</v>
      </c>
      <c r="W713" s="3">
        <v>46143</v>
      </c>
    </row>
    <row r="714" spans="1:23">
      <c r="A714" t="s">
        <v>508</v>
      </c>
      <c r="B714" s="3">
        <v>45971</v>
      </c>
      <c r="C714" t="s">
        <v>75</v>
      </c>
      <c r="D714" t="str">
        <f>INDEX(Raw_product_master[Category],MATCH(Cleaned_Sales_data[[#This Row],[Product]],Raw_product_master[Product],0))</f>
        <v>Computers</v>
      </c>
      <c r="E714" t="s">
        <v>63</v>
      </c>
      <c r="F714" t="s">
        <v>38</v>
      </c>
      <c r="G714" t="s">
        <v>21</v>
      </c>
      <c r="H714">
        <v>3</v>
      </c>
      <c r="I714">
        <v>65000</v>
      </c>
      <c r="J714" s="10">
        <v>0</v>
      </c>
      <c r="K714">
        <v>195000</v>
      </c>
      <c r="L714">
        <v>195000</v>
      </c>
      <c r="M714">
        <v>163800</v>
      </c>
      <c r="N714">
        <v>504</v>
      </c>
      <c r="O714">
        <v>1130</v>
      </c>
      <c r="P714">
        <f>INDEX(Raw_product_master[Standard_Cost_Per_Unit],MATCH(Cleaned_Sales_data[[#This Row],[Product]],Raw_product_master[Product],0))</f>
        <v>54600</v>
      </c>
      <c r="Q714">
        <v>29566</v>
      </c>
      <c r="R714" s="11">
        <v>0.151620512820513</v>
      </c>
      <c r="S714" s="11">
        <f>INDEX(Raw_product_master[Target_Margin], MATCH(Cleaned_Sales_data[[#This Row],[Product]],Raw_product_master[Product], 0 ))</f>
        <v>0.12</v>
      </c>
      <c r="T714" t="str">
        <f>IF(Cleaned_Sales_data[[#This Row],[Profit]]&gt;0, "Profitable", "Loss")</f>
        <v>Profitable</v>
      </c>
      <c r="U714" t="str">
        <f>_xlfn.IFS(Cleaned_Sales_data[[#This Row],[Profit]]&gt;=10000, "High", Cleaned_Sales_data[[#This Row],[Profit]]&gt;=5000, "Medium", Cleaned_Sales_data[[#This Row],[Profit]]&gt;=0, "Low", Cleaned_Sales_data[[#This Row],[Profit]] &lt;0, "Loss")</f>
        <v>High</v>
      </c>
      <c r="V714" t="str">
        <f t="shared" si="11"/>
        <v>On Target</v>
      </c>
      <c r="W714" s="3">
        <v>45962</v>
      </c>
    </row>
    <row r="715" spans="1:23">
      <c r="A715" t="s">
        <v>527</v>
      </c>
      <c r="B715" s="3">
        <v>45915</v>
      </c>
      <c r="C715" t="s">
        <v>24</v>
      </c>
      <c r="D715" t="str">
        <f>INDEX(Raw_product_master[Category],MATCH(Cleaned_Sales_data[[#This Row],[Product]],Raw_product_master[Product],0))</f>
        <v>Accessories</v>
      </c>
      <c r="E715" t="s">
        <v>19</v>
      </c>
      <c r="F715" t="s">
        <v>38</v>
      </c>
      <c r="G715" t="s">
        <v>21</v>
      </c>
      <c r="H715">
        <v>7</v>
      </c>
      <c r="I715">
        <v>3500</v>
      </c>
      <c r="J715" s="10">
        <v>0.2</v>
      </c>
      <c r="K715">
        <v>24500</v>
      </c>
      <c r="L715">
        <v>19600</v>
      </c>
      <c r="M715">
        <v>16660</v>
      </c>
      <c r="N715">
        <v>429</v>
      </c>
      <c r="O715">
        <v>2037</v>
      </c>
      <c r="P715">
        <f>INDEX(Raw_product_master[Standard_Cost_Per_Unit],MATCH(Cleaned_Sales_data[[#This Row],[Product]],Raw_product_master[Product],0))</f>
        <v>2380</v>
      </c>
      <c r="Q715">
        <v>474</v>
      </c>
      <c r="R715" s="11">
        <v>2.4183673469387799E-2</v>
      </c>
      <c r="S715" s="11">
        <f>INDEX(Raw_product_master[Target_Margin], MATCH(Cleaned_Sales_data[[#This Row],[Product]],Raw_product_master[Product], 0 ))</f>
        <v>0.2</v>
      </c>
      <c r="T715" t="str">
        <f>IF(Cleaned_Sales_data[[#This Row],[Profit]]&gt;0, "Profitable", "Loss")</f>
        <v>Profitable</v>
      </c>
      <c r="U715" t="str">
        <f>_xlfn.IFS(Cleaned_Sales_data[[#This Row],[Profit]]&gt;=10000, "High", Cleaned_Sales_data[[#This Row],[Profit]]&gt;=5000, "Medium", Cleaned_Sales_data[[#This Row],[Profit]]&gt;=0, "Low", Cleaned_Sales_data[[#This Row],[Profit]] &lt;0, "Loss")</f>
        <v>Low</v>
      </c>
      <c r="V715" t="str">
        <f t="shared" si="11"/>
        <v>UnderPerforming</v>
      </c>
      <c r="W715" s="3">
        <v>45901</v>
      </c>
    </row>
    <row r="716" spans="1:23">
      <c r="A716" t="s">
        <v>528</v>
      </c>
      <c r="B716" s="3">
        <v>45748</v>
      </c>
      <c r="C716" t="s">
        <v>61</v>
      </c>
      <c r="D716" t="str">
        <f>INDEX(Raw_product_master[Category],MATCH(Cleaned_Sales_data[[#This Row],[Product]],Raw_product_master[Product],0))</f>
        <v>Accessories</v>
      </c>
      <c r="E716" t="s">
        <v>51</v>
      </c>
      <c r="F716" t="s">
        <v>38</v>
      </c>
      <c r="G716" t="s">
        <v>27</v>
      </c>
      <c r="H716">
        <v>3</v>
      </c>
      <c r="I716">
        <v>4500</v>
      </c>
      <c r="J716" s="10">
        <v>0.2</v>
      </c>
      <c r="K716">
        <v>13500</v>
      </c>
      <c r="L716">
        <v>10800</v>
      </c>
      <c r="M716">
        <v>8775</v>
      </c>
      <c r="N716">
        <v>498</v>
      </c>
      <c r="O716">
        <v>1056</v>
      </c>
      <c r="P716">
        <f>INDEX(Raw_product_master[Standard_Cost_Per_Unit],MATCH(Cleaned_Sales_data[[#This Row],[Product]],Raw_product_master[Product],0))</f>
        <v>2925</v>
      </c>
      <c r="Q716">
        <v>471</v>
      </c>
      <c r="R716" s="11">
        <v>4.3611111111111101E-2</v>
      </c>
      <c r="S716" s="11">
        <f>INDEX(Raw_product_master[Target_Margin], MATCH(Cleaned_Sales_data[[#This Row],[Product]],Raw_product_master[Product], 0 ))</f>
        <v>0.22</v>
      </c>
      <c r="T716" t="str">
        <f>IF(Cleaned_Sales_data[[#This Row],[Profit]]&gt;0, "Profitable", "Loss")</f>
        <v>Profitable</v>
      </c>
      <c r="U716" t="str">
        <f>_xlfn.IFS(Cleaned_Sales_data[[#This Row],[Profit]]&gt;=10000, "High", Cleaned_Sales_data[[#This Row],[Profit]]&gt;=5000, "Medium", Cleaned_Sales_data[[#This Row],[Profit]]&gt;=0, "Low", Cleaned_Sales_data[[#This Row],[Profit]] &lt;0, "Loss")</f>
        <v>Low</v>
      </c>
      <c r="V716" t="str">
        <f t="shared" si="11"/>
        <v>UnderPerforming</v>
      </c>
      <c r="W716" s="3">
        <v>45748</v>
      </c>
    </row>
    <row r="717" spans="1:23">
      <c r="A717" t="s">
        <v>530</v>
      </c>
      <c r="B717" s="3">
        <v>46072</v>
      </c>
      <c r="C717" t="s">
        <v>61</v>
      </c>
      <c r="D717" t="str">
        <f>INDEX(Raw_product_master[Category],MATCH(Cleaned_Sales_data[[#This Row],[Product]],Raw_product_master[Product],0))</f>
        <v>Accessories</v>
      </c>
      <c r="E717" t="s">
        <v>34</v>
      </c>
      <c r="F717" t="s">
        <v>38</v>
      </c>
      <c r="G717" t="s">
        <v>21</v>
      </c>
      <c r="H717">
        <v>7</v>
      </c>
      <c r="I717">
        <v>4500</v>
      </c>
      <c r="J717" s="10">
        <v>0</v>
      </c>
      <c r="K717">
        <v>31500</v>
      </c>
      <c r="L717">
        <v>31500</v>
      </c>
      <c r="M717">
        <v>20475</v>
      </c>
      <c r="N717">
        <v>700</v>
      </c>
      <c r="O717">
        <v>265</v>
      </c>
      <c r="P717">
        <f>INDEX(Raw_product_master[Standard_Cost_Per_Unit],MATCH(Cleaned_Sales_data[[#This Row],[Product]],Raw_product_master[Product],0))</f>
        <v>2925</v>
      </c>
      <c r="Q717">
        <v>10060</v>
      </c>
      <c r="R717" s="11">
        <v>0.31936507936507902</v>
      </c>
      <c r="S717" s="11">
        <f>INDEX(Raw_product_master[Target_Margin], MATCH(Cleaned_Sales_data[[#This Row],[Product]],Raw_product_master[Product], 0 ))</f>
        <v>0.22</v>
      </c>
      <c r="T717" t="str">
        <f>IF(Cleaned_Sales_data[[#This Row],[Profit]]&gt;0, "Profitable", "Loss")</f>
        <v>Profitable</v>
      </c>
      <c r="U717" t="str">
        <f>_xlfn.IFS(Cleaned_Sales_data[[#This Row],[Profit]]&gt;=10000, "High", Cleaned_Sales_data[[#This Row],[Profit]]&gt;=5000, "Medium", Cleaned_Sales_data[[#This Row],[Profit]]&gt;=0, "Low", Cleaned_Sales_data[[#This Row],[Profit]] &lt;0, "Loss")</f>
        <v>High</v>
      </c>
      <c r="V717" t="str">
        <f t="shared" si="11"/>
        <v>On Target</v>
      </c>
      <c r="W717" s="3">
        <v>46054</v>
      </c>
    </row>
    <row r="718" spans="1:23">
      <c r="A718" t="s">
        <v>531</v>
      </c>
      <c r="B718" s="3">
        <v>45865</v>
      </c>
      <c r="C718" t="s">
        <v>53</v>
      </c>
      <c r="D718" t="str">
        <f>INDEX(Raw_product_master[Category],MATCH(Cleaned_Sales_data[[#This Row],[Product]],Raw_product_master[Product],0))</f>
        <v>Accessories</v>
      </c>
      <c r="E718" t="s">
        <v>51</v>
      </c>
      <c r="F718" t="s">
        <v>38</v>
      </c>
      <c r="G718" t="s">
        <v>21</v>
      </c>
      <c r="H718">
        <v>7</v>
      </c>
      <c r="I718">
        <v>1500</v>
      </c>
      <c r="J718" s="10">
        <v>0.1</v>
      </c>
      <c r="K718">
        <v>10500</v>
      </c>
      <c r="L718">
        <v>9450</v>
      </c>
      <c r="M718">
        <v>5775</v>
      </c>
      <c r="N718">
        <v>1458</v>
      </c>
      <c r="O718">
        <v>614</v>
      </c>
      <c r="P718">
        <f>INDEX(Raw_product_master[Standard_Cost_Per_Unit],MATCH(Cleaned_Sales_data[[#This Row],[Product]],Raw_product_master[Product],0))</f>
        <v>825</v>
      </c>
      <c r="Q718">
        <v>1603</v>
      </c>
      <c r="R718" s="11">
        <v>0.16962962962962999</v>
      </c>
      <c r="S718" s="11">
        <f>INDEX(Raw_product_master[Target_Margin], MATCH(Cleaned_Sales_data[[#This Row],[Product]],Raw_product_master[Product], 0 ))</f>
        <v>0.3</v>
      </c>
      <c r="T718" t="str">
        <f>IF(Cleaned_Sales_data[[#This Row],[Profit]]&gt;0, "Profitable", "Loss")</f>
        <v>Profitable</v>
      </c>
      <c r="U718" t="str">
        <f>_xlfn.IFS(Cleaned_Sales_data[[#This Row],[Profit]]&gt;=10000, "High", Cleaned_Sales_data[[#This Row],[Profit]]&gt;=5000, "Medium", Cleaned_Sales_data[[#This Row],[Profit]]&gt;=0, "Low", Cleaned_Sales_data[[#This Row],[Profit]] &lt;0, "Loss")</f>
        <v>Low</v>
      </c>
      <c r="V718" t="str">
        <f t="shared" si="11"/>
        <v>UnderPerforming</v>
      </c>
      <c r="W718" s="3">
        <v>45839</v>
      </c>
    </row>
    <row r="719" spans="1:23">
      <c r="A719" t="s">
        <v>540</v>
      </c>
      <c r="B719" s="3">
        <v>45812</v>
      </c>
      <c r="C719" t="s">
        <v>50</v>
      </c>
      <c r="D719" t="str">
        <f>INDEX(Raw_product_master[Category],MATCH(Cleaned_Sales_data[[#This Row],[Product]],Raw_product_master[Product],0))</f>
        <v>Accessories</v>
      </c>
      <c r="E719" t="s">
        <v>51</v>
      </c>
      <c r="F719" t="s">
        <v>38</v>
      </c>
      <c r="G719" t="s">
        <v>27</v>
      </c>
      <c r="H719">
        <v>7</v>
      </c>
      <c r="I719">
        <v>2500</v>
      </c>
      <c r="J719" s="10">
        <v>0.08</v>
      </c>
      <c r="K719">
        <v>17500</v>
      </c>
      <c r="L719">
        <v>16100</v>
      </c>
      <c r="M719">
        <v>10850</v>
      </c>
      <c r="N719">
        <v>1154</v>
      </c>
      <c r="O719">
        <v>1362</v>
      </c>
      <c r="P719">
        <f>INDEX(Raw_product_master[Standard_Cost_Per_Unit],MATCH(Cleaned_Sales_data[[#This Row],[Product]],Raw_product_master[Product],0))</f>
        <v>1550</v>
      </c>
      <c r="Q719">
        <v>2734</v>
      </c>
      <c r="R719" s="11">
        <v>0.16981366459627301</v>
      </c>
      <c r="S719" s="11">
        <f>INDEX(Raw_product_master[Target_Margin], MATCH(Cleaned_Sales_data[[#This Row],[Product]],Raw_product_master[Product], 0 ))</f>
        <v>0.25</v>
      </c>
      <c r="T719" t="str">
        <f>IF(Cleaned_Sales_data[[#This Row],[Profit]]&gt;0, "Profitable", "Loss")</f>
        <v>Profitable</v>
      </c>
      <c r="U719" t="str">
        <f>_xlfn.IFS(Cleaned_Sales_data[[#This Row],[Profit]]&gt;=10000, "High", Cleaned_Sales_data[[#This Row],[Profit]]&gt;=5000, "Medium", Cleaned_Sales_data[[#This Row],[Profit]]&gt;=0, "Low", Cleaned_Sales_data[[#This Row],[Profit]] &lt;0, "Loss")</f>
        <v>Low</v>
      </c>
      <c r="V719" t="str">
        <f t="shared" si="11"/>
        <v>UnderPerforming</v>
      </c>
      <c r="W719" s="3">
        <v>45809</v>
      </c>
    </row>
    <row r="720" spans="1:23">
      <c r="A720" t="s">
        <v>544</v>
      </c>
      <c r="B720" s="3">
        <v>46142</v>
      </c>
      <c r="C720" t="s">
        <v>30</v>
      </c>
      <c r="D720" t="str">
        <f>INDEX(Raw_product_master[Category],MATCH(Cleaned_Sales_data[[#This Row],[Product]],Raw_product_master[Product],0))</f>
        <v>Displays</v>
      </c>
      <c r="E720" t="s">
        <v>31</v>
      </c>
      <c r="F720" t="s">
        <v>38</v>
      </c>
      <c r="G720" t="s">
        <v>21</v>
      </c>
      <c r="H720">
        <v>2</v>
      </c>
      <c r="I720">
        <v>28000</v>
      </c>
      <c r="J720" s="10">
        <v>0.15</v>
      </c>
      <c r="K720">
        <v>56000</v>
      </c>
      <c r="L720">
        <v>47600</v>
      </c>
      <c r="M720">
        <v>43680</v>
      </c>
      <c r="N720">
        <v>1127</v>
      </c>
      <c r="O720">
        <v>663</v>
      </c>
      <c r="P720">
        <f>INDEX(Raw_product_master[Standard_Cost_Per_Unit],MATCH(Cleaned_Sales_data[[#This Row],[Product]],Raw_product_master[Product],0))</f>
        <v>21840</v>
      </c>
      <c r="Q720">
        <v>2130</v>
      </c>
      <c r="R720" s="11">
        <v>4.4747899159663901E-2</v>
      </c>
      <c r="S720" s="11">
        <f>INDEX(Raw_product_master[Target_Margin], MATCH(Cleaned_Sales_data[[#This Row],[Product]],Raw_product_master[Product], 0 ))</f>
        <v>0.18</v>
      </c>
      <c r="T720" t="str">
        <f>IF(Cleaned_Sales_data[[#This Row],[Profit]]&gt;0, "Profitable", "Loss")</f>
        <v>Profitable</v>
      </c>
      <c r="U720" t="str">
        <f>_xlfn.IFS(Cleaned_Sales_data[[#This Row],[Profit]]&gt;=10000, "High", Cleaned_Sales_data[[#This Row],[Profit]]&gt;=5000, "Medium", Cleaned_Sales_data[[#This Row],[Profit]]&gt;=0, "Low", Cleaned_Sales_data[[#This Row],[Profit]] &lt;0, "Loss")</f>
        <v>Low</v>
      </c>
      <c r="V720" t="str">
        <f t="shared" si="11"/>
        <v>UnderPerforming</v>
      </c>
      <c r="W720" s="3">
        <v>46113</v>
      </c>
    </row>
    <row r="721" spans="1:23">
      <c r="A721" t="s">
        <v>553</v>
      </c>
      <c r="B721" s="3">
        <v>46145</v>
      </c>
      <c r="C721" t="s">
        <v>18</v>
      </c>
      <c r="D721" t="str">
        <f>INDEX(Raw_product_master[Category],MATCH(Cleaned_Sales_data[[#This Row],[Product]],Raw_product_master[Product],0))</f>
        <v>Computers</v>
      </c>
      <c r="E721" t="s">
        <v>51</v>
      </c>
      <c r="F721" t="s">
        <v>38</v>
      </c>
      <c r="G721" t="s">
        <v>21</v>
      </c>
      <c r="H721">
        <v>3</v>
      </c>
      <c r="I721">
        <v>32000</v>
      </c>
      <c r="J721" s="10">
        <v>0.05</v>
      </c>
      <c r="K721">
        <v>96000</v>
      </c>
      <c r="L721">
        <v>91200</v>
      </c>
      <c r="M721">
        <v>78720</v>
      </c>
      <c r="N721">
        <v>544</v>
      </c>
      <c r="O721">
        <v>2371</v>
      </c>
      <c r="P721">
        <f>INDEX(Raw_product_master[Standard_Cost_Per_Unit],MATCH(Cleaned_Sales_data[[#This Row],[Product]],Raw_product_master[Product],0))</f>
        <v>26240</v>
      </c>
      <c r="Q721">
        <v>9565</v>
      </c>
      <c r="R721" s="11">
        <v>0.104879385964912</v>
      </c>
      <c r="S721" s="11">
        <f>INDEX(Raw_product_master[Target_Margin], MATCH(Cleaned_Sales_data[[#This Row],[Product]],Raw_product_master[Product], 0 ))</f>
        <v>0.12</v>
      </c>
      <c r="T721" t="str">
        <f>IF(Cleaned_Sales_data[[#This Row],[Profit]]&gt;0, "Profitable", "Loss")</f>
        <v>Profitable</v>
      </c>
      <c r="U721" t="str">
        <f>_xlfn.IFS(Cleaned_Sales_data[[#This Row],[Profit]]&gt;=10000, "High", Cleaned_Sales_data[[#This Row],[Profit]]&gt;=5000, "Medium", Cleaned_Sales_data[[#This Row],[Profit]]&gt;=0, "Low", Cleaned_Sales_data[[#This Row],[Profit]] &lt;0, "Loss")</f>
        <v>Medium</v>
      </c>
      <c r="V721" t="str">
        <f t="shared" si="11"/>
        <v>UnderPerforming</v>
      </c>
      <c r="W721" s="3">
        <v>46143</v>
      </c>
    </row>
    <row r="722" spans="1:23">
      <c r="A722" t="s">
        <v>575</v>
      </c>
      <c r="B722" s="3">
        <v>45819</v>
      </c>
      <c r="C722" t="s">
        <v>18</v>
      </c>
      <c r="D722" t="str">
        <f>INDEX(Raw_product_master[Category],MATCH(Cleaned_Sales_data[[#This Row],[Product]],Raw_product_master[Product],0))</f>
        <v>Computers</v>
      </c>
      <c r="E722" t="s">
        <v>25</v>
      </c>
      <c r="F722" t="s">
        <v>38</v>
      </c>
      <c r="G722" t="s">
        <v>27</v>
      </c>
      <c r="H722">
        <v>3</v>
      </c>
      <c r="I722">
        <v>32000</v>
      </c>
      <c r="J722" s="10">
        <v>0.03</v>
      </c>
      <c r="K722">
        <v>96000</v>
      </c>
      <c r="L722">
        <v>93120</v>
      </c>
      <c r="M722">
        <v>78720</v>
      </c>
      <c r="N722">
        <v>1779</v>
      </c>
      <c r="O722">
        <v>1810</v>
      </c>
      <c r="P722">
        <f>INDEX(Raw_product_master[Standard_Cost_Per_Unit],MATCH(Cleaned_Sales_data[[#This Row],[Product]],Raw_product_master[Product],0))</f>
        <v>26240</v>
      </c>
      <c r="Q722">
        <v>10811</v>
      </c>
      <c r="R722" s="11">
        <v>0.116097508591065</v>
      </c>
      <c r="S722" s="11">
        <f>INDEX(Raw_product_master[Target_Margin], MATCH(Cleaned_Sales_data[[#This Row],[Product]],Raw_product_master[Product], 0 ))</f>
        <v>0.12</v>
      </c>
      <c r="T722" t="str">
        <f>IF(Cleaned_Sales_data[[#This Row],[Profit]]&gt;0, "Profitable", "Loss")</f>
        <v>Profitable</v>
      </c>
      <c r="U722" t="str">
        <f>_xlfn.IFS(Cleaned_Sales_data[[#This Row],[Profit]]&gt;=10000, "High", Cleaned_Sales_data[[#This Row],[Profit]]&gt;=5000, "Medium", Cleaned_Sales_data[[#This Row],[Profit]]&gt;=0, "Low", Cleaned_Sales_data[[#This Row],[Profit]] &lt;0, "Loss")</f>
        <v>High</v>
      </c>
      <c r="V722" t="str">
        <f t="shared" si="11"/>
        <v>UnderPerforming</v>
      </c>
      <c r="W722" s="3">
        <v>45809</v>
      </c>
    </row>
    <row r="723" spans="1:23">
      <c r="A723" t="s">
        <v>582</v>
      </c>
      <c r="B723" s="3">
        <v>46102</v>
      </c>
      <c r="C723" t="s">
        <v>50</v>
      </c>
      <c r="D723" t="str">
        <f>INDEX(Raw_product_master[Category],MATCH(Cleaned_Sales_data[[#This Row],[Product]],Raw_product_master[Product],0))</f>
        <v>Accessories</v>
      </c>
      <c r="E723" t="s">
        <v>51</v>
      </c>
      <c r="F723" t="s">
        <v>38</v>
      </c>
      <c r="G723" t="s">
        <v>27</v>
      </c>
      <c r="H723">
        <v>4</v>
      </c>
      <c r="I723">
        <v>2500</v>
      </c>
      <c r="J723" s="10">
        <v>0.03</v>
      </c>
      <c r="K723">
        <v>10000</v>
      </c>
      <c r="L723">
        <v>9700</v>
      </c>
      <c r="M723">
        <v>6200</v>
      </c>
      <c r="N723">
        <v>916</v>
      </c>
      <c r="O723">
        <v>990</v>
      </c>
      <c r="P723">
        <f>INDEX(Raw_product_master[Standard_Cost_Per_Unit],MATCH(Cleaned_Sales_data[[#This Row],[Product]],Raw_product_master[Product],0))</f>
        <v>1550</v>
      </c>
      <c r="Q723">
        <v>1594</v>
      </c>
      <c r="R723" s="11">
        <v>0.164329896907216</v>
      </c>
      <c r="S723" s="11">
        <f>INDEX(Raw_product_master[Target_Margin], MATCH(Cleaned_Sales_data[[#This Row],[Product]],Raw_product_master[Product], 0 ))</f>
        <v>0.25</v>
      </c>
      <c r="T723" t="str">
        <f>IF(Cleaned_Sales_data[[#This Row],[Profit]]&gt;0, "Profitable", "Loss")</f>
        <v>Profitable</v>
      </c>
      <c r="U723" t="str">
        <f>_xlfn.IFS(Cleaned_Sales_data[[#This Row],[Profit]]&gt;=10000, "High", Cleaned_Sales_data[[#This Row],[Profit]]&gt;=5000, "Medium", Cleaned_Sales_data[[#This Row],[Profit]]&gt;=0, "Low", Cleaned_Sales_data[[#This Row],[Profit]] &lt;0, "Loss")</f>
        <v>Low</v>
      </c>
      <c r="V723" t="str">
        <f t="shared" si="11"/>
        <v>UnderPerforming</v>
      </c>
      <c r="W723" s="3">
        <v>46082</v>
      </c>
    </row>
    <row r="724" spans="1:23">
      <c r="A724" t="s">
        <v>607</v>
      </c>
      <c r="B724" s="3">
        <v>46122</v>
      </c>
      <c r="C724" t="s">
        <v>24</v>
      </c>
      <c r="D724" t="str">
        <f>INDEX(Raw_product_master[Category],MATCH(Cleaned_Sales_data[[#This Row],[Product]],Raw_product_master[Product],0))</f>
        <v>Accessories</v>
      </c>
      <c r="E724" t="s">
        <v>31</v>
      </c>
      <c r="F724" t="s">
        <v>38</v>
      </c>
      <c r="G724" t="s">
        <v>27</v>
      </c>
      <c r="H724">
        <v>6</v>
      </c>
      <c r="I724">
        <v>3500</v>
      </c>
      <c r="J724" s="10">
        <v>0.03</v>
      </c>
      <c r="K724">
        <v>21000</v>
      </c>
      <c r="L724">
        <v>20370</v>
      </c>
      <c r="M724">
        <v>14280</v>
      </c>
      <c r="N724">
        <v>1286</v>
      </c>
      <c r="O724">
        <v>352</v>
      </c>
      <c r="P724">
        <f>INDEX(Raw_product_master[Standard_Cost_Per_Unit],MATCH(Cleaned_Sales_data[[#This Row],[Product]],Raw_product_master[Product],0))</f>
        <v>2380</v>
      </c>
      <c r="Q724">
        <v>4452</v>
      </c>
      <c r="R724" s="11">
        <v>0.218556701030928</v>
      </c>
      <c r="S724" s="11">
        <f>INDEX(Raw_product_master[Target_Margin], MATCH(Cleaned_Sales_data[[#This Row],[Product]],Raw_product_master[Product], 0 ))</f>
        <v>0.2</v>
      </c>
      <c r="T724" t="str">
        <f>IF(Cleaned_Sales_data[[#This Row],[Profit]]&gt;0, "Profitable", "Loss")</f>
        <v>Profitable</v>
      </c>
      <c r="U724" t="str">
        <f>_xlfn.IFS(Cleaned_Sales_data[[#This Row],[Profit]]&gt;=10000, "High", Cleaned_Sales_data[[#This Row],[Profit]]&gt;=5000, "Medium", Cleaned_Sales_data[[#This Row],[Profit]]&gt;=0, "Low", Cleaned_Sales_data[[#This Row],[Profit]] &lt;0, "Loss")</f>
        <v>Low</v>
      </c>
      <c r="V724" t="str">
        <f t="shared" si="11"/>
        <v>On Target</v>
      </c>
      <c r="W724" s="3">
        <v>46113</v>
      </c>
    </row>
    <row r="725" spans="1:23">
      <c r="A725" t="s">
        <v>622</v>
      </c>
      <c r="B725" s="3">
        <v>46162</v>
      </c>
      <c r="C725" t="s">
        <v>53</v>
      </c>
      <c r="D725" t="str">
        <f>INDEX(Raw_product_master[Category],MATCH(Cleaned_Sales_data[[#This Row],[Product]],Raw_product_master[Product],0))</f>
        <v>Accessories</v>
      </c>
      <c r="E725" t="s">
        <v>25</v>
      </c>
      <c r="F725" t="s">
        <v>38</v>
      </c>
      <c r="G725" t="s">
        <v>21</v>
      </c>
      <c r="H725">
        <v>1</v>
      </c>
      <c r="I725">
        <v>1500</v>
      </c>
      <c r="J725" s="10">
        <v>0.05</v>
      </c>
      <c r="K725">
        <v>1500</v>
      </c>
      <c r="L725">
        <v>1425</v>
      </c>
      <c r="M725">
        <v>825</v>
      </c>
      <c r="N725">
        <v>400</v>
      </c>
      <c r="O725">
        <v>621</v>
      </c>
      <c r="P725">
        <f>INDEX(Raw_product_master[Standard_Cost_Per_Unit],MATCH(Cleaned_Sales_data[[#This Row],[Product]],Raw_product_master[Product],0))</f>
        <v>825</v>
      </c>
      <c r="Q725">
        <v>-421</v>
      </c>
      <c r="R725" s="11">
        <v>-0.295438596491228</v>
      </c>
      <c r="S725" s="11">
        <f>INDEX(Raw_product_master[Target_Margin], MATCH(Cleaned_Sales_data[[#This Row],[Product]],Raw_product_master[Product], 0 ))</f>
        <v>0.3</v>
      </c>
      <c r="T725" t="str">
        <f>IF(Cleaned_Sales_data[[#This Row],[Profit]]&gt;0, "Profitable", "Loss")</f>
        <v>Loss</v>
      </c>
      <c r="U725" t="str">
        <f>_xlfn.IFS(Cleaned_Sales_data[[#This Row],[Profit]]&gt;=10000, "High", Cleaned_Sales_data[[#This Row],[Profit]]&gt;=5000, "Medium", Cleaned_Sales_data[[#This Row],[Profit]]&gt;=0, "Low", Cleaned_Sales_data[[#This Row],[Profit]] &lt;0, "Loss")</f>
        <v>Loss</v>
      </c>
      <c r="V725" t="str">
        <f t="shared" si="11"/>
        <v>UnderPerforming</v>
      </c>
      <c r="W725" s="3">
        <v>46143</v>
      </c>
    </row>
    <row r="726" spans="1:23">
      <c r="A726" t="s">
        <v>626</v>
      </c>
      <c r="B726" s="3">
        <v>45753</v>
      </c>
      <c r="C726" t="s">
        <v>61</v>
      </c>
      <c r="D726" t="str">
        <f>INDEX(Raw_product_master[Category],MATCH(Cleaned_Sales_data[[#This Row],[Product]],Raw_product_master[Product],0))</f>
        <v>Accessories</v>
      </c>
      <c r="E726" t="s">
        <v>63</v>
      </c>
      <c r="F726" t="s">
        <v>38</v>
      </c>
      <c r="G726" t="s">
        <v>21</v>
      </c>
      <c r="H726">
        <v>7</v>
      </c>
      <c r="I726">
        <v>4500</v>
      </c>
      <c r="J726" s="10">
        <v>0.1</v>
      </c>
      <c r="K726">
        <v>31500</v>
      </c>
      <c r="L726">
        <v>28350</v>
      </c>
      <c r="M726">
        <v>20475</v>
      </c>
      <c r="N726">
        <v>1579</v>
      </c>
      <c r="O726">
        <v>539</v>
      </c>
      <c r="P726">
        <f>INDEX(Raw_product_master[Standard_Cost_Per_Unit],MATCH(Cleaned_Sales_data[[#This Row],[Product]],Raw_product_master[Product],0))</f>
        <v>2925</v>
      </c>
      <c r="Q726">
        <v>5757</v>
      </c>
      <c r="R726" s="11">
        <v>0.20306878306878301</v>
      </c>
      <c r="S726" s="11">
        <f>INDEX(Raw_product_master[Target_Margin], MATCH(Cleaned_Sales_data[[#This Row],[Product]],Raw_product_master[Product], 0 ))</f>
        <v>0.22</v>
      </c>
      <c r="T726" t="str">
        <f>IF(Cleaned_Sales_data[[#This Row],[Profit]]&gt;0, "Profitable", "Loss")</f>
        <v>Profitable</v>
      </c>
      <c r="U726" t="str">
        <f>_xlfn.IFS(Cleaned_Sales_data[[#This Row],[Profit]]&gt;=10000, "High", Cleaned_Sales_data[[#This Row],[Profit]]&gt;=5000, "Medium", Cleaned_Sales_data[[#This Row],[Profit]]&gt;=0, "Low", Cleaned_Sales_data[[#This Row],[Profit]] &lt;0, "Loss")</f>
        <v>Medium</v>
      </c>
      <c r="V726" t="str">
        <f t="shared" si="11"/>
        <v>UnderPerforming</v>
      </c>
      <c r="W726" s="3">
        <v>45748</v>
      </c>
    </row>
    <row r="727" spans="1:23">
      <c r="A727" t="s">
        <v>633</v>
      </c>
      <c r="B727" s="3">
        <v>46185</v>
      </c>
      <c r="C727" t="s">
        <v>50</v>
      </c>
      <c r="D727" t="str">
        <f>INDEX(Raw_product_master[Category],MATCH(Cleaned_Sales_data[[#This Row],[Product]],Raw_product_master[Product],0))</f>
        <v>Accessories</v>
      </c>
      <c r="E727" t="s">
        <v>19</v>
      </c>
      <c r="F727" t="s">
        <v>38</v>
      </c>
      <c r="G727" t="s">
        <v>21</v>
      </c>
      <c r="H727">
        <v>7</v>
      </c>
      <c r="I727">
        <v>2500</v>
      </c>
      <c r="J727" s="10">
        <v>0.2</v>
      </c>
      <c r="K727">
        <v>17500</v>
      </c>
      <c r="L727">
        <v>14000</v>
      </c>
      <c r="M727">
        <v>10850</v>
      </c>
      <c r="N727">
        <v>1567</v>
      </c>
      <c r="O727">
        <v>2201</v>
      </c>
      <c r="P727">
        <f>INDEX(Raw_product_master[Standard_Cost_Per_Unit],MATCH(Cleaned_Sales_data[[#This Row],[Product]],Raw_product_master[Product],0))</f>
        <v>1550</v>
      </c>
      <c r="Q727">
        <v>-618</v>
      </c>
      <c r="R727" s="11">
        <v>-4.4142857142857102E-2</v>
      </c>
      <c r="S727" s="11">
        <f>INDEX(Raw_product_master[Target_Margin], MATCH(Cleaned_Sales_data[[#This Row],[Product]],Raw_product_master[Product], 0 ))</f>
        <v>0.25</v>
      </c>
      <c r="T727" t="str">
        <f>IF(Cleaned_Sales_data[[#This Row],[Profit]]&gt;0, "Profitable", "Loss")</f>
        <v>Loss</v>
      </c>
      <c r="U727" t="str">
        <f>_xlfn.IFS(Cleaned_Sales_data[[#This Row],[Profit]]&gt;=10000, "High", Cleaned_Sales_data[[#This Row],[Profit]]&gt;=5000, "Medium", Cleaned_Sales_data[[#This Row],[Profit]]&gt;=0, "Low", Cleaned_Sales_data[[#This Row],[Profit]] &lt;0, "Loss")</f>
        <v>Loss</v>
      </c>
      <c r="V727" t="str">
        <f t="shared" si="11"/>
        <v>UnderPerforming</v>
      </c>
      <c r="W727" s="3">
        <v>46174</v>
      </c>
    </row>
    <row r="728" spans="1:23">
      <c r="A728" t="s">
        <v>638</v>
      </c>
      <c r="B728" s="3">
        <v>46097</v>
      </c>
      <c r="C728" t="s">
        <v>18</v>
      </c>
      <c r="D728" t="str">
        <f>INDEX(Raw_product_master[Category],MATCH(Cleaned_Sales_data[[#This Row],[Product]],Raw_product_master[Product],0))</f>
        <v>Computers</v>
      </c>
      <c r="E728" t="s">
        <v>19</v>
      </c>
      <c r="F728" t="s">
        <v>38</v>
      </c>
      <c r="G728" t="s">
        <v>27</v>
      </c>
      <c r="H728">
        <v>3</v>
      </c>
      <c r="I728">
        <v>32000</v>
      </c>
      <c r="J728" s="10">
        <v>0.05</v>
      </c>
      <c r="K728">
        <v>96000</v>
      </c>
      <c r="L728">
        <v>91200</v>
      </c>
      <c r="M728">
        <v>78720</v>
      </c>
      <c r="N728">
        <v>336</v>
      </c>
      <c r="O728">
        <v>1143</v>
      </c>
      <c r="P728">
        <f>INDEX(Raw_product_master[Standard_Cost_Per_Unit],MATCH(Cleaned_Sales_data[[#This Row],[Product]],Raw_product_master[Product],0))</f>
        <v>26240</v>
      </c>
      <c r="Q728">
        <v>11001</v>
      </c>
      <c r="R728" s="11">
        <v>0.120625</v>
      </c>
      <c r="S728" s="11">
        <f>INDEX(Raw_product_master[Target_Margin], MATCH(Cleaned_Sales_data[[#This Row],[Product]],Raw_product_master[Product], 0 ))</f>
        <v>0.12</v>
      </c>
      <c r="T728" t="str">
        <f>IF(Cleaned_Sales_data[[#This Row],[Profit]]&gt;0, "Profitable", "Loss")</f>
        <v>Profitable</v>
      </c>
      <c r="U728" t="str">
        <f>_xlfn.IFS(Cleaned_Sales_data[[#This Row],[Profit]]&gt;=10000, "High", Cleaned_Sales_data[[#This Row],[Profit]]&gt;=5000, "Medium", Cleaned_Sales_data[[#This Row],[Profit]]&gt;=0, "Low", Cleaned_Sales_data[[#This Row],[Profit]] &lt;0, "Loss")</f>
        <v>High</v>
      </c>
      <c r="V728" t="str">
        <f t="shared" si="11"/>
        <v>On Target</v>
      </c>
      <c r="W728" s="3">
        <v>46082</v>
      </c>
    </row>
    <row r="729" spans="1:23">
      <c r="A729" t="s">
        <v>640</v>
      </c>
      <c r="B729" s="3">
        <v>45877</v>
      </c>
      <c r="C729" t="s">
        <v>46</v>
      </c>
      <c r="D729" t="str">
        <f>INDEX(Raw_product_master[Category],MATCH(Cleaned_Sales_data[[#This Row],[Product]],Raw_product_master[Product],0))</f>
        <v>Office Equipment</v>
      </c>
      <c r="E729" t="s">
        <v>63</v>
      </c>
      <c r="F729" t="s">
        <v>38</v>
      </c>
      <c r="G729" t="s">
        <v>21</v>
      </c>
      <c r="H729">
        <v>2</v>
      </c>
      <c r="I729">
        <v>18000</v>
      </c>
      <c r="J729" s="10">
        <v>0.03</v>
      </c>
      <c r="K729">
        <v>36000</v>
      </c>
      <c r="L729">
        <v>34920</v>
      </c>
      <c r="M729">
        <v>28800</v>
      </c>
      <c r="N729">
        <v>941</v>
      </c>
      <c r="O729">
        <v>1492</v>
      </c>
      <c r="P729">
        <f>INDEX(Raw_product_master[Standard_Cost_Per_Unit],MATCH(Cleaned_Sales_data[[#This Row],[Product]],Raw_product_master[Product],0))</f>
        <v>14400</v>
      </c>
      <c r="Q729">
        <v>3687</v>
      </c>
      <c r="R729" s="11">
        <v>0.105584192439862</v>
      </c>
      <c r="S729" s="11">
        <f>INDEX(Raw_product_master[Target_Margin], MATCH(Cleaned_Sales_data[[#This Row],[Product]],Raw_product_master[Product], 0 ))</f>
        <v>0.15</v>
      </c>
      <c r="T729" t="str">
        <f>IF(Cleaned_Sales_data[[#This Row],[Profit]]&gt;0, "Profitable", "Loss")</f>
        <v>Profitable</v>
      </c>
      <c r="U729" t="str">
        <f>_xlfn.IFS(Cleaned_Sales_data[[#This Row],[Profit]]&gt;=10000, "High", Cleaned_Sales_data[[#This Row],[Profit]]&gt;=5000, "Medium", Cleaned_Sales_data[[#This Row],[Profit]]&gt;=0, "Low", Cleaned_Sales_data[[#This Row],[Profit]] &lt;0, "Loss")</f>
        <v>Low</v>
      </c>
      <c r="V729" t="str">
        <f t="shared" si="11"/>
        <v>UnderPerforming</v>
      </c>
      <c r="W729" s="3">
        <v>45870</v>
      </c>
    </row>
    <row r="730" spans="1:23">
      <c r="A730" t="s">
        <v>641</v>
      </c>
      <c r="B730" s="3">
        <v>46016</v>
      </c>
      <c r="C730" t="s">
        <v>53</v>
      </c>
      <c r="D730" t="str">
        <f>INDEX(Raw_product_master[Category],MATCH(Cleaned_Sales_data[[#This Row],[Product]],Raw_product_master[Product],0))</f>
        <v>Accessories</v>
      </c>
      <c r="E730" t="s">
        <v>51</v>
      </c>
      <c r="F730" t="s">
        <v>38</v>
      </c>
      <c r="G730" t="s">
        <v>21</v>
      </c>
      <c r="H730">
        <v>6</v>
      </c>
      <c r="I730">
        <v>1500</v>
      </c>
      <c r="J730" s="10">
        <v>0.15</v>
      </c>
      <c r="K730">
        <v>9000</v>
      </c>
      <c r="L730">
        <v>7650</v>
      </c>
      <c r="M730">
        <v>4950</v>
      </c>
      <c r="N730">
        <v>462</v>
      </c>
      <c r="O730">
        <v>366</v>
      </c>
      <c r="P730">
        <f>INDEX(Raw_product_master[Standard_Cost_Per_Unit],MATCH(Cleaned_Sales_data[[#This Row],[Product]],Raw_product_master[Product],0))</f>
        <v>825</v>
      </c>
      <c r="Q730">
        <v>1872</v>
      </c>
      <c r="R730" s="11">
        <v>0.244705882352941</v>
      </c>
      <c r="S730" s="11">
        <f>INDEX(Raw_product_master[Target_Margin], MATCH(Cleaned_Sales_data[[#This Row],[Product]],Raw_product_master[Product], 0 ))</f>
        <v>0.3</v>
      </c>
      <c r="T730" t="str">
        <f>IF(Cleaned_Sales_data[[#This Row],[Profit]]&gt;0, "Profitable", "Loss")</f>
        <v>Profitable</v>
      </c>
      <c r="U730" t="str">
        <f>_xlfn.IFS(Cleaned_Sales_data[[#This Row],[Profit]]&gt;=10000, "High", Cleaned_Sales_data[[#This Row],[Profit]]&gt;=5000, "Medium", Cleaned_Sales_data[[#This Row],[Profit]]&gt;=0, "Low", Cleaned_Sales_data[[#This Row],[Profit]] &lt;0, "Loss")</f>
        <v>Low</v>
      </c>
      <c r="V730" t="str">
        <f t="shared" si="11"/>
        <v>UnderPerforming</v>
      </c>
      <c r="W730" s="3">
        <v>45992</v>
      </c>
    </row>
    <row r="731" spans="1:23">
      <c r="A731" t="s">
        <v>643</v>
      </c>
      <c r="B731" s="3">
        <v>45917</v>
      </c>
      <c r="C731" t="s">
        <v>24</v>
      </c>
      <c r="D731" t="str">
        <f>INDEX(Raw_product_master[Category],MATCH(Cleaned_Sales_data[[#This Row],[Product]],Raw_product_master[Product],0))</f>
        <v>Accessories</v>
      </c>
      <c r="E731" t="s">
        <v>19</v>
      </c>
      <c r="F731" t="s">
        <v>38</v>
      </c>
      <c r="G731" t="s">
        <v>21</v>
      </c>
      <c r="H731">
        <v>1</v>
      </c>
      <c r="I731">
        <v>3500</v>
      </c>
      <c r="J731" s="10">
        <v>0.1</v>
      </c>
      <c r="K731">
        <v>3500</v>
      </c>
      <c r="L731">
        <v>3150</v>
      </c>
      <c r="M731">
        <v>2380</v>
      </c>
      <c r="N731">
        <v>1789</v>
      </c>
      <c r="O731">
        <v>2263</v>
      </c>
      <c r="P731">
        <f>INDEX(Raw_product_master[Standard_Cost_Per_Unit],MATCH(Cleaned_Sales_data[[#This Row],[Product]],Raw_product_master[Product],0))</f>
        <v>2380</v>
      </c>
      <c r="Q731">
        <v>-3282</v>
      </c>
      <c r="R731" s="11">
        <v>-1.0419047619047599</v>
      </c>
      <c r="S731" s="11">
        <f>INDEX(Raw_product_master[Target_Margin], MATCH(Cleaned_Sales_data[[#This Row],[Product]],Raw_product_master[Product], 0 ))</f>
        <v>0.2</v>
      </c>
      <c r="T731" t="str">
        <f>IF(Cleaned_Sales_data[[#This Row],[Profit]]&gt;0, "Profitable", "Loss")</f>
        <v>Loss</v>
      </c>
      <c r="U731" t="str">
        <f>_xlfn.IFS(Cleaned_Sales_data[[#This Row],[Profit]]&gt;=10000, "High", Cleaned_Sales_data[[#This Row],[Profit]]&gt;=5000, "Medium", Cleaned_Sales_data[[#This Row],[Profit]]&gt;=0, "Low", Cleaned_Sales_data[[#This Row],[Profit]] &lt;0, "Loss")</f>
        <v>Loss</v>
      </c>
      <c r="V731" t="str">
        <f t="shared" si="11"/>
        <v>UnderPerforming</v>
      </c>
      <c r="W731" s="3">
        <v>45901</v>
      </c>
    </row>
    <row r="732" spans="1:23">
      <c r="A732" t="s">
        <v>655</v>
      </c>
      <c r="B732" s="3">
        <v>45690</v>
      </c>
      <c r="C732" t="s">
        <v>50</v>
      </c>
      <c r="D732" t="str">
        <f>INDEX(Raw_product_master[Category],MATCH(Cleaned_Sales_data[[#This Row],[Product]],Raw_product_master[Product],0))</f>
        <v>Accessories</v>
      </c>
      <c r="E732" t="s">
        <v>25</v>
      </c>
      <c r="F732" t="s">
        <v>38</v>
      </c>
      <c r="G732" t="s">
        <v>27</v>
      </c>
      <c r="H732">
        <v>5</v>
      </c>
      <c r="I732">
        <v>2500</v>
      </c>
      <c r="J732" s="10">
        <v>0.05</v>
      </c>
      <c r="K732">
        <v>12500</v>
      </c>
      <c r="L732">
        <v>11875</v>
      </c>
      <c r="M732">
        <v>7750</v>
      </c>
      <c r="N732">
        <v>1580</v>
      </c>
      <c r="O732">
        <v>1665</v>
      </c>
      <c r="P732">
        <f>INDEX(Raw_product_master[Standard_Cost_Per_Unit],MATCH(Cleaned_Sales_data[[#This Row],[Product]],Raw_product_master[Product],0))</f>
        <v>1550</v>
      </c>
      <c r="Q732">
        <v>880</v>
      </c>
      <c r="R732" s="11">
        <v>7.4105263157894799E-2</v>
      </c>
      <c r="S732" s="11">
        <f>INDEX(Raw_product_master[Target_Margin], MATCH(Cleaned_Sales_data[[#This Row],[Product]],Raw_product_master[Product], 0 ))</f>
        <v>0.25</v>
      </c>
      <c r="T732" t="str">
        <f>IF(Cleaned_Sales_data[[#This Row],[Profit]]&gt;0, "Profitable", "Loss")</f>
        <v>Profitable</v>
      </c>
      <c r="U732" t="str">
        <f>_xlfn.IFS(Cleaned_Sales_data[[#This Row],[Profit]]&gt;=10000, "High", Cleaned_Sales_data[[#This Row],[Profit]]&gt;=5000, "Medium", Cleaned_Sales_data[[#This Row],[Profit]]&gt;=0, "Low", Cleaned_Sales_data[[#This Row],[Profit]] &lt;0, "Loss")</f>
        <v>Low</v>
      </c>
      <c r="V732" t="str">
        <f t="shared" si="11"/>
        <v>UnderPerforming</v>
      </c>
      <c r="W732" s="3">
        <v>45689</v>
      </c>
    </row>
    <row r="733" spans="1:23">
      <c r="A733" t="s">
        <v>664</v>
      </c>
      <c r="B733" s="3">
        <v>45883</v>
      </c>
      <c r="C733" t="s">
        <v>61</v>
      </c>
      <c r="D733" t="str">
        <f>INDEX(Raw_product_master[Category],MATCH(Cleaned_Sales_data[[#This Row],[Product]],Raw_product_master[Product],0))</f>
        <v>Accessories</v>
      </c>
      <c r="E733" t="s">
        <v>63</v>
      </c>
      <c r="F733" t="s">
        <v>38</v>
      </c>
      <c r="G733" t="s">
        <v>21</v>
      </c>
      <c r="H733">
        <v>5</v>
      </c>
      <c r="I733">
        <v>4500</v>
      </c>
      <c r="J733" s="10">
        <v>0</v>
      </c>
      <c r="K733">
        <v>22500</v>
      </c>
      <c r="L733">
        <v>22500</v>
      </c>
      <c r="M733">
        <v>14625</v>
      </c>
      <c r="N733">
        <v>526</v>
      </c>
      <c r="O733">
        <v>2162</v>
      </c>
      <c r="P733">
        <f>INDEX(Raw_product_master[Standard_Cost_Per_Unit],MATCH(Cleaned_Sales_data[[#This Row],[Product]],Raw_product_master[Product],0))</f>
        <v>2925</v>
      </c>
      <c r="Q733">
        <v>5187</v>
      </c>
      <c r="R733" s="11">
        <v>0.23053333333333301</v>
      </c>
      <c r="S733" s="11">
        <f>INDEX(Raw_product_master[Target_Margin], MATCH(Cleaned_Sales_data[[#This Row],[Product]],Raw_product_master[Product], 0 ))</f>
        <v>0.22</v>
      </c>
      <c r="T733" t="str">
        <f>IF(Cleaned_Sales_data[[#This Row],[Profit]]&gt;0, "Profitable", "Loss")</f>
        <v>Profitable</v>
      </c>
      <c r="U733" t="str">
        <f>_xlfn.IFS(Cleaned_Sales_data[[#This Row],[Profit]]&gt;=10000, "High", Cleaned_Sales_data[[#This Row],[Profit]]&gt;=5000, "Medium", Cleaned_Sales_data[[#This Row],[Profit]]&gt;=0, "Low", Cleaned_Sales_data[[#This Row],[Profit]] &lt;0, "Loss")</f>
        <v>Medium</v>
      </c>
      <c r="V733" t="str">
        <f t="shared" si="11"/>
        <v>On Target</v>
      </c>
      <c r="W733" s="3">
        <v>45870</v>
      </c>
    </row>
    <row r="734" spans="1:23">
      <c r="A734" t="s">
        <v>665</v>
      </c>
      <c r="B734" s="3">
        <v>46026</v>
      </c>
      <c r="C734" t="s">
        <v>53</v>
      </c>
      <c r="D734" t="str">
        <f>INDEX(Raw_product_master[Category],MATCH(Cleaned_Sales_data[[#This Row],[Product]],Raw_product_master[Product],0))</f>
        <v>Accessories</v>
      </c>
      <c r="E734" t="s">
        <v>63</v>
      </c>
      <c r="F734" t="s">
        <v>38</v>
      </c>
      <c r="G734" t="s">
        <v>27</v>
      </c>
      <c r="H734">
        <v>1</v>
      </c>
      <c r="I734">
        <v>1500</v>
      </c>
      <c r="J734" s="10">
        <v>0.05</v>
      </c>
      <c r="K734">
        <v>1500</v>
      </c>
      <c r="L734">
        <v>1425</v>
      </c>
      <c r="M734">
        <v>825</v>
      </c>
      <c r="N734">
        <v>1431</v>
      </c>
      <c r="O734">
        <v>1745</v>
      </c>
      <c r="P734">
        <f>INDEX(Raw_product_master[Standard_Cost_Per_Unit],MATCH(Cleaned_Sales_data[[#This Row],[Product]],Raw_product_master[Product],0))</f>
        <v>825</v>
      </c>
      <c r="Q734">
        <v>-2576</v>
      </c>
      <c r="R734" s="11">
        <v>-1.8077192982456101</v>
      </c>
      <c r="S734" s="11">
        <f>INDEX(Raw_product_master[Target_Margin], MATCH(Cleaned_Sales_data[[#This Row],[Product]],Raw_product_master[Product], 0 ))</f>
        <v>0.3</v>
      </c>
      <c r="T734" t="str">
        <f>IF(Cleaned_Sales_data[[#This Row],[Profit]]&gt;0, "Profitable", "Loss")</f>
        <v>Loss</v>
      </c>
      <c r="U734" t="str">
        <f>_xlfn.IFS(Cleaned_Sales_data[[#This Row],[Profit]]&gt;=10000, "High", Cleaned_Sales_data[[#This Row],[Profit]]&gt;=5000, "Medium", Cleaned_Sales_data[[#This Row],[Profit]]&gt;=0, "Low", Cleaned_Sales_data[[#This Row],[Profit]] &lt;0, "Loss")</f>
        <v>Loss</v>
      </c>
      <c r="V734" t="str">
        <f t="shared" si="11"/>
        <v>UnderPerforming</v>
      </c>
      <c r="W734" s="3">
        <v>46023</v>
      </c>
    </row>
    <row r="735" spans="1:23">
      <c r="A735" t="s">
        <v>673</v>
      </c>
      <c r="B735" s="3">
        <v>45694</v>
      </c>
      <c r="C735" t="s">
        <v>50</v>
      </c>
      <c r="D735" t="str">
        <f>INDEX(Raw_product_master[Category],MATCH(Cleaned_Sales_data[[#This Row],[Product]],Raw_product_master[Product],0))</f>
        <v>Accessories</v>
      </c>
      <c r="E735" t="s">
        <v>25</v>
      </c>
      <c r="F735" t="s">
        <v>38</v>
      </c>
      <c r="G735" t="s">
        <v>21</v>
      </c>
      <c r="H735">
        <v>4</v>
      </c>
      <c r="I735">
        <v>2500</v>
      </c>
      <c r="J735" s="10">
        <v>0.1</v>
      </c>
      <c r="K735">
        <v>10000</v>
      </c>
      <c r="L735">
        <v>9000</v>
      </c>
      <c r="M735">
        <v>6200</v>
      </c>
      <c r="N735">
        <v>452</v>
      </c>
      <c r="O735">
        <v>1300</v>
      </c>
      <c r="P735">
        <f>INDEX(Raw_product_master[Standard_Cost_Per_Unit],MATCH(Cleaned_Sales_data[[#This Row],[Product]],Raw_product_master[Product],0))</f>
        <v>1550</v>
      </c>
      <c r="Q735">
        <v>1048</v>
      </c>
      <c r="R735" s="11">
        <v>0.116444444444444</v>
      </c>
      <c r="S735" s="11">
        <f>INDEX(Raw_product_master[Target_Margin], MATCH(Cleaned_Sales_data[[#This Row],[Product]],Raw_product_master[Product], 0 ))</f>
        <v>0.25</v>
      </c>
      <c r="T735" t="str">
        <f>IF(Cleaned_Sales_data[[#This Row],[Profit]]&gt;0, "Profitable", "Loss")</f>
        <v>Profitable</v>
      </c>
      <c r="U735" t="str">
        <f>_xlfn.IFS(Cleaned_Sales_data[[#This Row],[Profit]]&gt;=10000, "High", Cleaned_Sales_data[[#This Row],[Profit]]&gt;=5000, "Medium", Cleaned_Sales_data[[#This Row],[Profit]]&gt;=0, "Low", Cleaned_Sales_data[[#This Row],[Profit]] &lt;0, "Loss")</f>
        <v>Low</v>
      </c>
      <c r="V735" t="str">
        <f t="shared" si="11"/>
        <v>UnderPerforming</v>
      </c>
      <c r="W735" s="3">
        <v>45689</v>
      </c>
    </row>
    <row r="736" spans="1:23">
      <c r="A736" t="s">
        <v>688</v>
      </c>
      <c r="B736" s="3">
        <v>46182</v>
      </c>
      <c r="C736" t="s">
        <v>75</v>
      </c>
      <c r="D736" t="str">
        <f>INDEX(Raw_product_master[Category],MATCH(Cleaned_Sales_data[[#This Row],[Product]],Raw_product_master[Product],0))</f>
        <v>Computers</v>
      </c>
      <c r="E736" t="s">
        <v>31</v>
      </c>
      <c r="F736" t="s">
        <v>38</v>
      </c>
      <c r="G736" t="s">
        <v>21</v>
      </c>
      <c r="H736">
        <v>1</v>
      </c>
      <c r="I736">
        <v>65000</v>
      </c>
      <c r="J736" s="10">
        <v>0.05</v>
      </c>
      <c r="K736">
        <v>65000</v>
      </c>
      <c r="L736">
        <v>61750</v>
      </c>
      <c r="M736">
        <v>54600</v>
      </c>
      <c r="N736">
        <v>987</v>
      </c>
      <c r="O736">
        <v>2226</v>
      </c>
      <c r="P736">
        <f>INDEX(Raw_product_master[Standard_Cost_Per_Unit],MATCH(Cleaned_Sales_data[[#This Row],[Product]],Raw_product_master[Product],0))</f>
        <v>54600</v>
      </c>
      <c r="Q736">
        <v>3937</v>
      </c>
      <c r="R736" s="11">
        <v>6.3757085020242896E-2</v>
      </c>
      <c r="S736" s="11">
        <f>INDEX(Raw_product_master[Target_Margin], MATCH(Cleaned_Sales_data[[#This Row],[Product]],Raw_product_master[Product], 0 ))</f>
        <v>0.12</v>
      </c>
      <c r="T736" t="str">
        <f>IF(Cleaned_Sales_data[[#This Row],[Profit]]&gt;0, "Profitable", "Loss")</f>
        <v>Profitable</v>
      </c>
      <c r="U736" t="str">
        <f>_xlfn.IFS(Cleaned_Sales_data[[#This Row],[Profit]]&gt;=10000, "High", Cleaned_Sales_data[[#This Row],[Profit]]&gt;=5000, "Medium", Cleaned_Sales_data[[#This Row],[Profit]]&gt;=0, "Low", Cleaned_Sales_data[[#This Row],[Profit]] &lt;0, "Loss")</f>
        <v>Low</v>
      </c>
      <c r="V736" t="str">
        <f t="shared" si="11"/>
        <v>UnderPerforming</v>
      </c>
      <c r="W736" s="3">
        <v>46174</v>
      </c>
    </row>
    <row r="737" spans="1:23">
      <c r="A737" t="s">
        <v>704</v>
      </c>
      <c r="B737" s="3">
        <v>46103</v>
      </c>
      <c r="C737" t="s">
        <v>46</v>
      </c>
      <c r="D737" t="str">
        <f>INDEX(Raw_product_master[Category],MATCH(Cleaned_Sales_data[[#This Row],[Product]],Raw_product_master[Product],0))</f>
        <v>Office Equipment</v>
      </c>
      <c r="E737" t="s">
        <v>19</v>
      </c>
      <c r="F737" t="s">
        <v>38</v>
      </c>
      <c r="G737" t="s">
        <v>21</v>
      </c>
      <c r="H737">
        <v>1</v>
      </c>
      <c r="I737">
        <v>18000</v>
      </c>
      <c r="J737" s="10">
        <v>0.2</v>
      </c>
      <c r="K737">
        <v>18000</v>
      </c>
      <c r="L737">
        <v>14400</v>
      </c>
      <c r="M737">
        <v>14400</v>
      </c>
      <c r="N737">
        <v>202</v>
      </c>
      <c r="O737">
        <v>471</v>
      </c>
      <c r="P737">
        <f>INDEX(Raw_product_master[Standard_Cost_Per_Unit],MATCH(Cleaned_Sales_data[[#This Row],[Product]],Raw_product_master[Product],0))</f>
        <v>14400</v>
      </c>
      <c r="Q737">
        <v>-673</v>
      </c>
      <c r="R737" s="11">
        <v>-4.6736111111111103E-2</v>
      </c>
      <c r="S737" s="11">
        <f>INDEX(Raw_product_master[Target_Margin], MATCH(Cleaned_Sales_data[[#This Row],[Product]],Raw_product_master[Product], 0 ))</f>
        <v>0.15</v>
      </c>
      <c r="T737" t="str">
        <f>IF(Cleaned_Sales_data[[#This Row],[Profit]]&gt;0, "Profitable", "Loss")</f>
        <v>Loss</v>
      </c>
      <c r="U737" t="str">
        <f>_xlfn.IFS(Cleaned_Sales_data[[#This Row],[Profit]]&gt;=10000, "High", Cleaned_Sales_data[[#This Row],[Profit]]&gt;=5000, "Medium", Cleaned_Sales_data[[#This Row],[Profit]]&gt;=0, "Low", Cleaned_Sales_data[[#This Row],[Profit]] &lt;0, "Loss")</f>
        <v>Loss</v>
      </c>
      <c r="V737" t="str">
        <f t="shared" si="11"/>
        <v>UnderPerforming</v>
      </c>
      <c r="W737" s="3">
        <v>46082</v>
      </c>
    </row>
    <row r="738" spans="1:23">
      <c r="A738" t="s">
        <v>712</v>
      </c>
      <c r="B738" s="3">
        <v>45922</v>
      </c>
      <c r="C738" t="s">
        <v>75</v>
      </c>
      <c r="D738" t="str">
        <f>INDEX(Raw_product_master[Category],MATCH(Cleaned_Sales_data[[#This Row],[Product]],Raw_product_master[Product],0))</f>
        <v>Computers</v>
      </c>
      <c r="E738" t="s">
        <v>19</v>
      </c>
      <c r="F738" t="s">
        <v>38</v>
      </c>
      <c r="G738" t="s">
        <v>21</v>
      </c>
      <c r="H738">
        <v>1</v>
      </c>
      <c r="I738">
        <v>65000</v>
      </c>
      <c r="J738" s="10">
        <v>0.03</v>
      </c>
      <c r="K738">
        <v>65000</v>
      </c>
      <c r="L738">
        <v>63050</v>
      </c>
      <c r="M738">
        <v>54600</v>
      </c>
      <c r="N738">
        <v>908</v>
      </c>
      <c r="O738">
        <v>1549</v>
      </c>
      <c r="P738">
        <f>INDEX(Raw_product_master[Standard_Cost_Per_Unit],MATCH(Cleaned_Sales_data[[#This Row],[Product]],Raw_product_master[Product],0))</f>
        <v>54600</v>
      </c>
      <c r="Q738">
        <v>5993</v>
      </c>
      <c r="R738" s="11">
        <v>9.5051546391752603E-2</v>
      </c>
      <c r="S738" s="11">
        <f>INDEX(Raw_product_master[Target_Margin], MATCH(Cleaned_Sales_data[[#This Row],[Product]],Raw_product_master[Product], 0 ))</f>
        <v>0.12</v>
      </c>
      <c r="T738" t="str">
        <f>IF(Cleaned_Sales_data[[#This Row],[Profit]]&gt;0, "Profitable", "Loss")</f>
        <v>Profitable</v>
      </c>
      <c r="U738" t="str">
        <f>_xlfn.IFS(Cleaned_Sales_data[[#This Row],[Profit]]&gt;=10000, "High", Cleaned_Sales_data[[#This Row],[Profit]]&gt;=5000, "Medium", Cleaned_Sales_data[[#This Row],[Profit]]&gt;=0, "Low", Cleaned_Sales_data[[#This Row],[Profit]] &lt;0, "Loss")</f>
        <v>Medium</v>
      </c>
      <c r="V738" t="str">
        <f t="shared" si="11"/>
        <v>UnderPerforming</v>
      </c>
      <c r="W738" s="3">
        <v>45901</v>
      </c>
    </row>
    <row r="739" spans="1:23">
      <c r="A739" t="s">
        <v>716</v>
      </c>
      <c r="B739" s="3">
        <v>46083</v>
      </c>
      <c r="C739" t="s">
        <v>24</v>
      </c>
      <c r="D739" t="str">
        <f>INDEX(Raw_product_master[Category],MATCH(Cleaned_Sales_data[[#This Row],[Product]],Raw_product_master[Product],0))</f>
        <v>Accessories</v>
      </c>
      <c r="E739" t="s">
        <v>63</v>
      </c>
      <c r="F739" t="s">
        <v>38</v>
      </c>
      <c r="G739" t="s">
        <v>27</v>
      </c>
      <c r="H739">
        <v>1</v>
      </c>
      <c r="I739">
        <v>3500</v>
      </c>
      <c r="J739" s="10">
        <v>0.05</v>
      </c>
      <c r="K739">
        <v>3500</v>
      </c>
      <c r="L739">
        <v>3325</v>
      </c>
      <c r="M739">
        <v>2380</v>
      </c>
      <c r="N739">
        <v>494</v>
      </c>
      <c r="O739">
        <v>288</v>
      </c>
      <c r="P739">
        <f>INDEX(Raw_product_master[Standard_Cost_Per_Unit],MATCH(Cleaned_Sales_data[[#This Row],[Product]],Raw_product_master[Product],0))</f>
        <v>2380</v>
      </c>
      <c r="Q739">
        <v>163</v>
      </c>
      <c r="R739" s="11">
        <v>4.9022556390977398E-2</v>
      </c>
      <c r="S739" s="11">
        <f>INDEX(Raw_product_master[Target_Margin], MATCH(Cleaned_Sales_data[[#This Row],[Product]],Raw_product_master[Product], 0 ))</f>
        <v>0.2</v>
      </c>
      <c r="T739" t="str">
        <f>IF(Cleaned_Sales_data[[#This Row],[Profit]]&gt;0, "Profitable", "Loss")</f>
        <v>Profitable</v>
      </c>
      <c r="U739" t="str">
        <f>_xlfn.IFS(Cleaned_Sales_data[[#This Row],[Profit]]&gt;=10000, "High", Cleaned_Sales_data[[#This Row],[Profit]]&gt;=5000, "Medium", Cleaned_Sales_data[[#This Row],[Profit]]&gt;=0, "Low", Cleaned_Sales_data[[#This Row],[Profit]] &lt;0, "Loss")</f>
        <v>Low</v>
      </c>
      <c r="V739" t="str">
        <f t="shared" si="11"/>
        <v>UnderPerforming</v>
      </c>
      <c r="W739" s="3">
        <v>46082</v>
      </c>
    </row>
    <row r="740" spans="1:23">
      <c r="A740" t="s">
        <v>717</v>
      </c>
      <c r="B740" s="3">
        <v>45728</v>
      </c>
      <c r="C740" t="s">
        <v>50</v>
      </c>
      <c r="D740" t="str">
        <f>INDEX(Raw_product_master[Category],MATCH(Cleaned_Sales_data[[#This Row],[Product]],Raw_product_master[Product],0))</f>
        <v>Accessories</v>
      </c>
      <c r="E740" t="s">
        <v>25</v>
      </c>
      <c r="F740" t="s">
        <v>38</v>
      </c>
      <c r="G740" t="s">
        <v>21</v>
      </c>
      <c r="H740">
        <v>6</v>
      </c>
      <c r="I740">
        <v>2500</v>
      </c>
      <c r="J740" s="10">
        <v>0.1</v>
      </c>
      <c r="K740">
        <v>15000</v>
      </c>
      <c r="L740">
        <v>13500</v>
      </c>
      <c r="M740">
        <v>9300</v>
      </c>
      <c r="N740">
        <v>1025</v>
      </c>
      <c r="O740">
        <v>1958</v>
      </c>
      <c r="P740">
        <f>INDEX(Raw_product_master[Standard_Cost_Per_Unit],MATCH(Cleaned_Sales_data[[#This Row],[Product]],Raw_product_master[Product],0))</f>
        <v>1550</v>
      </c>
      <c r="Q740">
        <v>1217</v>
      </c>
      <c r="R740" s="11">
        <v>9.0148148148148102E-2</v>
      </c>
      <c r="S740" s="11">
        <f>INDEX(Raw_product_master[Target_Margin], MATCH(Cleaned_Sales_data[[#This Row],[Product]],Raw_product_master[Product], 0 ))</f>
        <v>0.25</v>
      </c>
      <c r="T740" t="str">
        <f>IF(Cleaned_Sales_data[[#This Row],[Profit]]&gt;0, "Profitable", "Loss")</f>
        <v>Profitable</v>
      </c>
      <c r="U740" t="str">
        <f>_xlfn.IFS(Cleaned_Sales_data[[#This Row],[Profit]]&gt;=10000, "High", Cleaned_Sales_data[[#This Row],[Profit]]&gt;=5000, "Medium", Cleaned_Sales_data[[#This Row],[Profit]]&gt;=0, "Low", Cleaned_Sales_data[[#This Row],[Profit]] &lt;0, "Loss")</f>
        <v>Low</v>
      </c>
      <c r="V740" t="str">
        <f t="shared" si="11"/>
        <v>UnderPerforming</v>
      </c>
      <c r="W740" s="3">
        <v>45717</v>
      </c>
    </row>
    <row r="741" spans="1:23">
      <c r="A741" t="s">
        <v>719</v>
      </c>
      <c r="B741" s="3">
        <v>46068</v>
      </c>
      <c r="C741" t="s">
        <v>50</v>
      </c>
      <c r="D741" t="str">
        <f>INDEX(Raw_product_master[Category],MATCH(Cleaned_Sales_data[[#This Row],[Product]],Raw_product_master[Product],0))</f>
        <v>Accessories</v>
      </c>
      <c r="E741" t="s">
        <v>34</v>
      </c>
      <c r="F741" t="s">
        <v>38</v>
      </c>
      <c r="G741" t="s">
        <v>27</v>
      </c>
      <c r="H741">
        <v>7</v>
      </c>
      <c r="I741">
        <v>2500</v>
      </c>
      <c r="J741" s="10">
        <v>0.05</v>
      </c>
      <c r="K741">
        <v>17500</v>
      </c>
      <c r="L741">
        <v>16625</v>
      </c>
      <c r="M741">
        <v>10850</v>
      </c>
      <c r="N741">
        <v>1658</v>
      </c>
      <c r="O741">
        <v>2107</v>
      </c>
      <c r="P741">
        <f>INDEX(Raw_product_master[Standard_Cost_Per_Unit],MATCH(Cleaned_Sales_data[[#This Row],[Product]],Raw_product_master[Product],0))</f>
        <v>1550</v>
      </c>
      <c r="Q741">
        <v>2010</v>
      </c>
      <c r="R741" s="11">
        <v>0.120902255639098</v>
      </c>
      <c r="S741" s="11">
        <f>INDEX(Raw_product_master[Target_Margin], MATCH(Cleaned_Sales_data[[#This Row],[Product]],Raw_product_master[Product], 0 ))</f>
        <v>0.25</v>
      </c>
      <c r="T741" t="str">
        <f>IF(Cleaned_Sales_data[[#This Row],[Profit]]&gt;0, "Profitable", "Loss")</f>
        <v>Profitable</v>
      </c>
      <c r="U741" t="str">
        <f>_xlfn.IFS(Cleaned_Sales_data[[#This Row],[Profit]]&gt;=10000, "High", Cleaned_Sales_data[[#This Row],[Profit]]&gt;=5000, "Medium", Cleaned_Sales_data[[#This Row],[Profit]]&gt;=0, "Low", Cleaned_Sales_data[[#This Row],[Profit]] &lt;0, "Loss")</f>
        <v>Low</v>
      </c>
      <c r="V741" t="str">
        <f t="shared" si="11"/>
        <v>UnderPerforming</v>
      </c>
      <c r="W741" s="3">
        <v>46054</v>
      </c>
    </row>
    <row r="742" spans="1:23">
      <c r="A742" t="s">
        <v>720</v>
      </c>
      <c r="B742" s="3">
        <v>45943</v>
      </c>
      <c r="C742" t="s">
        <v>75</v>
      </c>
      <c r="D742" t="str">
        <f>INDEX(Raw_product_master[Category],MATCH(Cleaned_Sales_data[[#This Row],[Product]],Raw_product_master[Product],0))</f>
        <v>Computers</v>
      </c>
      <c r="E742" t="s">
        <v>51</v>
      </c>
      <c r="F742" t="s">
        <v>38</v>
      </c>
      <c r="G742" t="s">
        <v>27</v>
      </c>
      <c r="H742">
        <v>3</v>
      </c>
      <c r="I742">
        <v>65000</v>
      </c>
      <c r="J742" s="10">
        <v>0.03</v>
      </c>
      <c r="K742">
        <v>195000</v>
      </c>
      <c r="L742">
        <v>189150</v>
      </c>
      <c r="M742">
        <v>163800</v>
      </c>
      <c r="N742">
        <v>1181</v>
      </c>
      <c r="O742">
        <v>1050</v>
      </c>
      <c r="P742">
        <f>INDEX(Raw_product_master[Standard_Cost_Per_Unit],MATCH(Cleaned_Sales_data[[#This Row],[Product]],Raw_product_master[Product],0))</f>
        <v>54600</v>
      </c>
      <c r="Q742">
        <v>23119</v>
      </c>
      <c r="R742" s="11">
        <v>0.122225746761829</v>
      </c>
      <c r="S742" s="11">
        <f>INDEX(Raw_product_master[Target_Margin], MATCH(Cleaned_Sales_data[[#This Row],[Product]],Raw_product_master[Product], 0 ))</f>
        <v>0.12</v>
      </c>
      <c r="T742" t="str">
        <f>IF(Cleaned_Sales_data[[#This Row],[Profit]]&gt;0, "Profitable", "Loss")</f>
        <v>Profitable</v>
      </c>
      <c r="U742" t="str">
        <f>_xlfn.IFS(Cleaned_Sales_data[[#This Row],[Profit]]&gt;=10000, "High", Cleaned_Sales_data[[#This Row],[Profit]]&gt;=5000, "Medium", Cleaned_Sales_data[[#This Row],[Profit]]&gt;=0, "Low", Cleaned_Sales_data[[#This Row],[Profit]] &lt;0, "Loss")</f>
        <v>High</v>
      </c>
      <c r="V742" t="str">
        <f t="shared" si="11"/>
        <v>On Target</v>
      </c>
      <c r="W742" s="3">
        <v>45931</v>
      </c>
    </row>
    <row r="743" spans="1:23">
      <c r="A743" t="s">
        <v>725</v>
      </c>
      <c r="B743" s="3">
        <v>45819</v>
      </c>
      <c r="C743" t="s">
        <v>30</v>
      </c>
      <c r="D743" t="str">
        <f>INDEX(Raw_product_master[Category],MATCH(Cleaned_Sales_data[[#This Row],[Product]],Raw_product_master[Product],0))</f>
        <v>Displays</v>
      </c>
      <c r="E743" t="s">
        <v>34</v>
      </c>
      <c r="F743" t="s">
        <v>38</v>
      </c>
      <c r="G743" t="s">
        <v>21</v>
      </c>
      <c r="H743">
        <v>3</v>
      </c>
      <c r="I743">
        <v>28000</v>
      </c>
      <c r="J743" s="10">
        <v>0</v>
      </c>
      <c r="K743">
        <v>84000</v>
      </c>
      <c r="L743">
        <v>84000</v>
      </c>
      <c r="M743">
        <v>65520</v>
      </c>
      <c r="N743">
        <v>734</v>
      </c>
      <c r="O743">
        <v>2255</v>
      </c>
      <c r="P743">
        <f>INDEX(Raw_product_master[Standard_Cost_Per_Unit],MATCH(Cleaned_Sales_data[[#This Row],[Product]],Raw_product_master[Product],0))</f>
        <v>21840</v>
      </c>
      <c r="Q743">
        <v>15491</v>
      </c>
      <c r="R743" s="11">
        <v>0.18441666666666701</v>
      </c>
      <c r="S743" s="11">
        <f>INDEX(Raw_product_master[Target_Margin], MATCH(Cleaned_Sales_data[[#This Row],[Product]],Raw_product_master[Product], 0 ))</f>
        <v>0.18</v>
      </c>
      <c r="T743" t="str">
        <f>IF(Cleaned_Sales_data[[#This Row],[Profit]]&gt;0, "Profitable", "Loss")</f>
        <v>Profitable</v>
      </c>
      <c r="U743" t="str">
        <f>_xlfn.IFS(Cleaned_Sales_data[[#This Row],[Profit]]&gt;=10000, "High", Cleaned_Sales_data[[#This Row],[Profit]]&gt;=5000, "Medium", Cleaned_Sales_data[[#This Row],[Profit]]&gt;=0, "Low", Cleaned_Sales_data[[#This Row],[Profit]] &lt;0, "Loss")</f>
        <v>High</v>
      </c>
      <c r="V743" t="str">
        <f t="shared" si="11"/>
        <v>On Target</v>
      </c>
      <c r="W743" s="3">
        <v>45809</v>
      </c>
    </row>
    <row r="744" spans="1:23">
      <c r="A744" t="s">
        <v>730</v>
      </c>
      <c r="B744" s="3">
        <v>45944</v>
      </c>
      <c r="C744" t="s">
        <v>18</v>
      </c>
      <c r="D744" t="str">
        <f>INDEX(Raw_product_master[Category],MATCH(Cleaned_Sales_data[[#This Row],[Product]],Raw_product_master[Product],0))</f>
        <v>Computers</v>
      </c>
      <c r="E744" t="s">
        <v>25</v>
      </c>
      <c r="F744" t="s">
        <v>38</v>
      </c>
      <c r="G744" t="s">
        <v>21</v>
      </c>
      <c r="H744">
        <v>1</v>
      </c>
      <c r="I744">
        <v>32000</v>
      </c>
      <c r="J744" s="10">
        <v>0</v>
      </c>
      <c r="K744">
        <v>32000</v>
      </c>
      <c r="L744">
        <v>32000</v>
      </c>
      <c r="M744">
        <v>26240</v>
      </c>
      <c r="N744">
        <v>368</v>
      </c>
      <c r="O744">
        <v>2179</v>
      </c>
      <c r="P744">
        <f>INDEX(Raw_product_master[Standard_Cost_Per_Unit],MATCH(Cleaned_Sales_data[[#This Row],[Product]],Raw_product_master[Product],0))</f>
        <v>26240</v>
      </c>
      <c r="Q744">
        <v>3213</v>
      </c>
      <c r="R744" s="11">
        <v>0.10040625</v>
      </c>
      <c r="S744" s="11">
        <f>INDEX(Raw_product_master[Target_Margin], MATCH(Cleaned_Sales_data[[#This Row],[Product]],Raw_product_master[Product], 0 ))</f>
        <v>0.12</v>
      </c>
      <c r="T744" t="str">
        <f>IF(Cleaned_Sales_data[[#This Row],[Profit]]&gt;0, "Profitable", "Loss")</f>
        <v>Profitable</v>
      </c>
      <c r="U744" t="str">
        <f>_xlfn.IFS(Cleaned_Sales_data[[#This Row],[Profit]]&gt;=10000, "High", Cleaned_Sales_data[[#This Row],[Profit]]&gt;=5000, "Medium", Cleaned_Sales_data[[#This Row],[Profit]]&gt;=0, "Low", Cleaned_Sales_data[[#This Row],[Profit]] &lt;0, "Loss")</f>
        <v>Low</v>
      </c>
      <c r="V744" t="str">
        <f t="shared" si="11"/>
        <v>UnderPerforming</v>
      </c>
      <c r="W744" s="3">
        <v>45931</v>
      </c>
    </row>
    <row r="745" spans="1:23">
      <c r="A745" t="s">
        <v>746</v>
      </c>
      <c r="B745" s="3">
        <v>45943</v>
      </c>
      <c r="C745" t="s">
        <v>53</v>
      </c>
      <c r="D745" t="str">
        <f>INDEX(Raw_product_master[Category],MATCH(Cleaned_Sales_data[[#This Row],[Product]],Raw_product_master[Product],0))</f>
        <v>Accessories</v>
      </c>
      <c r="E745" t="s">
        <v>63</v>
      </c>
      <c r="F745" t="s">
        <v>38</v>
      </c>
      <c r="G745" t="s">
        <v>21</v>
      </c>
      <c r="H745">
        <v>5</v>
      </c>
      <c r="I745">
        <v>1500</v>
      </c>
      <c r="J745" s="10">
        <v>0.05</v>
      </c>
      <c r="K745">
        <v>7500</v>
      </c>
      <c r="L745">
        <v>7125</v>
      </c>
      <c r="M745">
        <v>4125</v>
      </c>
      <c r="N745">
        <v>1737</v>
      </c>
      <c r="O745">
        <v>497</v>
      </c>
      <c r="P745">
        <f>INDEX(Raw_product_master[Standard_Cost_Per_Unit],MATCH(Cleaned_Sales_data[[#This Row],[Product]],Raw_product_master[Product],0))</f>
        <v>825</v>
      </c>
      <c r="Q745">
        <v>766</v>
      </c>
      <c r="R745" s="11">
        <v>0.107508771929825</v>
      </c>
      <c r="S745" s="11">
        <f>INDEX(Raw_product_master[Target_Margin], MATCH(Cleaned_Sales_data[[#This Row],[Product]],Raw_product_master[Product], 0 ))</f>
        <v>0.3</v>
      </c>
      <c r="T745" t="str">
        <f>IF(Cleaned_Sales_data[[#This Row],[Profit]]&gt;0, "Profitable", "Loss")</f>
        <v>Profitable</v>
      </c>
      <c r="U745" t="str">
        <f>_xlfn.IFS(Cleaned_Sales_data[[#This Row],[Profit]]&gt;=10000, "High", Cleaned_Sales_data[[#This Row],[Profit]]&gt;=5000, "Medium", Cleaned_Sales_data[[#This Row],[Profit]]&gt;=0, "Low", Cleaned_Sales_data[[#This Row],[Profit]] &lt;0, "Loss")</f>
        <v>Low</v>
      </c>
      <c r="V745" t="str">
        <f t="shared" si="11"/>
        <v>UnderPerforming</v>
      </c>
      <c r="W745" s="3">
        <v>45931</v>
      </c>
    </row>
    <row r="746" spans="1:23">
      <c r="A746" t="s">
        <v>765</v>
      </c>
      <c r="B746" s="3">
        <v>45834</v>
      </c>
      <c r="C746" t="s">
        <v>61</v>
      </c>
      <c r="D746" t="str">
        <f>INDEX(Raw_product_master[Category],MATCH(Cleaned_Sales_data[[#This Row],[Product]],Raw_product_master[Product],0))</f>
        <v>Accessories</v>
      </c>
      <c r="E746" t="s">
        <v>19</v>
      </c>
      <c r="F746" t="s">
        <v>38</v>
      </c>
      <c r="G746" t="s">
        <v>21</v>
      </c>
      <c r="H746">
        <v>4</v>
      </c>
      <c r="I746">
        <v>4500</v>
      </c>
      <c r="J746" s="10">
        <v>0.03</v>
      </c>
      <c r="K746">
        <v>18000</v>
      </c>
      <c r="L746">
        <v>17460</v>
      </c>
      <c r="M746">
        <v>11700</v>
      </c>
      <c r="N746">
        <v>542</v>
      </c>
      <c r="O746">
        <v>535</v>
      </c>
      <c r="P746">
        <f>INDEX(Raw_product_master[Standard_Cost_Per_Unit],MATCH(Cleaned_Sales_data[[#This Row],[Product]],Raw_product_master[Product],0))</f>
        <v>2925</v>
      </c>
      <c r="Q746">
        <v>4683</v>
      </c>
      <c r="R746" s="11">
        <v>0.26821305841924398</v>
      </c>
      <c r="S746" s="11">
        <f>INDEX(Raw_product_master[Target_Margin], MATCH(Cleaned_Sales_data[[#This Row],[Product]],Raw_product_master[Product], 0 ))</f>
        <v>0.22</v>
      </c>
      <c r="T746" t="str">
        <f>IF(Cleaned_Sales_data[[#This Row],[Profit]]&gt;0, "Profitable", "Loss")</f>
        <v>Profitable</v>
      </c>
      <c r="U746" t="str">
        <f>_xlfn.IFS(Cleaned_Sales_data[[#This Row],[Profit]]&gt;=10000, "High", Cleaned_Sales_data[[#This Row],[Profit]]&gt;=5000, "Medium", Cleaned_Sales_data[[#This Row],[Profit]]&gt;=0, "Low", Cleaned_Sales_data[[#This Row],[Profit]] &lt;0, "Loss")</f>
        <v>Low</v>
      </c>
      <c r="V746" t="str">
        <f t="shared" si="11"/>
        <v>On Target</v>
      </c>
      <c r="W746" s="3">
        <v>45809</v>
      </c>
    </row>
    <row r="747" spans="1:23">
      <c r="A747" t="s">
        <v>768</v>
      </c>
      <c r="B747" s="3">
        <v>45912</v>
      </c>
      <c r="C747" t="s">
        <v>50</v>
      </c>
      <c r="D747" t="str">
        <f>INDEX(Raw_product_master[Category],MATCH(Cleaned_Sales_data[[#This Row],[Product]],Raw_product_master[Product],0))</f>
        <v>Accessories</v>
      </c>
      <c r="E747" t="s">
        <v>31</v>
      </c>
      <c r="F747" t="s">
        <v>38</v>
      </c>
      <c r="G747" t="s">
        <v>21</v>
      </c>
      <c r="H747">
        <v>5</v>
      </c>
      <c r="I747">
        <v>2500</v>
      </c>
      <c r="J747" s="10">
        <v>0.03</v>
      </c>
      <c r="K747">
        <v>12500</v>
      </c>
      <c r="L747">
        <v>12125</v>
      </c>
      <c r="M747">
        <v>7750</v>
      </c>
      <c r="N747">
        <v>815</v>
      </c>
      <c r="O747">
        <v>1373</v>
      </c>
      <c r="P747">
        <f>INDEX(Raw_product_master[Standard_Cost_Per_Unit],MATCH(Cleaned_Sales_data[[#This Row],[Product]],Raw_product_master[Product],0))</f>
        <v>1550</v>
      </c>
      <c r="Q747">
        <v>2187</v>
      </c>
      <c r="R747" s="11">
        <v>0.180371134020619</v>
      </c>
      <c r="S747" s="11">
        <f>INDEX(Raw_product_master[Target_Margin], MATCH(Cleaned_Sales_data[[#This Row],[Product]],Raw_product_master[Product], 0 ))</f>
        <v>0.25</v>
      </c>
      <c r="T747" t="str">
        <f>IF(Cleaned_Sales_data[[#This Row],[Profit]]&gt;0, "Profitable", "Loss")</f>
        <v>Profitable</v>
      </c>
      <c r="U747" t="str">
        <f>_xlfn.IFS(Cleaned_Sales_data[[#This Row],[Profit]]&gt;=10000, "High", Cleaned_Sales_data[[#This Row],[Profit]]&gt;=5000, "Medium", Cleaned_Sales_data[[#This Row],[Profit]]&gt;=0, "Low", Cleaned_Sales_data[[#This Row],[Profit]] &lt;0, "Loss")</f>
        <v>Low</v>
      </c>
      <c r="V747" t="str">
        <f t="shared" si="11"/>
        <v>UnderPerforming</v>
      </c>
      <c r="W747" s="3">
        <v>45901</v>
      </c>
    </row>
    <row r="748" spans="1:23">
      <c r="A748" t="s">
        <v>770</v>
      </c>
      <c r="B748" s="3">
        <v>46174</v>
      </c>
      <c r="C748" t="s">
        <v>46</v>
      </c>
      <c r="D748" t="str">
        <f>INDEX(Raw_product_master[Category],MATCH(Cleaned_Sales_data[[#This Row],[Product]],Raw_product_master[Product],0))</f>
        <v>Office Equipment</v>
      </c>
      <c r="E748" t="s">
        <v>19</v>
      </c>
      <c r="F748" t="s">
        <v>38</v>
      </c>
      <c r="G748" t="s">
        <v>21</v>
      </c>
      <c r="H748">
        <v>2</v>
      </c>
      <c r="I748">
        <v>18000</v>
      </c>
      <c r="J748" s="10">
        <v>0.1</v>
      </c>
      <c r="K748">
        <v>36000</v>
      </c>
      <c r="L748">
        <v>32400</v>
      </c>
      <c r="M748">
        <v>28800</v>
      </c>
      <c r="N748">
        <v>743</v>
      </c>
      <c r="O748">
        <v>1520</v>
      </c>
      <c r="P748">
        <f>INDEX(Raw_product_master[Standard_Cost_Per_Unit],MATCH(Cleaned_Sales_data[[#This Row],[Product]],Raw_product_master[Product],0))</f>
        <v>14400</v>
      </c>
      <c r="Q748">
        <v>1337</v>
      </c>
      <c r="R748" s="11">
        <v>4.1265432098765403E-2</v>
      </c>
      <c r="S748" s="11">
        <f>INDEX(Raw_product_master[Target_Margin], MATCH(Cleaned_Sales_data[[#This Row],[Product]],Raw_product_master[Product], 0 ))</f>
        <v>0.15</v>
      </c>
      <c r="T748" t="str">
        <f>IF(Cleaned_Sales_data[[#This Row],[Profit]]&gt;0, "Profitable", "Loss")</f>
        <v>Profitable</v>
      </c>
      <c r="U748" t="str">
        <f>_xlfn.IFS(Cleaned_Sales_data[[#This Row],[Profit]]&gt;=10000, "High", Cleaned_Sales_data[[#This Row],[Profit]]&gt;=5000, "Medium", Cleaned_Sales_data[[#This Row],[Profit]]&gt;=0, "Low", Cleaned_Sales_data[[#This Row],[Profit]] &lt;0, "Loss")</f>
        <v>Low</v>
      </c>
      <c r="V748" t="str">
        <f t="shared" si="11"/>
        <v>UnderPerforming</v>
      </c>
      <c r="W748" s="3">
        <v>46174</v>
      </c>
    </row>
    <row r="749" spans="1:23">
      <c r="A749" t="s">
        <v>775</v>
      </c>
      <c r="B749" s="3">
        <v>45854</v>
      </c>
      <c r="C749" t="s">
        <v>61</v>
      </c>
      <c r="D749" t="str">
        <f>INDEX(Raw_product_master[Category],MATCH(Cleaned_Sales_data[[#This Row],[Product]],Raw_product_master[Product],0))</f>
        <v>Accessories</v>
      </c>
      <c r="E749" t="s">
        <v>25</v>
      </c>
      <c r="F749" t="s">
        <v>38</v>
      </c>
      <c r="G749" t="s">
        <v>21</v>
      </c>
      <c r="H749">
        <v>4</v>
      </c>
      <c r="I749">
        <v>4500</v>
      </c>
      <c r="J749" s="10">
        <v>0.05</v>
      </c>
      <c r="K749">
        <v>18000</v>
      </c>
      <c r="L749">
        <v>17100</v>
      </c>
      <c r="M749">
        <v>11700</v>
      </c>
      <c r="N749">
        <v>1535</v>
      </c>
      <c r="O749">
        <v>198</v>
      </c>
      <c r="P749">
        <f>INDEX(Raw_product_master[Standard_Cost_Per_Unit],MATCH(Cleaned_Sales_data[[#This Row],[Product]],Raw_product_master[Product],0))</f>
        <v>2925</v>
      </c>
      <c r="Q749">
        <v>3667</v>
      </c>
      <c r="R749" s="11">
        <v>0.21444444444444399</v>
      </c>
      <c r="S749" s="11">
        <f>INDEX(Raw_product_master[Target_Margin], MATCH(Cleaned_Sales_data[[#This Row],[Product]],Raw_product_master[Product], 0 ))</f>
        <v>0.22</v>
      </c>
      <c r="T749" t="str">
        <f>IF(Cleaned_Sales_data[[#This Row],[Profit]]&gt;0, "Profitable", "Loss")</f>
        <v>Profitable</v>
      </c>
      <c r="U749" t="str">
        <f>_xlfn.IFS(Cleaned_Sales_data[[#This Row],[Profit]]&gt;=10000, "High", Cleaned_Sales_data[[#This Row],[Profit]]&gt;=5000, "Medium", Cleaned_Sales_data[[#This Row],[Profit]]&gt;=0, "Low", Cleaned_Sales_data[[#This Row],[Profit]] &lt;0, "Loss")</f>
        <v>Low</v>
      </c>
      <c r="V749" t="str">
        <f t="shared" si="11"/>
        <v>UnderPerforming</v>
      </c>
      <c r="W749" s="3">
        <v>45839</v>
      </c>
    </row>
    <row r="750" spans="1:23">
      <c r="A750" t="s">
        <v>792</v>
      </c>
      <c r="B750" s="3">
        <v>45923</v>
      </c>
      <c r="C750" t="s">
        <v>61</v>
      </c>
      <c r="D750" t="str">
        <f>INDEX(Raw_product_master[Category],MATCH(Cleaned_Sales_data[[#This Row],[Product]],Raw_product_master[Product],0))</f>
        <v>Accessories</v>
      </c>
      <c r="E750" t="s">
        <v>34</v>
      </c>
      <c r="F750" t="s">
        <v>38</v>
      </c>
      <c r="G750" t="s">
        <v>21</v>
      </c>
      <c r="H750">
        <v>1</v>
      </c>
      <c r="I750">
        <v>4500</v>
      </c>
      <c r="J750" s="10">
        <v>0.08</v>
      </c>
      <c r="K750">
        <v>4500</v>
      </c>
      <c r="L750">
        <v>4140</v>
      </c>
      <c r="M750">
        <v>2925</v>
      </c>
      <c r="N750">
        <v>1778</v>
      </c>
      <c r="O750">
        <v>1501</v>
      </c>
      <c r="P750">
        <f>INDEX(Raw_product_master[Standard_Cost_Per_Unit],MATCH(Cleaned_Sales_data[[#This Row],[Product]],Raw_product_master[Product],0))</f>
        <v>2925</v>
      </c>
      <c r="Q750">
        <v>-2064</v>
      </c>
      <c r="R750" s="11">
        <v>-0.49855072463768102</v>
      </c>
      <c r="S750" s="11">
        <f>INDEX(Raw_product_master[Target_Margin], MATCH(Cleaned_Sales_data[[#This Row],[Product]],Raw_product_master[Product], 0 ))</f>
        <v>0.22</v>
      </c>
      <c r="T750" t="str">
        <f>IF(Cleaned_Sales_data[[#This Row],[Profit]]&gt;0, "Profitable", "Loss")</f>
        <v>Loss</v>
      </c>
      <c r="U750" t="str">
        <f>_xlfn.IFS(Cleaned_Sales_data[[#This Row],[Profit]]&gt;=10000, "High", Cleaned_Sales_data[[#This Row],[Profit]]&gt;=5000, "Medium", Cleaned_Sales_data[[#This Row],[Profit]]&gt;=0, "Low", Cleaned_Sales_data[[#This Row],[Profit]] &lt;0, "Loss")</f>
        <v>Loss</v>
      </c>
      <c r="V750" t="str">
        <f t="shared" si="11"/>
        <v>UnderPerforming</v>
      </c>
      <c r="W750" s="3">
        <v>45901</v>
      </c>
    </row>
    <row r="751" spans="1:23">
      <c r="A751" t="s">
        <v>794</v>
      </c>
      <c r="B751" s="3">
        <v>45714</v>
      </c>
      <c r="C751" t="s">
        <v>53</v>
      </c>
      <c r="D751" t="str">
        <f>INDEX(Raw_product_master[Category],MATCH(Cleaned_Sales_data[[#This Row],[Product]],Raw_product_master[Product],0))</f>
        <v>Accessories</v>
      </c>
      <c r="E751" t="s">
        <v>51</v>
      </c>
      <c r="F751" t="s">
        <v>38</v>
      </c>
      <c r="G751" t="s">
        <v>21</v>
      </c>
      <c r="H751">
        <v>5</v>
      </c>
      <c r="I751">
        <v>1500</v>
      </c>
      <c r="J751" s="10">
        <v>0</v>
      </c>
      <c r="K751">
        <v>7500</v>
      </c>
      <c r="L751">
        <v>7500</v>
      </c>
      <c r="M751">
        <v>4125</v>
      </c>
      <c r="N751">
        <v>1753</v>
      </c>
      <c r="O751">
        <v>2066</v>
      </c>
      <c r="P751">
        <f>INDEX(Raw_product_master[Standard_Cost_Per_Unit],MATCH(Cleaned_Sales_data[[#This Row],[Product]],Raw_product_master[Product],0))</f>
        <v>825</v>
      </c>
      <c r="Q751">
        <v>-444</v>
      </c>
      <c r="R751" s="11">
        <v>-5.9200000000000003E-2</v>
      </c>
      <c r="S751" s="11">
        <f>INDEX(Raw_product_master[Target_Margin], MATCH(Cleaned_Sales_data[[#This Row],[Product]],Raw_product_master[Product], 0 ))</f>
        <v>0.3</v>
      </c>
      <c r="T751" t="str">
        <f>IF(Cleaned_Sales_data[[#This Row],[Profit]]&gt;0, "Profitable", "Loss")</f>
        <v>Loss</v>
      </c>
      <c r="U751" t="str">
        <f>_xlfn.IFS(Cleaned_Sales_data[[#This Row],[Profit]]&gt;=10000, "High", Cleaned_Sales_data[[#This Row],[Profit]]&gt;=5000, "Medium", Cleaned_Sales_data[[#This Row],[Profit]]&gt;=0, "Low", Cleaned_Sales_data[[#This Row],[Profit]] &lt;0, "Loss")</f>
        <v>Loss</v>
      </c>
      <c r="V751" t="str">
        <f t="shared" si="11"/>
        <v>UnderPerforming</v>
      </c>
      <c r="W751" s="3">
        <v>45689</v>
      </c>
    </row>
  </sheetData>
  <conditionalFormatting sqref="Q2:Q751">
    <cfRule type="cellIs" dxfId="20" priority="1" operator="lessThan">
      <formula>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2" id="{215FEFB7-7FBC-4184-8799-7B0F349E5545}">
            <xm:f>J2&gt;=Raw_Assumptions!$B$4</xm:f>
            <x14:dxf>
              <fill>
                <patternFill>
                  <bgColor theme="9" tint="0.39994506668294322"/>
                </patternFill>
              </fill>
            </x14:dxf>
          </x14:cfRule>
          <xm:sqref>J2:J751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51"/>
  <sheetViews>
    <sheetView topLeftCell="F1" zoomScaleNormal="100" workbookViewId="0">
      <selection activeCell="P9" sqref="P9"/>
    </sheetView>
  </sheetViews>
  <sheetFormatPr defaultRowHeight="15"/>
  <cols>
    <col min="1" max="1" width="13.5703125" bestFit="1" customWidth="1"/>
    <col min="2" max="2" width="18.28515625" bestFit="1" customWidth="1"/>
    <col min="3" max="3" width="12.42578125" bestFit="1" customWidth="1"/>
    <col min="4" max="4" width="11.7109375" bestFit="1" customWidth="1"/>
    <col min="5" max="5" width="12.85546875" bestFit="1" customWidth="1"/>
    <col min="6" max="6" width="19.5703125" bestFit="1" customWidth="1"/>
    <col min="7" max="7" width="13.28515625" bestFit="1" customWidth="1"/>
    <col min="8" max="8" width="14.85546875" bestFit="1" customWidth="1"/>
    <col min="9" max="9" width="13.28515625" bestFit="1" customWidth="1"/>
    <col min="10" max="10" width="16.140625" bestFit="1" customWidth="1"/>
    <col min="11" max="11" width="14.42578125" bestFit="1" customWidth="1"/>
    <col min="12" max="12" width="17.28515625" bestFit="1" customWidth="1"/>
    <col min="13" max="13" width="18.28515625" bestFit="1" customWidth="1"/>
    <col min="14" max="14" width="19.7109375" bestFit="1" customWidth="1"/>
    <col min="15" max="15" width="10.5703125" bestFit="1" customWidth="1"/>
    <col min="16" max="16" width="18" bestFit="1" customWidth="1"/>
    <col min="17" max="17" width="11.5703125" bestFit="1" customWidth="1"/>
  </cols>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c r="A2" t="s">
        <v>17</v>
      </c>
      <c r="B2" s="1">
        <v>45779</v>
      </c>
      <c r="C2" t="s">
        <v>18</v>
      </c>
      <c r="D2" t="s">
        <v>19</v>
      </c>
      <c r="E2" t="s">
        <v>20</v>
      </c>
      <c r="F2" t="s">
        <v>21</v>
      </c>
      <c r="G2">
        <v>1</v>
      </c>
      <c r="H2">
        <v>32000</v>
      </c>
      <c r="I2">
        <v>0.03</v>
      </c>
      <c r="J2">
        <v>32000</v>
      </c>
      <c r="K2">
        <v>31040</v>
      </c>
      <c r="L2">
        <v>26240</v>
      </c>
      <c r="M2">
        <v>1295</v>
      </c>
      <c r="N2">
        <v>1738</v>
      </c>
      <c r="O2">
        <v>1767</v>
      </c>
      <c r="P2">
        <v>5.6926546391752583E-2</v>
      </c>
      <c r="Q2" t="s">
        <v>22</v>
      </c>
    </row>
    <row r="3" spans="1:17">
      <c r="A3" t="s">
        <v>23</v>
      </c>
      <c r="B3" s="1">
        <v>45966</v>
      </c>
      <c r="C3" t="s">
        <v>24</v>
      </c>
      <c r="D3" t="s">
        <v>25</v>
      </c>
      <c r="E3" t="s">
        <v>26</v>
      </c>
      <c r="F3" t="s">
        <v>27</v>
      </c>
      <c r="G3">
        <v>4</v>
      </c>
      <c r="H3">
        <v>3500</v>
      </c>
      <c r="I3">
        <v>0</v>
      </c>
      <c r="J3">
        <v>14000</v>
      </c>
      <c r="K3">
        <v>14000</v>
      </c>
      <c r="L3">
        <v>9520</v>
      </c>
      <c r="M3">
        <v>330</v>
      </c>
      <c r="N3">
        <v>1785</v>
      </c>
      <c r="O3">
        <v>2365</v>
      </c>
      <c r="P3">
        <v>0.1689285714285714</v>
      </c>
      <c r="Q3" t="s">
        <v>28</v>
      </c>
    </row>
    <row r="4" spans="1:17">
      <c r="A4" t="s">
        <v>29</v>
      </c>
      <c r="B4" s="1">
        <v>45910</v>
      </c>
      <c r="C4" t="s">
        <v>30</v>
      </c>
      <c r="D4" t="s">
        <v>31</v>
      </c>
      <c r="E4" t="s">
        <v>20</v>
      </c>
      <c r="F4" t="s">
        <v>21</v>
      </c>
      <c r="G4">
        <v>1</v>
      </c>
      <c r="H4">
        <v>28000</v>
      </c>
      <c r="I4">
        <v>0.08</v>
      </c>
      <c r="J4">
        <v>28000</v>
      </c>
      <c r="K4">
        <v>25760</v>
      </c>
      <c r="L4">
        <v>21840</v>
      </c>
      <c r="M4">
        <v>1537</v>
      </c>
      <c r="N4">
        <v>121</v>
      </c>
      <c r="O4">
        <v>2262</v>
      </c>
      <c r="P4">
        <v>8.7810559006211181E-2</v>
      </c>
      <c r="Q4" t="s">
        <v>32</v>
      </c>
    </row>
    <row r="5" spans="1:17">
      <c r="A5" t="s">
        <v>33</v>
      </c>
      <c r="B5" s="1">
        <v>45847</v>
      </c>
      <c r="C5" t="s">
        <v>18</v>
      </c>
      <c r="D5" t="s">
        <v>34</v>
      </c>
      <c r="E5" t="s">
        <v>26</v>
      </c>
      <c r="F5" t="s">
        <v>35</v>
      </c>
      <c r="G5">
        <v>2</v>
      </c>
      <c r="H5">
        <v>32000</v>
      </c>
      <c r="I5">
        <v>0</v>
      </c>
      <c r="J5">
        <v>64000</v>
      </c>
      <c r="K5">
        <v>64000</v>
      </c>
      <c r="L5">
        <v>52480</v>
      </c>
      <c r="M5">
        <v>899</v>
      </c>
      <c r="N5">
        <v>1075</v>
      </c>
      <c r="O5">
        <v>9546</v>
      </c>
      <c r="P5">
        <v>0.14915624999999999</v>
      </c>
      <c r="Q5" t="s">
        <v>36</v>
      </c>
    </row>
    <row r="6" spans="1:17">
      <c r="A6" t="s">
        <v>37</v>
      </c>
      <c r="B6" s="1">
        <v>45824</v>
      </c>
      <c r="C6" t="s">
        <v>18</v>
      </c>
      <c r="D6" t="s">
        <v>25</v>
      </c>
      <c r="E6" t="s">
        <v>38</v>
      </c>
      <c r="F6" t="s">
        <v>27</v>
      </c>
      <c r="G6">
        <v>1</v>
      </c>
      <c r="H6">
        <v>32000</v>
      </c>
      <c r="I6">
        <v>0</v>
      </c>
      <c r="J6">
        <v>32000</v>
      </c>
      <c r="K6">
        <v>32000</v>
      </c>
      <c r="L6">
        <v>26240</v>
      </c>
      <c r="M6">
        <v>846</v>
      </c>
      <c r="N6">
        <v>2168</v>
      </c>
      <c r="O6">
        <v>2746</v>
      </c>
      <c r="P6">
        <v>8.58125E-2</v>
      </c>
      <c r="Q6" t="s">
        <v>39</v>
      </c>
    </row>
    <row r="7" spans="1:17">
      <c r="A7" t="s">
        <v>40</v>
      </c>
      <c r="B7" s="1">
        <v>45749</v>
      </c>
      <c r="C7" t="s">
        <v>30</v>
      </c>
      <c r="D7" t="s">
        <v>31</v>
      </c>
      <c r="E7" t="s">
        <v>20</v>
      </c>
      <c r="F7" t="s">
        <v>21</v>
      </c>
      <c r="G7">
        <v>2</v>
      </c>
      <c r="H7">
        <v>28000</v>
      </c>
      <c r="I7">
        <v>0.05</v>
      </c>
      <c r="J7">
        <v>56000</v>
      </c>
      <c r="K7">
        <v>53200</v>
      </c>
      <c r="L7">
        <v>43680</v>
      </c>
      <c r="M7">
        <v>764</v>
      </c>
      <c r="N7">
        <v>1463</v>
      </c>
      <c r="O7">
        <v>7293</v>
      </c>
      <c r="P7">
        <v>0.13708646616541351</v>
      </c>
      <c r="Q7" t="s">
        <v>41</v>
      </c>
    </row>
    <row r="8" spans="1:17">
      <c r="A8" t="s">
        <v>42</v>
      </c>
      <c r="B8" s="1">
        <v>46047</v>
      </c>
      <c r="C8" t="s">
        <v>18</v>
      </c>
      <c r="D8" t="s">
        <v>34</v>
      </c>
      <c r="E8" t="s">
        <v>26</v>
      </c>
      <c r="F8" t="s">
        <v>35</v>
      </c>
      <c r="G8">
        <v>3</v>
      </c>
      <c r="H8">
        <v>32000</v>
      </c>
      <c r="I8">
        <v>0.15</v>
      </c>
      <c r="J8">
        <v>96000</v>
      </c>
      <c r="K8">
        <v>81600</v>
      </c>
      <c r="L8">
        <v>78720</v>
      </c>
      <c r="M8">
        <v>1785</v>
      </c>
      <c r="N8">
        <v>1121</v>
      </c>
      <c r="O8">
        <v>-26</v>
      </c>
      <c r="P8">
        <v>-3.1862745098039217E-4</v>
      </c>
      <c r="Q8" t="s">
        <v>43</v>
      </c>
    </row>
    <row r="9" spans="1:17">
      <c r="A9" t="s">
        <v>44</v>
      </c>
      <c r="B9" s="1">
        <v>45927</v>
      </c>
      <c r="C9" t="s">
        <v>18</v>
      </c>
      <c r="D9" t="s">
        <v>34</v>
      </c>
      <c r="E9" t="s">
        <v>20</v>
      </c>
      <c r="F9" t="s">
        <v>35</v>
      </c>
      <c r="G9">
        <v>2</v>
      </c>
      <c r="H9">
        <v>32000</v>
      </c>
      <c r="I9">
        <v>0.1</v>
      </c>
      <c r="J9">
        <v>64000</v>
      </c>
      <c r="K9">
        <v>57600</v>
      </c>
      <c r="L9">
        <v>52480</v>
      </c>
      <c r="M9">
        <v>361</v>
      </c>
      <c r="N9">
        <v>301</v>
      </c>
      <c r="O9">
        <v>4458</v>
      </c>
      <c r="P9">
        <v>7.739583333333333E-2</v>
      </c>
      <c r="Q9" t="s">
        <v>32</v>
      </c>
    </row>
    <row r="10" spans="1:17">
      <c r="A10" t="s">
        <v>45</v>
      </c>
      <c r="B10" s="1">
        <v>45710</v>
      </c>
      <c r="C10" t="s">
        <v>46</v>
      </c>
      <c r="D10" t="s">
        <v>25</v>
      </c>
      <c r="E10" t="s">
        <v>38</v>
      </c>
      <c r="F10" t="s">
        <v>21</v>
      </c>
      <c r="G10">
        <v>1</v>
      </c>
      <c r="H10">
        <v>18000</v>
      </c>
      <c r="I10">
        <v>0.05</v>
      </c>
      <c r="J10">
        <v>18000</v>
      </c>
      <c r="K10">
        <v>17100</v>
      </c>
      <c r="L10">
        <v>14400</v>
      </c>
      <c r="M10">
        <v>537</v>
      </c>
      <c r="N10">
        <v>978</v>
      </c>
      <c r="O10">
        <v>1185</v>
      </c>
      <c r="P10">
        <v>6.9298245614035081E-2</v>
      </c>
      <c r="Q10" t="s">
        <v>47</v>
      </c>
    </row>
    <row r="11" spans="1:17">
      <c r="A11" t="s">
        <v>48</v>
      </c>
      <c r="B11" s="1">
        <v>45786</v>
      </c>
      <c r="C11" t="s">
        <v>24</v>
      </c>
      <c r="D11" t="s">
        <v>31</v>
      </c>
      <c r="E11" t="s">
        <v>20</v>
      </c>
      <c r="F11" t="s">
        <v>35</v>
      </c>
      <c r="G11">
        <v>1</v>
      </c>
      <c r="H11">
        <v>3500</v>
      </c>
      <c r="I11">
        <v>0.05</v>
      </c>
      <c r="J11">
        <v>3500</v>
      </c>
      <c r="K11">
        <v>3325</v>
      </c>
      <c r="L11">
        <v>2380</v>
      </c>
      <c r="M11">
        <v>264</v>
      </c>
      <c r="N11">
        <v>1467</v>
      </c>
      <c r="O11">
        <v>-786</v>
      </c>
      <c r="P11">
        <v>-0.23639097744360901</v>
      </c>
      <c r="Q11" t="s">
        <v>22</v>
      </c>
    </row>
    <row r="12" spans="1:17">
      <c r="A12" t="s">
        <v>49</v>
      </c>
      <c r="B12" s="1">
        <v>46036</v>
      </c>
      <c r="C12" t="s">
        <v>50</v>
      </c>
      <c r="D12" t="s">
        <v>51</v>
      </c>
      <c r="E12" t="s">
        <v>38</v>
      </c>
      <c r="F12" t="s">
        <v>21</v>
      </c>
      <c r="G12">
        <v>1</v>
      </c>
      <c r="H12">
        <v>2500</v>
      </c>
      <c r="I12">
        <v>0.1</v>
      </c>
      <c r="J12">
        <v>2500</v>
      </c>
      <c r="K12">
        <v>2250</v>
      </c>
      <c r="L12">
        <v>1550</v>
      </c>
      <c r="M12">
        <v>618</v>
      </c>
      <c r="N12">
        <v>2436</v>
      </c>
      <c r="O12">
        <v>-2354</v>
      </c>
      <c r="P12">
        <v>-1.0462222222222219</v>
      </c>
      <c r="Q12" t="s">
        <v>43</v>
      </c>
    </row>
    <row r="13" spans="1:17">
      <c r="A13" t="s">
        <v>52</v>
      </c>
      <c r="B13" s="1">
        <v>46064</v>
      </c>
      <c r="C13" t="s">
        <v>53</v>
      </c>
      <c r="D13" t="s">
        <v>34</v>
      </c>
      <c r="E13" t="s">
        <v>20</v>
      </c>
      <c r="F13" t="s">
        <v>21</v>
      </c>
      <c r="G13">
        <v>7</v>
      </c>
      <c r="H13">
        <v>1500</v>
      </c>
      <c r="I13">
        <v>0.15</v>
      </c>
      <c r="J13">
        <v>10500</v>
      </c>
      <c r="K13">
        <v>8925</v>
      </c>
      <c r="L13">
        <v>5775.0000000000009</v>
      </c>
      <c r="M13">
        <v>979</v>
      </c>
      <c r="N13">
        <v>602</v>
      </c>
      <c r="O13">
        <v>1568.9999999999991</v>
      </c>
      <c r="P13">
        <v>0.17579831932773099</v>
      </c>
      <c r="Q13" t="s">
        <v>54</v>
      </c>
    </row>
    <row r="14" spans="1:17">
      <c r="A14" t="s">
        <v>55</v>
      </c>
      <c r="B14" s="1">
        <v>45662</v>
      </c>
      <c r="C14" t="s">
        <v>46</v>
      </c>
      <c r="D14" t="s">
        <v>25</v>
      </c>
      <c r="E14" t="s">
        <v>20</v>
      </c>
      <c r="F14" t="s">
        <v>35</v>
      </c>
      <c r="G14">
        <v>2</v>
      </c>
      <c r="H14">
        <v>18000</v>
      </c>
      <c r="I14">
        <v>0.15</v>
      </c>
      <c r="J14">
        <v>36000</v>
      </c>
      <c r="K14">
        <v>30600</v>
      </c>
      <c r="L14">
        <v>28800</v>
      </c>
      <c r="M14">
        <v>1160</v>
      </c>
      <c r="N14">
        <v>1585</v>
      </c>
      <c r="O14">
        <v>-945</v>
      </c>
      <c r="P14">
        <v>-3.0882352941176468E-2</v>
      </c>
      <c r="Q14" t="s">
        <v>56</v>
      </c>
    </row>
    <row r="15" spans="1:17">
      <c r="A15" t="s">
        <v>57</v>
      </c>
      <c r="B15" s="1">
        <v>45898</v>
      </c>
      <c r="C15" t="s">
        <v>50</v>
      </c>
      <c r="D15" t="s">
        <v>31</v>
      </c>
      <c r="E15" t="s">
        <v>26</v>
      </c>
      <c r="F15" t="s">
        <v>21</v>
      </c>
      <c r="G15">
        <v>1</v>
      </c>
      <c r="H15">
        <v>2500</v>
      </c>
      <c r="I15">
        <v>0.1</v>
      </c>
      <c r="J15">
        <v>2500</v>
      </c>
      <c r="K15">
        <v>2250</v>
      </c>
      <c r="L15">
        <v>1550</v>
      </c>
      <c r="M15">
        <v>1777</v>
      </c>
      <c r="N15">
        <v>1584</v>
      </c>
      <c r="O15">
        <v>-2661</v>
      </c>
      <c r="P15">
        <v>-1.182666666666667</v>
      </c>
      <c r="Q15" t="s">
        <v>58</v>
      </c>
    </row>
    <row r="16" spans="1:17">
      <c r="A16" t="s">
        <v>59</v>
      </c>
      <c r="B16" s="1">
        <v>45693</v>
      </c>
      <c r="C16" t="s">
        <v>24</v>
      </c>
      <c r="D16" t="s">
        <v>51</v>
      </c>
      <c r="E16" t="s">
        <v>20</v>
      </c>
      <c r="F16" t="s">
        <v>35</v>
      </c>
      <c r="G16">
        <v>7</v>
      </c>
      <c r="H16">
        <v>3500</v>
      </c>
      <c r="I16">
        <v>0.08</v>
      </c>
      <c r="J16">
        <v>24500</v>
      </c>
      <c r="K16">
        <v>22540</v>
      </c>
      <c r="L16">
        <v>16660</v>
      </c>
      <c r="M16">
        <v>1394</v>
      </c>
      <c r="N16">
        <v>640</v>
      </c>
      <c r="O16">
        <v>3846</v>
      </c>
      <c r="P16">
        <v>0.17062999112688551</v>
      </c>
      <c r="Q16" t="s">
        <v>47</v>
      </c>
    </row>
    <row r="17" spans="1:17">
      <c r="A17" t="s">
        <v>60</v>
      </c>
      <c r="B17" s="1">
        <v>45685</v>
      </c>
      <c r="C17" t="s">
        <v>61</v>
      </c>
      <c r="D17" t="s">
        <v>31</v>
      </c>
      <c r="E17" t="s">
        <v>20</v>
      </c>
      <c r="F17" t="s">
        <v>27</v>
      </c>
      <c r="G17">
        <v>4</v>
      </c>
      <c r="H17">
        <v>4500</v>
      </c>
      <c r="I17">
        <v>0.15</v>
      </c>
      <c r="J17">
        <v>18000</v>
      </c>
      <c r="K17">
        <v>15300</v>
      </c>
      <c r="L17">
        <v>11700</v>
      </c>
      <c r="M17">
        <v>756</v>
      </c>
      <c r="N17">
        <v>1697</v>
      </c>
      <c r="O17">
        <v>1147</v>
      </c>
      <c r="P17">
        <v>7.4967320261437903E-2</v>
      </c>
      <c r="Q17" t="s">
        <v>56</v>
      </c>
    </row>
    <row r="18" spans="1:17">
      <c r="A18" t="s">
        <v>62</v>
      </c>
      <c r="B18" s="1">
        <v>45882</v>
      </c>
      <c r="C18" t="s">
        <v>50</v>
      </c>
      <c r="D18" t="s">
        <v>63</v>
      </c>
      <c r="E18" t="s">
        <v>20</v>
      </c>
      <c r="F18" t="s">
        <v>35</v>
      </c>
      <c r="G18">
        <v>2</v>
      </c>
      <c r="H18">
        <v>2500</v>
      </c>
      <c r="I18">
        <v>0</v>
      </c>
      <c r="J18">
        <v>5000</v>
      </c>
      <c r="K18">
        <v>5000</v>
      </c>
      <c r="L18">
        <v>3100</v>
      </c>
      <c r="M18">
        <v>1696</v>
      </c>
      <c r="N18">
        <v>2337</v>
      </c>
      <c r="O18">
        <v>-2133</v>
      </c>
      <c r="P18">
        <v>-0.42659999999999998</v>
      </c>
      <c r="Q18" t="s">
        <v>58</v>
      </c>
    </row>
    <row r="19" spans="1:17">
      <c r="A19" t="s">
        <v>64</v>
      </c>
      <c r="B19" s="1">
        <v>46113</v>
      </c>
      <c r="C19" t="s">
        <v>53</v>
      </c>
      <c r="D19" t="s">
        <v>19</v>
      </c>
      <c r="E19" t="s">
        <v>20</v>
      </c>
      <c r="F19" t="s">
        <v>35</v>
      </c>
      <c r="G19">
        <v>5</v>
      </c>
      <c r="H19">
        <v>1500</v>
      </c>
      <c r="I19">
        <v>0.15</v>
      </c>
      <c r="J19">
        <v>7500</v>
      </c>
      <c r="K19">
        <v>6375</v>
      </c>
      <c r="L19">
        <v>4125</v>
      </c>
      <c r="M19">
        <v>1582</v>
      </c>
      <c r="N19">
        <v>809</v>
      </c>
      <c r="O19">
        <v>-141</v>
      </c>
      <c r="P19">
        <v>-2.211764705882353E-2</v>
      </c>
      <c r="Q19" t="s">
        <v>65</v>
      </c>
    </row>
    <row r="20" spans="1:17">
      <c r="A20" t="s">
        <v>66</v>
      </c>
      <c r="B20" s="1">
        <v>46129</v>
      </c>
      <c r="C20" t="s">
        <v>50</v>
      </c>
      <c r="D20" t="s">
        <v>63</v>
      </c>
      <c r="E20" t="s">
        <v>20</v>
      </c>
      <c r="F20" t="s">
        <v>35</v>
      </c>
      <c r="G20">
        <v>2</v>
      </c>
      <c r="H20">
        <v>2500</v>
      </c>
      <c r="I20">
        <v>0.05</v>
      </c>
      <c r="J20">
        <v>5000</v>
      </c>
      <c r="K20">
        <v>4750</v>
      </c>
      <c r="L20">
        <v>3100</v>
      </c>
      <c r="M20">
        <v>1597</v>
      </c>
      <c r="N20">
        <v>1731</v>
      </c>
      <c r="O20">
        <v>-1678</v>
      </c>
      <c r="P20">
        <v>-0.35326315789473678</v>
      </c>
      <c r="Q20" t="s">
        <v>65</v>
      </c>
    </row>
    <row r="21" spans="1:17">
      <c r="A21" t="s">
        <v>67</v>
      </c>
      <c r="B21" s="1">
        <v>45738</v>
      </c>
      <c r="C21" t="s">
        <v>30</v>
      </c>
      <c r="D21" t="s">
        <v>19</v>
      </c>
      <c r="E21" t="s">
        <v>26</v>
      </c>
      <c r="F21" t="s">
        <v>21</v>
      </c>
      <c r="G21">
        <v>2</v>
      </c>
      <c r="H21">
        <v>28000</v>
      </c>
      <c r="I21">
        <v>0.1</v>
      </c>
      <c r="J21">
        <v>56000</v>
      </c>
      <c r="K21">
        <v>50400</v>
      </c>
      <c r="L21">
        <v>43680</v>
      </c>
      <c r="M21">
        <v>1610</v>
      </c>
      <c r="N21">
        <v>1736</v>
      </c>
      <c r="O21">
        <v>3374</v>
      </c>
      <c r="P21">
        <v>6.6944444444444445E-2</v>
      </c>
      <c r="Q21" t="s">
        <v>68</v>
      </c>
    </row>
    <row r="22" spans="1:17">
      <c r="A22" t="s">
        <v>69</v>
      </c>
      <c r="B22" s="1">
        <v>45787</v>
      </c>
      <c r="C22" t="s">
        <v>61</v>
      </c>
      <c r="D22" t="s">
        <v>51</v>
      </c>
      <c r="E22" t="s">
        <v>20</v>
      </c>
      <c r="F22" t="s">
        <v>27</v>
      </c>
      <c r="G22">
        <v>7</v>
      </c>
      <c r="H22">
        <v>4500</v>
      </c>
      <c r="I22">
        <v>0.05</v>
      </c>
      <c r="J22">
        <v>31500</v>
      </c>
      <c r="K22">
        <v>29925</v>
      </c>
      <c r="L22">
        <v>20475</v>
      </c>
      <c r="M22">
        <v>1448</v>
      </c>
      <c r="N22">
        <v>1761</v>
      </c>
      <c r="O22">
        <v>6241</v>
      </c>
      <c r="P22">
        <v>0.20855472013366749</v>
      </c>
      <c r="Q22" t="s">
        <v>22</v>
      </c>
    </row>
    <row r="23" spans="1:17">
      <c r="A23" t="s">
        <v>70</v>
      </c>
      <c r="B23" s="1">
        <v>46058</v>
      </c>
      <c r="C23" t="s">
        <v>46</v>
      </c>
      <c r="D23" t="s">
        <v>34</v>
      </c>
      <c r="E23" t="s">
        <v>20</v>
      </c>
      <c r="F23" t="s">
        <v>21</v>
      </c>
      <c r="G23">
        <v>3</v>
      </c>
      <c r="H23">
        <v>18000</v>
      </c>
      <c r="I23">
        <v>0.08</v>
      </c>
      <c r="J23">
        <v>54000</v>
      </c>
      <c r="K23">
        <v>49680</v>
      </c>
      <c r="L23">
        <v>43200</v>
      </c>
      <c r="M23">
        <v>402</v>
      </c>
      <c r="N23">
        <v>222</v>
      </c>
      <c r="O23">
        <v>5856</v>
      </c>
      <c r="P23">
        <v>0.11787439613526569</v>
      </c>
      <c r="Q23" t="s">
        <v>54</v>
      </c>
    </row>
    <row r="24" spans="1:17">
      <c r="A24" t="s">
        <v>71</v>
      </c>
      <c r="B24" s="1">
        <v>45858</v>
      </c>
      <c r="C24" t="s">
        <v>61</v>
      </c>
      <c r="D24" t="s">
        <v>31</v>
      </c>
      <c r="E24" t="s">
        <v>26</v>
      </c>
      <c r="F24" t="s">
        <v>21</v>
      </c>
      <c r="G24">
        <v>6</v>
      </c>
      <c r="H24">
        <v>4500</v>
      </c>
      <c r="I24">
        <v>0.08</v>
      </c>
      <c r="J24">
        <v>27000</v>
      </c>
      <c r="K24">
        <v>24840</v>
      </c>
      <c r="L24">
        <v>17550</v>
      </c>
      <c r="M24">
        <v>951</v>
      </c>
      <c r="N24">
        <v>2291</v>
      </c>
      <c r="O24">
        <v>4048</v>
      </c>
      <c r="P24">
        <v>0.162962962962963</v>
      </c>
      <c r="Q24" t="s">
        <v>36</v>
      </c>
    </row>
    <row r="25" spans="1:17">
      <c r="A25" t="s">
        <v>72</v>
      </c>
      <c r="B25" s="1">
        <v>46168</v>
      </c>
      <c r="C25" t="s">
        <v>50</v>
      </c>
      <c r="D25" t="s">
        <v>19</v>
      </c>
      <c r="E25" t="s">
        <v>20</v>
      </c>
      <c r="F25" t="s">
        <v>35</v>
      </c>
      <c r="G25">
        <v>4</v>
      </c>
      <c r="H25">
        <v>2500</v>
      </c>
      <c r="I25">
        <v>0.05</v>
      </c>
      <c r="J25">
        <v>10000</v>
      </c>
      <c r="K25">
        <v>9500</v>
      </c>
      <c r="L25">
        <v>6200</v>
      </c>
      <c r="M25">
        <v>602</v>
      </c>
      <c r="N25">
        <v>1469</v>
      </c>
      <c r="O25">
        <v>1229</v>
      </c>
      <c r="P25">
        <v>0.1293684210526316</v>
      </c>
      <c r="Q25" t="s">
        <v>73</v>
      </c>
    </row>
    <row r="26" spans="1:17">
      <c r="A26" t="s">
        <v>74</v>
      </c>
      <c r="B26" s="1">
        <v>46130</v>
      </c>
      <c r="C26" t="s">
        <v>75</v>
      </c>
      <c r="D26" t="s">
        <v>25</v>
      </c>
      <c r="E26" t="s">
        <v>38</v>
      </c>
      <c r="F26" t="s">
        <v>27</v>
      </c>
      <c r="G26">
        <v>1</v>
      </c>
      <c r="H26">
        <v>65000</v>
      </c>
      <c r="I26">
        <v>0.05</v>
      </c>
      <c r="J26">
        <v>65000</v>
      </c>
      <c r="K26">
        <v>61750</v>
      </c>
      <c r="L26">
        <v>54600</v>
      </c>
      <c r="M26">
        <v>750</v>
      </c>
      <c r="N26">
        <v>2485</v>
      </c>
      <c r="O26">
        <v>3915</v>
      </c>
      <c r="P26">
        <v>6.3400809716599185E-2</v>
      </c>
      <c r="Q26" t="s">
        <v>65</v>
      </c>
    </row>
    <row r="27" spans="1:17">
      <c r="A27" t="s">
        <v>76</v>
      </c>
      <c r="B27" s="1">
        <v>45659</v>
      </c>
      <c r="C27" t="s">
        <v>50</v>
      </c>
      <c r="D27" t="s">
        <v>63</v>
      </c>
      <c r="E27" t="s">
        <v>20</v>
      </c>
      <c r="F27" t="s">
        <v>27</v>
      </c>
      <c r="G27">
        <v>7</v>
      </c>
      <c r="H27">
        <v>2500</v>
      </c>
      <c r="I27">
        <v>0.08</v>
      </c>
      <c r="J27">
        <v>17500</v>
      </c>
      <c r="K27">
        <v>16100</v>
      </c>
      <c r="L27">
        <v>10850</v>
      </c>
      <c r="M27">
        <v>545</v>
      </c>
      <c r="N27">
        <v>723</v>
      </c>
      <c r="O27">
        <v>3982</v>
      </c>
      <c r="P27">
        <v>0.24732919254658389</v>
      </c>
      <c r="Q27" t="s">
        <v>56</v>
      </c>
    </row>
    <row r="28" spans="1:17">
      <c r="A28" t="s">
        <v>77</v>
      </c>
      <c r="B28" s="1">
        <v>45865</v>
      </c>
      <c r="C28" t="s">
        <v>24</v>
      </c>
      <c r="D28" t="s">
        <v>19</v>
      </c>
      <c r="E28" t="s">
        <v>38</v>
      </c>
      <c r="F28" t="s">
        <v>35</v>
      </c>
      <c r="G28">
        <v>3</v>
      </c>
      <c r="H28">
        <v>3500</v>
      </c>
      <c r="I28">
        <v>0.03</v>
      </c>
      <c r="J28">
        <v>10500</v>
      </c>
      <c r="K28">
        <v>10185</v>
      </c>
      <c r="L28">
        <v>7140.0000000000009</v>
      </c>
      <c r="M28">
        <v>1456</v>
      </c>
      <c r="N28">
        <v>1782</v>
      </c>
      <c r="O28">
        <v>-193.00000000000091</v>
      </c>
      <c r="P28">
        <v>-1.894943544428089E-2</v>
      </c>
      <c r="Q28" t="s">
        <v>36</v>
      </c>
    </row>
    <row r="29" spans="1:17">
      <c r="A29" t="s">
        <v>78</v>
      </c>
      <c r="B29" s="1">
        <v>45761</v>
      </c>
      <c r="C29" t="s">
        <v>75</v>
      </c>
      <c r="D29" t="s">
        <v>31</v>
      </c>
      <c r="E29" t="s">
        <v>26</v>
      </c>
      <c r="F29" t="s">
        <v>35</v>
      </c>
      <c r="G29">
        <v>3</v>
      </c>
      <c r="H29">
        <v>65000</v>
      </c>
      <c r="I29">
        <v>0.15</v>
      </c>
      <c r="J29">
        <v>195000</v>
      </c>
      <c r="K29">
        <v>165750</v>
      </c>
      <c r="L29">
        <v>163800</v>
      </c>
      <c r="M29">
        <v>1643</v>
      </c>
      <c r="N29">
        <v>1545</v>
      </c>
      <c r="O29">
        <v>-1238</v>
      </c>
      <c r="P29">
        <v>-7.4690799396681749E-3</v>
      </c>
      <c r="Q29" t="s">
        <v>41</v>
      </c>
    </row>
    <row r="30" spans="1:17">
      <c r="A30" t="s">
        <v>79</v>
      </c>
      <c r="B30" s="1">
        <v>45995</v>
      </c>
      <c r="C30" t="s">
        <v>75</v>
      </c>
      <c r="D30" t="s">
        <v>25</v>
      </c>
      <c r="E30" t="s">
        <v>26</v>
      </c>
      <c r="F30" t="s">
        <v>21</v>
      </c>
      <c r="G30">
        <v>3</v>
      </c>
      <c r="H30">
        <v>65000</v>
      </c>
      <c r="I30">
        <v>0.2</v>
      </c>
      <c r="J30">
        <v>195000</v>
      </c>
      <c r="K30">
        <v>156000</v>
      </c>
      <c r="L30">
        <v>163800</v>
      </c>
      <c r="M30">
        <v>1113</v>
      </c>
      <c r="N30">
        <v>2019</v>
      </c>
      <c r="O30">
        <v>-10932</v>
      </c>
      <c r="P30">
        <v>-7.0076923076923078E-2</v>
      </c>
      <c r="Q30" t="s">
        <v>80</v>
      </c>
    </row>
    <row r="31" spans="1:17">
      <c r="A31" t="s">
        <v>81</v>
      </c>
      <c r="B31" s="1">
        <v>46161</v>
      </c>
      <c r="C31" t="s">
        <v>75</v>
      </c>
      <c r="D31" t="s">
        <v>19</v>
      </c>
      <c r="E31" t="s">
        <v>26</v>
      </c>
      <c r="F31" t="s">
        <v>21</v>
      </c>
      <c r="G31">
        <v>1</v>
      </c>
      <c r="H31">
        <v>65000</v>
      </c>
      <c r="I31">
        <v>0</v>
      </c>
      <c r="J31">
        <v>65000</v>
      </c>
      <c r="K31">
        <v>65000</v>
      </c>
      <c r="L31">
        <v>54600</v>
      </c>
      <c r="M31">
        <v>597</v>
      </c>
      <c r="N31">
        <v>1400</v>
      </c>
      <c r="O31">
        <v>8403</v>
      </c>
      <c r="P31">
        <v>0.12927692307692309</v>
      </c>
      <c r="Q31" t="s">
        <v>73</v>
      </c>
    </row>
    <row r="32" spans="1:17">
      <c r="A32" t="s">
        <v>82</v>
      </c>
      <c r="B32" s="1">
        <v>45695</v>
      </c>
      <c r="C32" t="s">
        <v>53</v>
      </c>
      <c r="D32" t="s">
        <v>34</v>
      </c>
      <c r="E32" t="s">
        <v>20</v>
      </c>
      <c r="F32" t="s">
        <v>27</v>
      </c>
      <c r="G32">
        <v>3</v>
      </c>
      <c r="H32">
        <v>1500</v>
      </c>
      <c r="I32">
        <v>0.05</v>
      </c>
      <c r="J32">
        <v>4500</v>
      </c>
      <c r="K32">
        <v>4275</v>
      </c>
      <c r="L32">
        <v>2475</v>
      </c>
      <c r="M32">
        <v>1598</v>
      </c>
      <c r="N32">
        <v>1145</v>
      </c>
      <c r="O32">
        <v>-943</v>
      </c>
      <c r="P32">
        <v>-0.22058479532163741</v>
      </c>
      <c r="Q32" t="s">
        <v>47</v>
      </c>
    </row>
    <row r="33" spans="1:17">
      <c r="A33" t="s">
        <v>83</v>
      </c>
      <c r="B33" s="1">
        <v>46138</v>
      </c>
      <c r="C33" t="s">
        <v>50</v>
      </c>
      <c r="D33" t="s">
        <v>51</v>
      </c>
      <c r="E33" t="s">
        <v>20</v>
      </c>
      <c r="F33" t="s">
        <v>21</v>
      </c>
      <c r="G33">
        <v>3</v>
      </c>
      <c r="H33">
        <v>2500</v>
      </c>
      <c r="I33">
        <v>0.1</v>
      </c>
      <c r="J33">
        <v>7500</v>
      </c>
      <c r="K33">
        <v>6750</v>
      </c>
      <c r="L33">
        <v>4650</v>
      </c>
      <c r="M33">
        <v>997</v>
      </c>
      <c r="N33">
        <v>2431</v>
      </c>
      <c r="O33">
        <v>-1328</v>
      </c>
      <c r="P33">
        <v>-0.19674074074074069</v>
      </c>
      <c r="Q33" t="s">
        <v>65</v>
      </c>
    </row>
    <row r="34" spans="1:17">
      <c r="A34" t="s">
        <v>84</v>
      </c>
      <c r="B34" s="1">
        <v>45829</v>
      </c>
      <c r="C34" t="s">
        <v>53</v>
      </c>
      <c r="D34" t="s">
        <v>31</v>
      </c>
      <c r="E34" t="s">
        <v>20</v>
      </c>
      <c r="F34" t="s">
        <v>35</v>
      </c>
      <c r="G34">
        <v>3</v>
      </c>
      <c r="H34">
        <v>1500</v>
      </c>
      <c r="I34">
        <v>0.1</v>
      </c>
      <c r="J34">
        <v>4500</v>
      </c>
      <c r="K34">
        <v>4050</v>
      </c>
      <c r="L34">
        <v>2475</v>
      </c>
      <c r="M34">
        <v>1735</v>
      </c>
      <c r="N34">
        <v>116</v>
      </c>
      <c r="O34">
        <v>-276</v>
      </c>
      <c r="P34">
        <v>-6.8148148148148152E-2</v>
      </c>
      <c r="Q34" t="s">
        <v>39</v>
      </c>
    </row>
    <row r="35" spans="1:17">
      <c r="A35" t="s">
        <v>85</v>
      </c>
      <c r="B35" s="1">
        <v>46006</v>
      </c>
      <c r="C35" t="s">
        <v>61</v>
      </c>
      <c r="D35" t="s">
        <v>63</v>
      </c>
      <c r="E35" t="s">
        <v>26</v>
      </c>
      <c r="F35" t="s">
        <v>21</v>
      </c>
      <c r="G35">
        <v>3</v>
      </c>
      <c r="H35">
        <v>4500</v>
      </c>
      <c r="I35">
        <v>0.1</v>
      </c>
      <c r="J35">
        <v>13500</v>
      </c>
      <c r="K35">
        <v>12150</v>
      </c>
      <c r="L35">
        <v>8775</v>
      </c>
      <c r="M35">
        <v>1260</v>
      </c>
      <c r="N35">
        <v>2427</v>
      </c>
      <c r="O35">
        <v>-312</v>
      </c>
      <c r="P35">
        <v>-2.5679012345679011E-2</v>
      </c>
      <c r="Q35" t="s">
        <v>80</v>
      </c>
    </row>
    <row r="36" spans="1:17">
      <c r="A36" t="s">
        <v>86</v>
      </c>
      <c r="B36" s="1">
        <v>45818</v>
      </c>
      <c r="C36" t="s">
        <v>53</v>
      </c>
      <c r="D36" t="s">
        <v>19</v>
      </c>
      <c r="E36" t="s">
        <v>20</v>
      </c>
      <c r="F36" t="s">
        <v>21</v>
      </c>
      <c r="G36">
        <v>1</v>
      </c>
      <c r="H36">
        <v>1500</v>
      </c>
      <c r="I36">
        <v>0</v>
      </c>
      <c r="J36">
        <v>1500</v>
      </c>
      <c r="K36">
        <v>1500</v>
      </c>
      <c r="L36">
        <v>825.00000000000011</v>
      </c>
      <c r="M36">
        <v>452</v>
      </c>
      <c r="N36">
        <v>1080</v>
      </c>
      <c r="O36">
        <v>-857.00000000000011</v>
      </c>
      <c r="P36">
        <v>-0.57133333333333336</v>
      </c>
      <c r="Q36" t="s">
        <v>39</v>
      </c>
    </row>
    <row r="37" spans="1:17">
      <c r="A37" t="s">
        <v>87</v>
      </c>
      <c r="B37" s="1">
        <v>45945</v>
      </c>
      <c r="C37" t="s">
        <v>18</v>
      </c>
      <c r="D37" t="s">
        <v>34</v>
      </c>
      <c r="E37" t="s">
        <v>20</v>
      </c>
      <c r="F37" t="s">
        <v>35</v>
      </c>
      <c r="G37">
        <v>2</v>
      </c>
      <c r="H37">
        <v>32000</v>
      </c>
      <c r="I37">
        <v>0.1</v>
      </c>
      <c r="J37">
        <v>64000</v>
      </c>
      <c r="K37">
        <v>57600</v>
      </c>
      <c r="L37">
        <v>52480</v>
      </c>
      <c r="M37">
        <v>885</v>
      </c>
      <c r="N37">
        <v>725</v>
      </c>
      <c r="O37">
        <v>3510</v>
      </c>
      <c r="P37">
        <v>6.0937499999999999E-2</v>
      </c>
      <c r="Q37" t="s">
        <v>88</v>
      </c>
    </row>
    <row r="38" spans="1:17">
      <c r="A38" t="s">
        <v>89</v>
      </c>
      <c r="B38" s="1">
        <v>45833</v>
      </c>
      <c r="C38" t="s">
        <v>30</v>
      </c>
      <c r="D38" t="s">
        <v>51</v>
      </c>
      <c r="E38" t="s">
        <v>20</v>
      </c>
      <c r="F38" t="s">
        <v>35</v>
      </c>
      <c r="G38">
        <v>2</v>
      </c>
      <c r="H38">
        <v>28000</v>
      </c>
      <c r="I38">
        <v>0.05</v>
      </c>
      <c r="J38">
        <v>56000</v>
      </c>
      <c r="K38">
        <v>53200</v>
      </c>
      <c r="L38">
        <v>43680</v>
      </c>
      <c r="M38">
        <v>1327</v>
      </c>
      <c r="N38">
        <v>345</v>
      </c>
      <c r="O38">
        <v>7848</v>
      </c>
      <c r="P38">
        <v>0.14751879699248119</v>
      </c>
      <c r="Q38" t="s">
        <v>39</v>
      </c>
    </row>
    <row r="39" spans="1:17">
      <c r="A39" t="s">
        <v>90</v>
      </c>
      <c r="B39" s="1">
        <v>45693</v>
      </c>
      <c r="C39" t="s">
        <v>30</v>
      </c>
      <c r="D39" t="s">
        <v>51</v>
      </c>
      <c r="E39" t="s">
        <v>20</v>
      </c>
      <c r="F39" t="s">
        <v>35</v>
      </c>
      <c r="G39">
        <v>1</v>
      </c>
      <c r="H39">
        <v>28000</v>
      </c>
      <c r="I39">
        <v>0.08</v>
      </c>
      <c r="J39">
        <v>28000</v>
      </c>
      <c r="K39">
        <v>25760</v>
      </c>
      <c r="L39">
        <v>21840</v>
      </c>
      <c r="M39">
        <v>1027</v>
      </c>
      <c r="N39">
        <v>1629</v>
      </c>
      <c r="O39">
        <v>1264</v>
      </c>
      <c r="P39">
        <v>4.9068322981366458E-2</v>
      </c>
      <c r="Q39" t="s">
        <v>47</v>
      </c>
    </row>
    <row r="40" spans="1:17">
      <c r="A40" t="s">
        <v>91</v>
      </c>
      <c r="B40" s="1">
        <v>45749</v>
      </c>
      <c r="C40" t="s">
        <v>61</v>
      </c>
      <c r="D40" t="s">
        <v>25</v>
      </c>
      <c r="E40" t="s">
        <v>20</v>
      </c>
      <c r="F40" t="s">
        <v>21</v>
      </c>
      <c r="G40">
        <v>6</v>
      </c>
      <c r="H40">
        <v>4500</v>
      </c>
      <c r="I40">
        <v>0.15</v>
      </c>
      <c r="J40">
        <v>27000</v>
      </c>
      <c r="K40">
        <v>22950</v>
      </c>
      <c r="L40">
        <v>17550</v>
      </c>
      <c r="M40">
        <v>670</v>
      </c>
      <c r="N40">
        <v>1266</v>
      </c>
      <c r="O40">
        <v>3464</v>
      </c>
      <c r="P40">
        <v>0.1509368191721133</v>
      </c>
      <c r="Q40" t="s">
        <v>41</v>
      </c>
    </row>
    <row r="41" spans="1:17">
      <c r="A41" t="s">
        <v>92</v>
      </c>
      <c r="B41" s="1">
        <v>45807</v>
      </c>
      <c r="C41" t="s">
        <v>61</v>
      </c>
      <c r="D41" t="s">
        <v>25</v>
      </c>
      <c r="E41" t="s">
        <v>38</v>
      </c>
      <c r="F41" t="s">
        <v>35</v>
      </c>
      <c r="G41">
        <v>3</v>
      </c>
      <c r="H41">
        <v>4500</v>
      </c>
      <c r="I41">
        <v>0.05</v>
      </c>
      <c r="J41">
        <v>13500</v>
      </c>
      <c r="K41">
        <v>12825</v>
      </c>
      <c r="L41">
        <v>8775</v>
      </c>
      <c r="M41">
        <v>774</v>
      </c>
      <c r="N41">
        <v>1248</v>
      </c>
      <c r="O41">
        <v>2028</v>
      </c>
      <c r="P41">
        <v>0.1581286549707602</v>
      </c>
      <c r="Q41" t="s">
        <v>22</v>
      </c>
    </row>
    <row r="42" spans="1:17">
      <c r="A42" t="s">
        <v>93</v>
      </c>
      <c r="B42" s="1">
        <v>45710</v>
      </c>
      <c r="C42" t="s">
        <v>30</v>
      </c>
      <c r="D42" t="s">
        <v>31</v>
      </c>
      <c r="E42" t="s">
        <v>20</v>
      </c>
      <c r="F42" t="s">
        <v>21</v>
      </c>
      <c r="G42">
        <v>2</v>
      </c>
      <c r="H42">
        <v>28000</v>
      </c>
      <c r="I42">
        <v>0.05</v>
      </c>
      <c r="J42">
        <v>56000</v>
      </c>
      <c r="K42">
        <v>53200</v>
      </c>
      <c r="L42">
        <v>43680</v>
      </c>
      <c r="M42">
        <v>1202</v>
      </c>
      <c r="N42">
        <v>2411</v>
      </c>
      <c r="O42">
        <v>5907</v>
      </c>
      <c r="P42">
        <v>0.11103383458646621</v>
      </c>
      <c r="Q42" t="s">
        <v>47</v>
      </c>
    </row>
    <row r="43" spans="1:17">
      <c r="A43" t="s">
        <v>94</v>
      </c>
      <c r="B43" s="1">
        <v>45926</v>
      </c>
      <c r="C43" t="s">
        <v>53</v>
      </c>
      <c r="D43" t="s">
        <v>25</v>
      </c>
      <c r="E43" t="s">
        <v>26</v>
      </c>
      <c r="F43" t="s">
        <v>35</v>
      </c>
      <c r="G43">
        <v>6</v>
      </c>
      <c r="H43">
        <v>1500</v>
      </c>
      <c r="I43">
        <v>0</v>
      </c>
      <c r="J43">
        <v>9000</v>
      </c>
      <c r="K43">
        <v>9000</v>
      </c>
      <c r="L43">
        <v>4950</v>
      </c>
      <c r="M43">
        <v>1083</v>
      </c>
      <c r="N43">
        <v>146</v>
      </c>
      <c r="O43">
        <v>2821</v>
      </c>
      <c r="P43">
        <v>0.31344444444444453</v>
      </c>
      <c r="Q43" t="s">
        <v>32</v>
      </c>
    </row>
    <row r="44" spans="1:17">
      <c r="A44" t="s">
        <v>95</v>
      </c>
      <c r="B44" s="1">
        <v>46003</v>
      </c>
      <c r="C44" t="s">
        <v>75</v>
      </c>
      <c r="D44" t="s">
        <v>51</v>
      </c>
      <c r="E44" t="s">
        <v>20</v>
      </c>
      <c r="F44" t="s">
        <v>35</v>
      </c>
      <c r="G44">
        <v>3</v>
      </c>
      <c r="H44">
        <v>65000</v>
      </c>
      <c r="I44">
        <v>0.05</v>
      </c>
      <c r="J44">
        <v>195000</v>
      </c>
      <c r="K44">
        <v>185250</v>
      </c>
      <c r="L44">
        <v>163800</v>
      </c>
      <c r="M44">
        <v>1281</v>
      </c>
      <c r="N44">
        <v>2074</v>
      </c>
      <c r="O44">
        <v>18095</v>
      </c>
      <c r="P44">
        <v>9.7678812415654515E-2</v>
      </c>
      <c r="Q44" t="s">
        <v>80</v>
      </c>
    </row>
    <row r="45" spans="1:17">
      <c r="A45" t="s">
        <v>96</v>
      </c>
      <c r="B45" s="1">
        <v>46170</v>
      </c>
      <c r="C45" t="s">
        <v>18</v>
      </c>
      <c r="D45" t="s">
        <v>25</v>
      </c>
      <c r="E45" t="s">
        <v>20</v>
      </c>
      <c r="F45" t="s">
        <v>35</v>
      </c>
      <c r="G45">
        <v>1</v>
      </c>
      <c r="H45">
        <v>32000</v>
      </c>
      <c r="I45">
        <v>0.08</v>
      </c>
      <c r="J45">
        <v>32000</v>
      </c>
      <c r="K45">
        <v>29440</v>
      </c>
      <c r="L45">
        <v>26240</v>
      </c>
      <c r="M45">
        <v>1281</v>
      </c>
      <c r="N45">
        <v>733</v>
      </c>
      <c r="O45">
        <v>1186</v>
      </c>
      <c r="P45">
        <v>4.0285326086956522E-2</v>
      </c>
      <c r="Q45" t="s">
        <v>73</v>
      </c>
    </row>
    <row r="46" spans="1:17">
      <c r="A46" t="s">
        <v>97</v>
      </c>
      <c r="B46" s="1">
        <v>46104</v>
      </c>
      <c r="C46" t="s">
        <v>75</v>
      </c>
      <c r="D46" t="s">
        <v>51</v>
      </c>
      <c r="E46" t="s">
        <v>26</v>
      </c>
      <c r="F46" t="s">
        <v>35</v>
      </c>
      <c r="G46">
        <v>1</v>
      </c>
      <c r="H46">
        <v>65000</v>
      </c>
      <c r="I46">
        <v>0.05</v>
      </c>
      <c r="J46">
        <v>65000</v>
      </c>
      <c r="K46">
        <v>61750</v>
      </c>
      <c r="L46">
        <v>54600</v>
      </c>
      <c r="M46">
        <v>1495</v>
      </c>
      <c r="N46">
        <v>1312</v>
      </c>
      <c r="O46">
        <v>4343</v>
      </c>
      <c r="P46">
        <v>7.0331983805668019E-2</v>
      </c>
      <c r="Q46" t="s">
        <v>98</v>
      </c>
    </row>
    <row r="47" spans="1:17">
      <c r="A47" t="s">
        <v>99</v>
      </c>
      <c r="B47" s="1">
        <v>45726</v>
      </c>
      <c r="C47" t="s">
        <v>53</v>
      </c>
      <c r="D47" t="s">
        <v>63</v>
      </c>
      <c r="E47" t="s">
        <v>20</v>
      </c>
      <c r="F47" t="s">
        <v>27</v>
      </c>
      <c r="G47">
        <v>2</v>
      </c>
      <c r="H47">
        <v>1500</v>
      </c>
      <c r="I47">
        <v>0.05</v>
      </c>
      <c r="J47">
        <v>3000</v>
      </c>
      <c r="K47">
        <v>2850</v>
      </c>
      <c r="L47">
        <v>1650</v>
      </c>
      <c r="M47">
        <v>1196</v>
      </c>
      <c r="N47">
        <v>1343</v>
      </c>
      <c r="O47">
        <v>-1339</v>
      </c>
      <c r="P47">
        <v>-0.46982456140350892</v>
      </c>
      <c r="Q47" t="s">
        <v>68</v>
      </c>
    </row>
    <row r="48" spans="1:17">
      <c r="A48" t="s">
        <v>100</v>
      </c>
      <c r="B48" s="1">
        <v>45946</v>
      </c>
      <c r="C48" t="s">
        <v>24</v>
      </c>
      <c r="D48" t="s">
        <v>34</v>
      </c>
      <c r="E48" t="s">
        <v>20</v>
      </c>
      <c r="F48" t="s">
        <v>35</v>
      </c>
      <c r="G48">
        <v>4</v>
      </c>
      <c r="H48">
        <v>3500</v>
      </c>
      <c r="I48">
        <v>0</v>
      </c>
      <c r="J48">
        <v>14000</v>
      </c>
      <c r="K48">
        <v>14000</v>
      </c>
      <c r="L48">
        <v>9520</v>
      </c>
      <c r="M48">
        <v>673</v>
      </c>
      <c r="N48">
        <v>2488</v>
      </c>
      <c r="O48">
        <v>1319</v>
      </c>
      <c r="P48">
        <v>9.4214285714285709E-2</v>
      </c>
      <c r="Q48" t="s">
        <v>88</v>
      </c>
    </row>
    <row r="49" spans="1:17">
      <c r="A49" t="s">
        <v>101</v>
      </c>
      <c r="B49" s="1">
        <v>45982</v>
      </c>
      <c r="C49" t="s">
        <v>30</v>
      </c>
      <c r="D49" t="s">
        <v>51</v>
      </c>
      <c r="E49" t="s">
        <v>20</v>
      </c>
      <c r="F49" t="s">
        <v>35</v>
      </c>
      <c r="G49">
        <v>2</v>
      </c>
      <c r="H49">
        <v>28000</v>
      </c>
      <c r="I49">
        <v>0.08</v>
      </c>
      <c r="J49">
        <v>56000</v>
      </c>
      <c r="K49">
        <v>51520</v>
      </c>
      <c r="L49">
        <v>43680</v>
      </c>
      <c r="M49">
        <v>1001</v>
      </c>
      <c r="N49">
        <v>1731</v>
      </c>
      <c r="O49">
        <v>5108</v>
      </c>
      <c r="P49">
        <v>9.9145962732919257E-2</v>
      </c>
      <c r="Q49" t="s">
        <v>28</v>
      </c>
    </row>
    <row r="50" spans="1:17">
      <c r="A50" t="s">
        <v>102</v>
      </c>
      <c r="B50" s="1">
        <v>46132</v>
      </c>
      <c r="C50" t="s">
        <v>18</v>
      </c>
      <c r="D50" t="s">
        <v>31</v>
      </c>
      <c r="E50" t="s">
        <v>26</v>
      </c>
      <c r="F50" t="s">
        <v>35</v>
      </c>
      <c r="G50">
        <v>2</v>
      </c>
      <c r="H50">
        <v>32000</v>
      </c>
      <c r="I50">
        <v>0</v>
      </c>
      <c r="J50">
        <v>64000</v>
      </c>
      <c r="K50">
        <v>64000</v>
      </c>
      <c r="L50">
        <v>52480</v>
      </c>
      <c r="M50">
        <v>1095</v>
      </c>
      <c r="N50">
        <v>2307</v>
      </c>
      <c r="O50">
        <v>8118</v>
      </c>
      <c r="P50">
        <v>0.12684375000000001</v>
      </c>
      <c r="Q50" t="s">
        <v>65</v>
      </c>
    </row>
    <row r="51" spans="1:17">
      <c r="A51" t="s">
        <v>103</v>
      </c>
      <c r="B51" s="1">
        <v>45925</v>
      </c>
      <c r="C51" t="s">
        <v>53</v>
      </c>
      <c r="D51" t="s">
        <v>19</v>
      </c>
      <c r="E51" t="s">
        <v>38</v>
      </c>
      <c r="F51" t="s">
        <v>21</v>
      </c>
      <c r="G51">
        <v>1</v>
      </c>
      <c r="H51">
        <v>1500</v>
      </c>
      <c r="I51">
        <v>0.05</v>
      </c>
      <c r="J51">
        <v>1500</v>
      </c>
      <c r="K51">
        <v>1425</v>
      </c>
      <c r="L51">
        <v>825.00000000000011</v>
      </c>
      <c r="M51">
        <v>890</v>
      </c>
      <c r="N51">
        <v>1736</v>
      </c>
      <c r="O51">
        <v>-2026</v>
      </c>
      <c r="P51">
        <v>-1.421754385964912</v>
      </c>
      <c r="Q51" t="s">
        <v>32</v>
      </c>
    </row>
    <row r="52" spans="1:17">
      <c r="A52" t="s">
        <v>104</v>
      </c>
      <c r="B52" s="1">
        <v>45959</v>
      </c>
      <c r="C52" t="s">
        <v>50</v>
      </c>
      <c r="D52" t="s">
        <v>25</v>
      </c>
      <c r="E52" t="s">
        <v>20</v>
      </c>
      <c r="F52" t="s">
        <v>21</v>
      </c>
      <c r="G52">
        <v>4</v>
      </c>
      <c r="H52">
        <v>2500</v>
      </c>
      <c r="I52">
        <v>0.05</v>
      </c>
      <c r="J52">
        <v>10000</v>
      </c>
      <c r="K52">
        <v>9500</v>
      </c>
      <c r="L52">
        <v>6200</v>
      </c>
      <c r="M52">
        <v>211</v>
      </c>
      <c r="N52">
        <v>1730</v>
      </c>
      <c r="O52">
        <v>1359</v>
      </c>
      <c r="P52">
        <v>0.1430526315789474</v>
      </c>
      <c r="Q52" t="s">
        <v>88</v>
      </c>
    </row>
    <row r="53" spans="1:17">
      <c r="A53" t="s">
        <v>105</v>
      </c>
      <c r="B53" s="1">
        <v>46075</v>
      </c>
      <c r="C53" t="s">
        <v>18</v>
      </c>
      <c r="D53" t="s">
        <v>19</v>
      </c>
      <c r="E53" t="s">
        <v>20</v>
      </c>
      <c r="F53" t="s">
        <v>35</v>
      </c>
      <c r="G53">
        <v>1</v>
      </c>
      <c r="H53">
        <v>32000</v>
      </c>
      <c r="I53">
        <v>0.08</v>
      </c>
      <c r="J53">
        <v>32000</v>
      </c>
      <c r="K53">
        <v>29440</v>
      </c>
      <c r="L53">
        <v>26240</v>
      </c>
      <c r="M53">
        <v>804</v>
      </c>
      <c r="N53">
        <v>1725</v>
      </c>
      <c r="O53">
        <v>671</v>
      </c>
      <c r="P53">
        <v>2.279211956521739E-2</v>
      </c>
      <c r="Q53" t="s">
        <v>54</v>
      </c>
    </row>
    <row r="54" spans="1:17">
      <c r="A54" t="s">
        <v>106</v>
      </c>
      <c r="B54" s="1">
        <v>45934</v>
      </c>
      <c r="C54" t="s">
        <v>24</v>
      </c>
      <c r="D54" t="s">
        <v>51</v>
      </c>
      <c r="E54" t="s">
        <v>20</v>
      </c>
      <c r="F54" t="s">
        <v>35</v>
      </c>
      <c r="G54">
        <v>2</v>
      </c>
      <c r="H54">
        <v>3500</v>
      </c>
      <c r="I54">
        <v>0.08</v>
      </c>
      <c r="J54">
        <v>7000</v>
      </c>
      <c r="K54">
        <v>6440</v>
      </c>
      <c r="L54">
        <v>4760</v>
      </c>
      <c r="M54">
        <v>612</v>
      </c>
      <c r="N54">
        <v>828</v>
      </c>
      <c r="O54">
        <v>240</v>
      </c>
      <c r="P54">
        <v>3.7267080745341623E-2</v>
      </c>
      <c r="Q54" t="s">
        <v>88</v>
      </c>
    </row>
    <row r="55" spans="1:17">
      <c r="A55" t="s">
        <v>107</v>
      </c>
      <c r="B55" s="1">
        <v>45753</v>
      </c>
      <c r="C55" t="s">
        <v>75</v>
      </c>
      <c r="D55" t="s">
        <v>34</v>
      </c>
      <c r="E55" t="s">
        <v>26</v>
      </c>
      <c r="F55" t="s">
        <v>35</v>
      </c>
      <c r="G55">
        <v>3</v>
      </c>
      <c r="H55">
        <v>65000</v>
      </c>
      <c r="I55">
        <v>0.2</v>
      </c>
      <c r="J55">
        <v>195000</v>
      </c>
      <c r="K55">
        <v>156000</v>
      </c>
      <c r="L55">
        <v>163800</v>
      </c>
      <c r="M55">
        <v>1771</v>
      </c>
      <c r="N55">
        <v>1077</v>
      </c>
      <c r="O55">
        <v>-10648</v>
      </c>
      <c r="P55">
        <v>-6.8256410256410258E-2</v>
      </c>
      <c r="Q55" t="s">
        <v>41</v>
      </c>
    </row>
    <row r="56" spans="1:17">
      <c r="A56" t="s">
        <v>108</v>
      </c>
      <c r="B56" s="1">
        <v>45930</v>
      </c>
      <c r="C56" t="s">
        <v>18</v>
      </c>
      <c r="D56" t="s">
        <v>63</v>
      </c>
      <c r="E56" t="s">
        <v>26</v>
      </c>
      <c r="F56" t="s">
        <v>21</v>
      </c>
      <c r="G56">
        <v>1</v>
      </c>
      <c r="H56">
        <v>32000</v>
      </c>
      <c r="I56">
        <v>0.1</v>
      </c>
      <c r="J56">
        <v>32000</v>
      </c>
      <c r="K56">
        <v>28800</v>
      </c>
      <c r="L56">
        <v>26240</v>
      </c>
      <c r="M56">
        <v>1066</v>
      </c>
      <c r="N56">
        <v>972</v>
      </c>
      <c r="O56">
        <v>522</v>
      </c>
      <c r="P56">
        <v>1.8124999999999999E-2</v>
      </c>
      <c r="Q56" t="s">
        <v>32</v>
      </c>
    </row>
    <row r="57" spans="1:17">
      <c r="A57" t="s">
        <v>109</v>
      </c>
      <c r="B57" s="1">
        <v>46053</v>
      </c>
      <c r="C57" t="s">
        <v>61</v>
      </c>
      <c r="D57" t="s">
        <v>51</v>
      </c>
      <c r="E57" t="s">
        <v>38</v>
      </c>
      <c r="F57" t="s">
        <v>35</v>
      </c>
      <c r="G57">
        <v>5</v>
      </c>
      <c r="H57">
        <v>4500</v>
      </c>
      <c r="I57">
        <v>0.15</v>
      </c>
      <c r="J57">
        <v>22500</v>
      </c>
      <c r="K57">
        <v>19125</v>
      </c>
      <c r="L57">
        <v>14625</v>
      </c>
      <c r="M57">
        <v>376</v>
      </c>
      <c r="N57">
        <v>1735</v>
      </c>
      <c r="O57">
        <v>2389</v>
      </c>
      <c r="P57">
        <v>0.12491503267973859</v>
      </c>
      <c r="Q57" t="s">
        <v>43</v>
      </c>
    </row>
    <row r="58" spans="1:17">
      <c r="A58" t="s">
        <v>110</v>
      </c>
      <c r="B58" s="1">
        <v>46163</v>
      </c>
      <c r="C58" t="s">
        <v>18</v>
      </c>
      <c r="D58" t="s">
        <v>51</v>
      </c>
      <c r="E58" t="s">
        <v>20</v>
      </c>
      <c r="F58" t="s">
        <v>21</v>
      </c>
      <c r="G58">
        <v>2</v>
      </c>
      <c r="H58">
        <v>32000</v>
      </c>
      <c r="I58">
        <v>0.08</v>
      </c>
      <c r="J58">
        <v>64000</v>
      </c>
      <c r="K58">
        <v>58880</v>
      </c>
      <c r="L58">
        <v>52480</v>
      </c>
      <c r="M58">
        <v>1787</v>
      </c>
      <c r="N58">
        <v>950</v>
      </c>
      <c r="O58">
        <v>3663</v>
      </c>
      <c r="P58">
        <v>6.2211277173913053E-2</v>
      </c>
      <c r="Q58" t="s">
        <v>73</v>
      </c>
    </row>
    <row r="59" spans="1:17">
      <c r="A59" t="s">
        <v>111</v>
      </c>
      <c r="B59" s="1">
        <v>45696</v>
      </c>
      <c r="C59" t="s">
        <v>53</v>
      </c>
      <c r="D59" t="s">
        <v>51</v>
      </c>
      <c r="E59" t="s">
        <v>38</v>
      </c>
      <c r="F59" t="s">
        <v>27</v>
      </c>
      <c r="G59">
        <v>3</v>
      </c>
      <c r="H59">
        <v>1500</v>
      </c>
      <c r="I59">
        <v>0.03</v>
      </c>
      <c r="J59">
        <v>4500</v>
      </c>
      <c r="K59">
        <v>4365</v>
      </c>
      <c r="L59">
        <v>2475</v>
      </c>
      <c r="M59">
        <v>1788</v>
      </c>
      <c r="N59">
        <v>1267</v>
      </c>
      <c r="O59">
        <v>-1165</v>
      </c>
      <c r="P59">
        <v>-0.26689576174112262</v>
      </c>
      <c r="Q59" t="s">
        <v>47</v>
      </c>
    </row>
    <row r="60" spans="1:17">
      <c r="A60" t="s">
        <v>112</v>
      </c>
      <c r="B60" s="1">
        <v>45892</v>
      </c>
      <c r="C60" t="s">
        <v>61</v>
      </c>
      <c r="D60" t="s">
        <v>19</v>
      </c>
      <c r="E60" t="s">
        <v>20</v>
      </c>
      <c r="F60" t="s">
        <v>35</v>
      </c>
      <c r="G60">
        <v>7</v>
      </c>
      <c r="H60">
        <v>4500</v>
      </c>
      <c r="I60">
        <v>0</v>
      </c>
      <c r="J60">
        <v>31500</v>
      </c>
      <c r="K60">
        <v>31500</v>
      </c>
      <c r="L60">
        <v>20475</v>
      </c>
      <c r="M60">
        <v>1386</v>
      </c>
      <c r="N60">
        <v>1338</v>
      </c>
      <c r="O60">
        <v>8301</v>
      </c>
      <c r="P60">
        <v>0.26352380952380949</v>
      </c>
      <c r="Q60" t="s">
        <v>58</v>
      </c>
    </row>
    <row r="61" spans="1:17">
      <c r="A61" t="s">
        <v>113</v>
      </c>
      <c r="B61" s="1">
        <v>45831</v>
      </c>
      <c r="C61" t="s">
        <v>30</v>
      </c>
      <c r="D61" t="s">
        <v>51</v>
      </c>
      <c r="E61" t="s">
        <v>20</v>
      </c>
      <c r="F61" t="s">
        <v>35</v>
      </c>
      <c r="G61">
        <v>2</v>
      </c>
      <c r="H61">
        <v>28000</v>
      </c>
      <c r="I61">
        <v>0.08</v>
      </c>
      <c r="J61">
        <v>56000</v>
      </c>
      <c r="K61">
        <v>51520</v>
      </c>
      <c r="L61">
        <v>43680</v>
      </c>
      <c r="M61">
        <v>1476</v>
      </c>
      <c r="N61">
        <v>1642</v>
      </c>
      <c r="O61">
        <v>4722</v>
      </c>
      <c r="P61">
        <v>9.1653726708074534E-2</v>
      </c>
      <c r="Q61" t="s">
        <v>39</v>
      </c>
    </row>
    <row r="62" spans="1:17">
      <c r="A62" t="s">
        <v>114</v>
      </c>
      <c r="B62" s="1">
        <v>45996</v>
      </c>
      <c r="C62" t="s">
        <v>50</v>
      </c>
      <c r="D62" t="s">
        <v>51</v>
      </c>
      <c r="E62" t="s">
        <v>20</v>
      </c>
      <c r="F62" t="s">
        <v>21</v>
      </c>
      <c r="G62">
        <v>2</v>
      </c>
      <c r="H62">
        <v>2500</v>
      </c>
      <c r="I62">
        <v>0</v>
      </c>
      <c r="J62">
        <v>5000</v>
      </c>
      <c r="K62">
        <v>5000</v>
      </c>
      <c r="L62">
        <v>3100</v>
      </c>
      <c r="M62">
        <v>228</v>
      </c>
      <c r="N62">
        <v>1545</v>
      </c>
      <c r="O62">
        <v>127</v>
      </c>
      <c r="P62">
        <v>2.5399999999999999E-2</v>
      </c>
      <c r="Q62" t="s">
        <v>80</v>
      </c>
    </row>
    <row r="63" spans="1:17">
      <c r="A63" t="s">
        <v>115</v>
      </c>
      <c r="B63" s="1">
        <v>45727</v>
      </c>
      <c r="C63" t="s">
        <v>18</v>
      </c>
      <c r="D63" t="s">
        <v>31</v>
      </c>
      <c r="E63" t="s">
        <v>20</v>
      </c>
      <c r="F63" t="s">
        <v>21</v>
      </c>
      <c r="G63">
        <v>3</v>
      </c>
      <c r="H63">
        <v>32000</v>
      </c>
      <c r="I63">
        <v>0.2</v>
      </c>
      <c r="J63">
        <v>96000</v>
      </c>
      <c r="K63">
        <v>76800</v>
      </c>
      <c r="L63">
        <v>78720</v>
      </c>
      <c r="M63">
        <v>1355</v>
      </c>
      <c r="N63">
        <v>1927</v>
      </c>
      <c r="O63">
        <v>-5202</v>
      </c>
      <c r="P63">
        <v>-6.7734374999999999E-2</v>
      </c>
      <c r="Q63" t="s">
        <v>68</v>
      </c>
    </row>
    <row r="64" spans="1:17">
      <c r="A64" t="s">
        <v>116</v>
      </c>
      <c r="B64" s="1">
        <v>45783</v>
      </c>
      <c r="C64" t="s">
        <v>61</v>
      </c>
      <c r="D64" t="s">
        <v>19</v>
      </c>
      <c r="E64" t="s">
        <v>20</v>
      </c>
      <c r="F64" t="s">
        <v>35</v>
      </c>
      <c r="G64">
        <v>7</v>
      </c>
      <c r="H64">
        <v>4500</v>
      </c>
      <c r="I64">
        <v>0.05</v>
      </c>
      <c r="J64">
        <v>31500</v>
      </c>
      <c r="K64">
        <v>29925</v>
      </c>
      <c r="L64">
        <v>20475</v>
      </c>
      <c r="M64">
        <v>1754</v>
      </c>
      <c r="N64">
        <v>138</v>
      </c>
      <c r="O64">
        <v>7558</v>
      </c>
      <c r="P64">
        <v>0.25256474519632421</v>
      </c>
      <c r="Q64" t="s">
        <v>22</v>
      </c>
    </row>
    <row r="65" spans="1:17">
      <c r="A65" t="s">
        <v>117</v>
      </c>
      <c r="B65" s="1">
        <v>46018</v>
      </c>
      <c r="C65" t="s">
        <v>61</v>
      </c>
      <c r="D65" t="s">
        <v>63</v>
      </c>
      <c r="E65" t="s">
        <v>26</v>
      </c>
      <c r="F65" t="s">
        <v>35</v>
      </c>
      <c r="G65">
        <v>2</v>
      </c>
      <c r="H65">
        <v>4500</v>
      </c>
      <c r="I65">
        <v>0.1</v>
      </c>
      <c r="J65">
        <v>9000</v>
      </c>
      <c r="K65">
        <v>8100</v>
      </c>
      <c r="L65">
        <v>5850</v>
      </c>
      <c r="M65">
        <v>655</v>
      </c>
      <c r="N65">
        <v>928</v>
      </c>
      <c r="O65">
        <v>667</v>
      </c>
      <c r="P65">
        <v>8.2345679012345685E-2</v>
      </c>
      <c r="Q65" t="s">
        <v>80</v>
      </c>
    </row>
    <row r="66" spans="1:17">
      <c r="A66" t="s">
        <v>118</v>
      </c>
      <c r="B66" s="1">
        <v>45774</v>
      </c>
      <c r="C66" t="s">
        <v>75</v>
      </c>
      <c r="D66" t="s">
        <v>34</v>
      </c>
      <c r="E66" t="s">
        <v>38</v>
      </c>
      <c r="F66" t="s">
        <v>27</v>
      </c>
      <c r="G66">
        <v>3</v>
      </c>
      <c r="H66">
        <v>65000</v>
      </c>
      <c r="I66">
        <v>0.05</v>
      </c>
      <c r="J66">
        <v>195000</v>
      </c>
      <c r="K66">
        <v>185250</v>
      </c>
      <c r="L66">
        <v>163800</v>
      </c>
      <c r="M66">
        <v>1632</v>
      </c>
      <c r="N66">
        <v>923</v>
      </c>
      <c r="O66">
        <v>18895</v>
      </c>
      <c r="P66">
        <v>0.1019973009446694</v>
      </c>
      <c r="Q66" t="s">
        <v>41</v>
      </c>
    </row>
    <row r="67" spans="1:17">
      <c r="A67" t="s">
        <v>119</v>
      </c>
      <c r="B67" s="1">
        <v>45886</v>
      </c>
      <c r="C67" t="s">
        <v>24</v>
      </c>
      <c r="D67" t="s">
        <v>31</v>
      </c>
      <c r="E67" t="s">
        <v>26</v>
      </c>
      <c r="F67" t="s">
        <v>27</v>
      </c>
      <c r="G67">
        <v>5</v>
      </c>
      <c r="H67">
        <v>3500</v>
      </c>
      <c r="I67">
        <v>0.05</v>
      </c>
      <c r="J67">
        <v>17500</v>
      </c>
      <c r="K67">
        <v>16625</v>
      </c>
      <c r="L67">
        <v>11900</v>
      </c>
      <c r="M67">
        <v>279</v>
      </c>
      <c r="N67">
        <v>302</v>
      </c>
      <c r="O67">
        <v>4144</v>
      </c>
      <c r="P67">
        <v>0.24926315789473691</v>
      </c>
      <c r="Q67" t="s">
        <v>58</v>
      </c>
    </row>
    <row r="68" spans="1:17">
      <c r="A68" t="s">
        <v>120</v>
      </c>
      <c r="B68" s="1">
        <v>46072</v>
      </c>
      <c r="C68" t="s">
        <v>30</v>
      </c>
      <c r="D68" t="s">
        <v>63</v>
      </c>
      <c r="E68" t="s">
        <v>26</v>
      </c>
      <c r="F68" t="s">
        <v>21</v>
      </c>
      <c r="G68">
        <v>3</v>
      </c>
      <c r="H68">
        <v>28000</v>
      </c>
      <c r="I68">
        <v>0.08</v>
      </c>
      <c r="J68">
        <v>84000</v>
      </c>
      <c r="K68">
        <v>77280</v>
      </c>
      <c r="L68">
        <v>65520</v>
      </c>
      <c r="M68">
        <v>1749</v>
      </c>
      <c r="N68">
        <v>1266</v>
      </c>
      <c r="O68">
        <v>8745</v>
      </c>
      <c r="P68">
        <v>0.11315993788819879</v>
      </c>
      <c r="Q68" t="s">
        <v>54</v>
      </c>
    </row>
    <row r="69" spans="1:17">
      <c r="A69" t="s">
        <v>121</v>
      </c>
      <c r="B69" s="1">
        <v>46015</v>
      </c>
      <c r="C69" t="s">
        <v>46</v>
      </c>
      <c r="D69" t="s">
        <v>31</v>
      </c>
      <c r="E69" t="s">
        <v>20</v>
      </c>
      <c r="F69" t="s">
        <v>35</v>
      </c>
      <c r="G69">
        <v>3</v>
      </c>
      <c r="H69">
        <v>18000</v>
      </c>
      <c r="I69">
        <v>0</v>
      </c>
      <c r="J69">
        <v>54000</v>
      </c>
      <c r="K69">
        <v>54000</v>
      </c>
      <c r="L69">
        <v>43200</v>
      </c>
      <c r="M69">
        <v>1235</v>
      </c>
      <c r="N69">
        <v>1453</v>
      </c>
      <c r="O69">
        <v>8112</v>
      </c>
      <c r="P69">
        <v>0.1502222222222222</v>
      </c>
      <c r="Q69" t="s">
        <v>80</v>
      </c>
    </row>
    <row r="70" spans="1:17">
      <c r="A70" t="s">
        <v>122</v>
      </c>
      <c r="B70" s="1">
        <v>45698</v>
      </c>
      <c r="C70" t="s">
        <v>30</v>
      </c>
      <c r="D70" t="s">
        <v>31</v>
      </c>
      <c r="E70" t="s">
        <v>38</v>
      </c>
      <c r="F70" t="s">
        <v>21</v>
      </c>
      <c r="G70">
        <v>2</v>
      </c>
      <c r="H70">
        <v>28000</v>
      </c>
      <c r="I70">
        <v>0.05</v>
      </c>
      <c r="J70">
        <v>56000</v>
      </c>
      <c r="K70">
        <v>53200</v>
      </c>
      <c r="L70">
        <v>43680</v>
      </c>
      <c r="M70">
        <v>1539</v>
      </c>
      <c r="N70">
        <v>639</v>
      </c>
      <c r="O70">
        <v>7342</v>
      </c>
      <c r="P70">
        <v>0.1380075187969925</v>
      </c>
      <c r="Q70" t="s">
        <v>47</v>
      </c>
    </row>
    <row r="71" spans="1:17">
      <c r="A71" t="s">
        <v>123</v>
      </c>
      <c r="B71" s="1">
        <v>45910</v>
      </c>
      <c r="C71" t="s">
        <v>75</v>
      </c>
      <c r="D71" t="s">
        <v>34</v>
      </c>
      <c r="E71" t="s">
        <v>38</v>
      </c>
      <c r="F71" t="s">
        <v>21</v>
      </c>
      <c r="G71">
        <v>1</v>
      </c>
      <c r="H71">
        <v>65000</v>
      </c>
      <c r="I71">
        <v>0.05</v>
      </c>
      <c r="J71">
        <v>65000</v>
      </c>
      <c r="K71">
        <v>61750</v>
      </c>
      <c r="L71">
        <v>54600</v>
      </c>
      <c r="M71">
        <v>660</v>
      </c>
      <c r="N71">
        <v>1024</v>
      </c>
      <c r="O71">
        <v>5466</v>
      </c>
      <c r="P71">
        <v>8.8518218623481776E-2</v>
      </c>
      <c r="Q71" t="s">
        <v>32</v>
      </c>
    </row>
    <row r="72" spans="1:17">
      <c r="A72" t="s">
        <v>124</v>
      </c>
      <c r="B72" s="1">
        <v>45899</v>
      </c>
      <c r="C72" t="s">
        <v>18</v>
      </c>
      <c r="D72" t="s">
        <v>19</v>
      </c>
      <c r="E72" t="s">
        <v>20</v>
      </c>
      <c r="F72" t="s">
        <v>35</v>
      </c>
      <c r="G72">
        <v>1</v>
      </c>
      <c r="H72">
        <v>32000</v>
      </c>
      <c r="I72">
        <v>0.05</v>
      </c>
      <c r="J72">
        <v>32000</v>
      </c>
      <c r="K72">
        <v>30400</v>
      </c>
      <c r="L72">
        <v>26240</v>
      </c>
      <c r="M72">
        <v>1023</v>
      </c>
      <c r="N72">
        <v>897</v>
      </c>
      <c r="O72">
        <v>2240</v>
      </c>
      <c r="P72">
        <v>7.3684210526315783E-2</v>
      </c>
      <c r="Q72" t="s">
        <v>58</v>
      </c>
    </row>
    <row r="73" spans="1:17">
      <c r="A73" t="s">
        <v>125</v>
      </c>
      <c r="B73" s="1">
        <v>45834</v>
      </c>
      <c r="C73" t="s">
        <v>75</v>
      </c>
      <c r="D73" t="s">
        <v>19</v>
      </c>
      <c r="E73" t="s">
        <v>26</v>
      </c>
      <c r="F73" t="s">
        <v>35</v>
      </c>
      <c r="G73">
        <v>2</v>
      </c>
      <c r="H73">
        <v>65000</v>
      </c>
      <c r="I73">
        <v>0.1</v>
      </c>
      <c r="J73">
        <v>130000</v>
      </c>
      <c r="K73">
        <v>117000</v>
      </c>
      <c r="L73">
        <v>109200</v>
      </c>
      <c r="M73">
        <v>423</v>
      </c>
      <c r="N73">
        <v>1362</v>
      </c>
      <c r="O73">
        <v>6015</v>
      </c>
      <c r="P73">
        <v>5.1410256410256407E-2</v>
      </c>
      <c r="Q73" t="s">
        <v>39</v>
      </c>
    </row>
    <row r="74" spans="1:17">
      <c r="A74" t="s">
        <v>126</v>
      </c>
      <c r="B74" s="1">
        <v>45762</v>
      </c>
      <c r="C74" t="s">
        <v>61</v>
      </c>
      <c r="D74" t="s">
        <v>19</v>
      </c>
      <c r="E74" t="s">
        <v>20</v>
      </c>
      <c r="F74" t="s">
        <v>35</v>
      </c>
      <c r="G74">
        <v>3</v>
      </c>
      <c r="H74">
        <v>4500</v>
      </c>
      <c r="I74">
        <v>0.1</v>
      </c>
      <c r="J74">
        <v>13500</v>
      </c>
      <c r="K74">
        <v>12150</v>
      </c>
      <c r="L74">
        <v>8775</v>
      </c>
      <c r="M74">
        <v>1684</v>
      </c>
      <c r="N74">
        <v>1733</v>
      </c>
      <c r="O74">
        <v>-42</v>
      </c>
      <c r="P74">
        <v>-3.4567901234567899E-3</v>
      </c>
      <c r="Q74" t="s">
        <v>41</v>
      </c>
    </row>
    <row r="75" spans="1:17">
      <c r="A75" t="s">
        <v>127</v>
      </c>
      <c r="B75" s="1">
        <v>46094</v>
      </c>
      <c r="C75" t="s">
        <v>18</v>
      </c>
      <c r="D75" t="s">
        <v>51</v>
      </c>
      <c r="E75" t="s">
        <v>26</v>
      </c>
      <c r="F75" t="s">
        <v>21</v>
      </c>
      <c r="G75">
        <v>2</v>
      </c>
      <c r="H75">
        <v>32000</v>
      </c>
      <c r="I75">
        <v>0.1</v>
      </c>
      <c r="J75">
        <v>64000</v>
      </c>
      <c r="K75">
        <v>57600</v>
      </c>
      <c r="L75">
        <v>52480</v>
      </c>
      <c r="M75">
        <v>908</v>
      </c>
      <c r="N75">
        <v>1768</v>
      </c>
      <c r="O75">
        <v>2444</v>
      </c>
      <c r="P75">
        <v>4.2430555555555548E-2</v>
      </c>
      <c r="Q75" t="s">
        <v>98</v>
      </c>
    </row>
    <row r="76" spans="1:17">
      <c r="A76" t="s">
        <v>128</v>
      </c>
      <c r="B76" s="1">
        <v>45658</v>
      </c>
      <c r="C76" t="s">
        <v>50</v>
      </c>
      <c r="D76" t="s">
        <v>19</v>
      </c>
      <c r="E76" t="s">
        <v>20</v>
      </c>
      <c r="F76" t="s">
        <v>35</v>
      </c>
      <c r="G76">
        <v>1</v>
      </c>
      <c r="H76">
        <v>2500</v>
      </c>
      <c r="I76">
        <v>0.03</v>
      </c>
      <c r="J76">
        <v>2500</v>
      </c>
      <c r="K76">
        <v>2425</v>
      </c>
      <c r="L76">
        <v>1550</v>
      </c>
      <c r="M76">
        <v>656</v>
      </c>
      <c r="N76">
        <v>2001</v>
      </c>
      <c r="O76">
        <v>-1782</v>
      </c>
      <c r="P76">
        <v>-0.73484536082474228</v>
      </c>
      <c r="Q76" t="s">
        <v>56</v>
      </c>
    </row>
    <row r="77" spans="1:17">
      <c r="A77" t="s">
        <v>129</v>
      </c>
      <c r="B77" s="1">
        <v>45729</v>
      </c>
      <c r="C77" t="s">
        <v>75</v>
      </c>
      <c r="D77" t="s">
        <v>25</v>
      </c>
      <c r="E77" t="s">
        <v>20</v>
      </c>
      <c r="F77" t="s">
        <v>21</v>
      </c>
      <c r="G77">
        <v>1</v>
      </c>
      <c r="H77">
        <v>65000</v>
      </c>
      <c r="I77">
        <v>0.1</v>
      </c>
      <c r="J77">
        <v>65000</v>
      </c>
      <c r="K77">
        <v>58500</v>
      </c>
      <c r="L77">
        <v>54600</v>
      </c>
      <c r="M77">
        <v>233</v>
      </c>
      <c r="N77">
        <v>2242</v>
      </c>
      <c r="O77">
        <v>1425</v>
      </c>
      <c r="P77">
        <v>2.4358974358974359E-2</v>
      </c>
      <c r="Q77" t="s">
        <v>68</v>
      </c>
    </row>
    <row r="78" spans="1:17">
      <c r="A78" t="s">
        <v>130</v>
      </c>
      <c r="B78" s="1">
        <v>46046</v>
      </c>
      <c r="C78" t="s">
        <v>50</v>
      </c>
      <c r="D78" t="s">
        <v>34</v>
      </c>
      <c r="E78" t="s">
        <v>38</v>
      </c>
      <c r="F78" t="s">
        <v>35</v>
      </c>
      <c r="G78">
        <v>3</v>
      </c>
      <c r="H78">
        <v>2500</v>
      </c>
      <c r="I78">
        <v>0.05</v>
      </c>
      <c r="J78">
        <v>7500</v>
      </c>
      <c r="K78">
        <v>7125</v>
      </c>
      <c r="L78">
        <v>4650</v>
      </c>
      <c r="M78">
        <v>1277</v>
      </c>
      <c r="N78">
        <v>335</v>
      </c>
      <c r="O78">
        <v>863</v>
      </c>
      <c r="P78">
        <v>0.1211228070175439</v>
      </c>
      <c r="Q78" t="s">
        <v>43</v>
      </c>
    </row>
    <row r="79" spans="1:17">
      <c r="A79" t="s">
        <v>131</v>
      </c>
      <c r="B79" s="1">
        <v>45732</v>
      </c>
      <c r="C79" t="s">
        <v>46</v>
      </c>
      <c r="D79" t="s">
        <v>19</v>
      </c>
      <c r="E79" t="s">
        <v>38</v>
      </c>
      <c r="F79" t="s">
        <v>21</v>
      </c>
      <c r="G79">
        <v>3</v>
      </c>
      <c r="H79">
        <v>18000</v>
      </c>
      <c r="I79">
        <v>0</v>
      </c>
      <c r="J79">
        <v>54000</v>
      </c>
      <c r="K79">
        <v>54000</v>
      </c>
      <c r="L79">
        <v>43200</v>
      </c>
      <c r="M79">
        <v>1430</v>
      </c>
      <c r="N79">
        <v>1352</v>
      </c>
      <c r="O79">
        <v>8018</v>
      </c>
      <c r="P79">
        <v>0.14848148148148149</v>
      </c>
      <c r="Q79" t="s">
        <v>68</v>
      </c>
    </row>
    <row r="80" spans="1:17">
      <c r="A80" t="s">
        <v>132</v>
      </c>
      <c r="B80" s="1">
        <v>46092</v>
      </c>
      <c r="C80" t="s">
        <v>30</v>
      </c>
      <c r="D80" t="s">
        <v>25</v>
      </c>
      <c r="E80" t="s">
        <v>20</v>
      </c>
      <c r="F80" t="s">
        <v>21</v>
      </c>
      <c r="G80">
        <v>2</v>
      </c>
      <c r="H80">
        <v>28000</v>
      </c>
      <c r="I80">
        <v>0.08</v>
      </c>
      <c r="J80">
        <v>56000</v>
      </c>
      <c r="K80">
        <v>51520</v>
      </c>
      <c r="L80">
        <v>43680</v>
      </c>
      <c r="M80">
        <v>997</v>
      </c>
      <c r="N80">
        <v>1458</v>
      </c>
      <c r="O80">
        <v>5385</v>
      </c>
      <c r="P80">
        <v>0.1045225155279503</v>
      </c>
      <c r="Q80" t="s">
        <v>98</v>
      </c>
    </row>
    <row r="81" spans="1:17">
      <c r="A81" t="s">
        <v>133</v>
      </c>
      <c r="B81" s="1">
        <v>45790</v>
      </c>
      <c r="C81" t="s">
        <v>46</v>
      </c>
      <c r="D81" t="s">
        <v>51</v>
      </c>
      <c r="E81" t="s">
        <v>20</v>
      </c>
      <c r="F81" t="s">
        <v>27</v>
      </c>
      <c r="G81">
        <v>3</v>
      </c>
      <c r="H81">
        <v>18000</v>
      </c>
      <c r="I81">
        <v>0.05</v>
      </c>
      <c r="J81">
        <v>54000</v>
      </c>
      <c r="K81">
        <v>51300</v>
      </c>
      <c r="L81">
        <v>43200</v>
      </c>
      <c r="M81">
        <v>958</v>
      </c>
      <c r="N81">
        <v>2228</v>
      </c>
      <c r="O81">
        <v>4914</v>
      </c>
      <c r="P81">
        <v>9.5789473684210522E-2</v>
      </c>
      <c r="Q81" t="s">
        <v>22</v>
      </c>
    </row>
    <row r="82" spans="1:17">
      <c r="A82" t="s">
        <v>134</v>
      </c>
      <c r="B82" s="1">
        <v>46203</v>
      </c>
      <c r="C82" t="s">
        <v>30</v>
      </c>
      <c r="D82" t="s">
        <v>34</v>
      </c>
      <c r="E82" t="s">
        <v>20</v>
      </c>
      <c r="F82" t="s">
        <v>35</v>
      </c>
      <c r="G82">
        <v>1</v>
      </c>
      <c r="H82">
        <v>28000</v>
      </c>
      <c r="I82">
        <v>0.03</v>
      </c>
      <c r="J82">
        <v>28000</v>
      </c>
      <c r="K82">
        <v>27160</v>
      </c>
      <c r="L82">
        <v>21840</v>
      </c>
      <c r="M82">
        <v>1183</v>
      </c>
      <c r="N82">
        <v>168</v>
      </c>
      <c r="O82">
        <v>3969</v>
      </c>
      <c r="P82">
        <v>0.14613402061855671</v>
      </c>
      <c r="Q82" t="s">
        <v>135</v>
      </c>
    </row>
    <row r="83" spans="1:17">
      <c r="A83" t="s">
        <v>136</v>
      </c>
      <c r="B83" s="1">
        <v>45840</v>
      </c>
      <c r="C83" t="s">
        <v>50</v>
      </c>
      <c r="D83" t="s">
        <v>19</v>
      </c>
      <c r="E83" t="s">
        <v>20</v>
      </c>
      <c r="F83" t="s">
        <v>21</v>
      </c>
      <c r="G83">
        <v>3</v>
      </c>
      <c r="H83">
        <v>2500</v>
      </c>
      <c r="I83">
        <v>0.03</v>
      </c>
      <c r="J83">
        <v>7500</v>
      </c>
      <c r="K83">
        <v>7275</v>
      </c>
      <c r="L83">
        <v>4650</v>
      </c>
      <c r="M83">
        <v>310</v>
      </c>
      <c r="N83">
        <v>860</v>
      </c>
      <c r="O83">
        <v>1455</v>
      </c>
      <c r="P83">
        <v>0.2</v>
      </c>
      <c r="Q83" t="s">
        <v>36</v>
      </c>
    </row>
    <row r="84" spans="1:17">
      <c r="A84" t="s">
        <v>137</v>
      </c>
      <c r="B84" s="1">
        <v>45750</v>
      </c>
      <c r="C84" t="s">
        <v>46</v>
      </c>
      <c r="D84" t="s">
        <v>25</v>
      </c>
      <c r="E84" t="s">
        <v>26</v>
      </c>
      <c r="F84" t="s">
        <v>35</v>
      </c>
      <c r="G84">
        <v>1</v>
      </c>
      <c r="H84">
        <v>18000</v>
      </c>
      <c r="I84">
        <v>0.15</v>
      </c>
      <c r="J84">
        <v>18000</v>
      </c>
      <c r="K84">
        <v>15300</v>
      </c>
      <c r="L84">
        <v>14400</v>
      </c>
      <c r="M84">
        <v>1418</v>
      </c>
      <c r="N84">
        <v>766</v>
      </c>
      <c r="O84">
        <v>-1284</v>
      </c>
      <c r="P84">
        <v>-8.3921568627450982E-2</v>
      </c>
      <c r="Q84" t="s">
        <v>41</v>
      </c>
    </row>
    <row r="85" spans="1:17">
      <c r="A85" t="s">
        <v>138</v>
      </c>
      <c r="B85" s="1">
        <v>46170</v>
      </c>
      <c r="C85" t="s">
        <v>24</v>
      </c>
      <c r="D85" t="s">
        <v>51</v>
      </c>
      <c r="E85" t="s">
        <v>20</v>
      </c>
      <c r="F85" t="s">
        <v>35</v>
      </c>
      <c r="G85">
        <v>5</v>
      </c>
      <c r="H85">
        <v>3500</v>
      </c>
      <c r="I85">
        <v>0.05</v>
      </c>
      <c r="J85">
        <v>17500</v>
      </c>
      <c r="K85">
        <v>16625</v>
      </c>
      <c r="L85">
        <v>11900</v>
      </c>
      <c r="M85">
        <v>881</v>
      </c>
      <c r="N85">
        <v>1528</v>
      </c>
      <c r="O85">
        <v>2316</v>
      </c>
      <c r="P85">
        <v>0.13930827067669169</v>
      </c>
      <c r="Q85" t="s">
        <v>73</v>
      </c>
    </row>
    <row r="86" spans="1:17">
      <c r="A86" t="s">
        <v>139</v>
      </c>
      <c r="B86" s="1">
        <v>45704</v>
      </c>
      <c r="C86" t="s">
        <v>30</v>
      </c>
      <c r="D86" t="s">
        <v>63</v>
      </c>
      <c r="E86" t="s">
        <v>26</v>
      </c>
      <c r="F86" t="s">
        <v>21</v>
      </c>
      <c r="G86">
        <v>1</v>
      </c>
      <c r="H86">
        <v>28000</v>
      </c>
      <c r="I86">
        <v>0.08</v>
      </c>
      <c r="J86">
        <v>28000</v>
      </c>
      <c r="K86">
        <v>25760</v>
      </c>
      <c r="L86">
        <v>21840</v>
      </c>
      <c r="M86">
        <v>1296</v>
      </c>
      <c r="N86">
        <v>2396</v>
      </c>
      <c r="O86">
        <v>228</v>
      </c>
      <c r="P86">
        <v>8.8509316770186332E-3</v>
      </c>
      <c r="Q86" t="s">
        <v>47</v>
      </c>
    </row>
    <row r="87" spans="1:17">
      <c r="A87" t="s">
        <v>140</v>
      </c>
      <c r="B87" s="1">
        <v>45914</v>
      </c>
      <c r="C87" t="s">
        <v>50</v>
      </c>
      <c r="D87" t="s">
        <v>63</v>
      </c>
      <c r="E87" t="s">
        <v>26</v>
      </c>
      <c r="F87" t="s">
        <v>27</v>
      </c>
      <c r="G87">
        <v>7</v>
      </c>
      <c r="H87">
        <v>2500</v>
      </c>
      <c r="I87">
        <v>0.05</v>
      </c>
      <c r="J87">
        <v>17500</v>
      </c>
      <c r="K87">
        <v>16625</v>
      </c>
      <c r="L87">
        <v>10850</v>
      </c>
      <c r="M87">
        <v>536</v>
      </c>
      <c r="N87">
        <v>1149</v>
      </c>
      <c r="O87">
        <v>4090</v>
      </c>
      <c r="P87">
        <v>0.24601503759398499</v>
      </c>
      <c r="Q87" t="s">
        <v>32</v>
      </c>
    </row>
    <row r="88" spans="1:17">
      <c r="A88" t="s">
        <v>141</v>
      </c>
      <c r="B88" s="1">
        <v>45685</v>
      </c>
      <c r="C88" t="s">
        <v>18</v>
      </c>
      <c r="D88" t="s">
        <v>34</v>
      </c>
      <c r="E88" t="s">
        <v>20</v>
      </c>
      <c r="F88" t="s">
        <v>21</v>
      </c>
      <c r="G88">
        <v>3</v>
      </c>
      <c r="H88">
        <v>32000</v>
      </c>
      <c r="I88">
        <v>0.15</v>
      </c>
      <c r="J88">
        <v>96000</v>
      </c>
      <c r="K88">
        <v>81600</v>
      </c>
      <c r="L88">
        <v>78720</v>
      </c>
      <c r="M88">
        <v>725</v>
      </c>
      <c r="N88">
        <v>573</v>
      </c>
      <c r="O88">
        <v>1582</v>
      </c>
      <c r="P88">
        <v>1.938725490196078E-2</v>
      </c>
      <c r="Q88" t="s">
        <v>56</v>
      </c>
    </row>
    <row r="89" spans="1:17">
      <c r="A89" t="s">
        <v>142</v>
      </c>
      <c r="B89" s="1">
        <v>46020</v>
      </c>
      <c r="C89" t="s">
        <v>61</v>
      </c>
      <c r="D89" t="s">
        <v>31</v>
      </c>
      <c r="E89" t="s">
        <v>20</v>
      </c>
      <c r="F89" t="s">
        <v>35</v>
      </c>
      <c r="G89">
        <v>3</v>
      </c>
      <c r="H89">
        <v>4500</v>
      </c>
      <c r="I89">
        <v>0.03</v>
      </c>
      <c r="J89">
        <v>13500</v>
      </c>
      <c r="K89">
        <v>13095</v>
      </c>
      <c r="L89">
        <v>8775</v>
      </c>
      <c r="M89">
        <v>1230</v>
      </c>
      <c r="N89">
        <v>1126</v>
      </c>
      <c r="O89">
        <v>1964</v>
      </c>
      <c r="P89">
        <v>0.14998090874379541</v>
      </c>
      <c r="Q89" t="s">
        <v>80</v>
      </c>
    </row>
    <row r="90" spans="1:17">
      <c r="A90" t="s">
        <v>143</v>
      </c>
      <c r="B90" s="1">
        <v>45696</v>
      </c>
      <c r="C90" t="s">
        <v>50</v>
      </c>
      <c r="D90" t="s">
        <v>63</v>
      </c>
      <c r="E90" t="s">
        <v>38</v>
      </c>
      <c r="F90" t="s">
        <v>35</v>
      </c>
      <c r="G90">
        <v>3</v>
      </c>
      <c r="H90">
        <v>2500</v>
      </c>
      <c r="I90">
        <v>0.03</v>
      </c>
      <c r="J90">
        <v>7500</v>
      </c>
      <c r="K90">
        <v>7275</v>
      </c>
      <c r="L90">
        <v>4650</v>
      </c>
      <c r="M90">
        <v>684</v>
      </c>
      <c r="N90">
        <v>2175</v>
      </c>
      <c r="O90">
        <v>-234</v>
      </c>
      <c r="P90">
        <v>-3.2164948453608247E-2</v>
      </c>
      <c r="Q90" t="s">
        <v>47</v>
      </c>
    </row>
    <row r="91" spans="1:17">
      <c r="A91" t="s">
        <v>144</v>
      </c>
      <c r="B91" s="1">
        <v>46051</v>
      </c>
      <c r="C91" t="s">
        <v>61</v>
      </c>
      <c r="D91" t="s">
        <v>19</v>
      </c>
      <c r="E91" t="s">
        <v>26</v>
      </c>
      <c r="F91" t="s">
        <v>21</v>
      </c>
      <c r="G91">
        <v>4</v>
      </c>
      <c r="H91">
        <v>4500</v>
      </c>
      <c r="I91">
        <v>0.03</v>
      </c>
      <c r="J91">
        <v>18000</v>
      </c>
      <c r="K91">
        <v>17460</v>
      </c>
      <c r="L91">
        <v>11700</v>
      </c>
      <c r="M91">
        <v>1748</v>
      </c>
      <c r="N91">
        <v>2172</v>
      </c>
      <c r="O91">
        <v>1840</v>
      </c>
      <c r="P91">
        <v>0.1053837342497136</v>
      </c>
      <c r="Q91" t="s">
        <v>43</v>
      </c>
    </row>
    <row r="92" spans="1:17">
      <c r="A92" t="s">
        <v>145</v>
      </c>
      <c r="B92" s="1">
        <v>45939</v>
      </c>
      <c r="C92" t="s">
        <v>53</v>
      </c>
      <c r="D92" t="s">
        <v>25</v>
      </c>
      <c r="E92" t="s">
        <v>20</v>
      </c>
      <c r="F92" t="s">
        <v>21</v>
      </c>
      <c r="G92">
        <v>7</v>
      </c>
      <c r="H92">
        <v>1500</v>
      </c>
      <c r="I92">
        <v>0.1</v>
      </c>
      <c r="J92">
        <v>10500</v>
      </c>
      <c r="K92">
        <v>9450</v>
      </c>
      <c r="L92">
        <v>5775.0000000000009</v>
      </c>
      <c r="M92">
        <v>822</v>
      </c>
      <c r="N92">
        <v>1641</v>
      </c>
      <c r="O92">
        <v>1211.9999999999991</v>
      </c>
      <c r="P92">
        <v>0.12825396825396809</v>
      </c>
      <c r="Q92" t="s">
        <v>88</v>
      </c>
    </row>
    <row r="93" spans="1:17">
      <c r="A93" t="s">
        <v>146</v>
      </c>
      <c r="B93" s="1">
        <v>46160</v>
      </c>
      <c r="C93" t="s">
        <v>61</v>
      </c>
      <c r="D93" t="s">
        <v>31</v>
      </c>
      <c r="E93" t="s">
        <v>38</v>
      </c>
      <c r="F93" t="s">
        <v>35</v>
      </c>
      <c r="G93">
        <v>5</v>
      </c>
      <c r="H93">
        <v>4500</v>
      </c>
      <c r="I93">
        <v>0.15</v>
      </c>
      <c r="J93">
        <v>22500</v>
      </c>
      <c r="K93">
        <v>19125</v>
      </c>
      <c r="L93">
        <v>14625</v>
      </c>
      <c r="M93">
        <v>1660</v>
      </c>
      <c r="N93">
        <v>2424</v>
      </c>
      <c r="O93">
        <v>416</v>
      </c>
      <c r="P93">
        <v>2.1751633986928101E-2</v>
      </c>
      <c r="Q93" t="s">
        <v>73</v>
      </c>
    </row>
    <row r="94" spans="1:17">
      <c r="A94" t="s">
        <v>147</v>
      </c>
      <c r="B94" s="1">
        <v>45900</v>
      </c>
      <c r="C94" t="s">
        <v>61</v>
      </c>
      <c r="D94" t="s">
        <v>51</v>
      </c>
      <c r="E94" t="s">
        <v>38</v>
      </c>
      <c r="F94" t="s">
        <v>35</v>
      </c>
      <c r="G94">
        <v>7</v>
      </c>
      <c r="H94">
        <v>4500</v>
      </c>
      <c r="I94">
        <v>0</v>
      </c>
      <c r="J94">
        <v>31500</v>
      </c>
      <c r="K94">
        <v>31500</v>
      </c>
      <c r="L94">
        <v>20475</v>
      </c>
      <c r="M94">
        <v>1360</v>
      </c>
      <c r="N94">
        <v>858</v>
      </c>
      <c r="O94">
        <v>8807</v>
      </c>
      <c r="P94">
        <v>0.27958730158730161</v>
      </c>
      <c r="Q94" t="s">
        <v>58</v>
      </c>
    </row>
    <row r="95" spans="1:17">
      <c r="A95" t="s">
        <v>148</v>
      </c>
      <c r="B95" s="1">
        <v>46161</v>
      </c>
      <c r="C95" t="s">
        <v>30</v>
      </c>
      <c r="D95" t="s">
        <v>34</v>
      </c>
      <c r="E95" t="s">
        <v>26</v>
      </c>
      <c r="F95" t="s">
        <v>27</v>
      </c>
      <c r="G95">
        <v>3</v>
      </c>
      <c r="H95">
        <v>28000</v>
      </c>
      <c r="I95">
        <v>0.15</v>
      </c>
      <c r="J95">
        <v>84000</v>
      </c>
      <c r="K95">
        <v>71400</v>
      </c>
      <c r="L95">
        <v>65520</v>
      </c>
      <c r="M95">
        <v>845</v>
      </c>
      <c r="N95">
        <v>217</v>
      </c>
      <c r="O95">
        <v>4818</v>
      </c>
      <c r="P95">
        <v>6.7478991596638657E-2</v>
      </c>
      <c r="Q95" t="s">
        <v>73</v>
      </c>
    </row>
    <row r="96" spans="1:17">
      <c r="A96" t="s">
        <v>149</v>
      </c>
      <c r="B96" s="1">
        <v>45957</v>
      </c>
      <c r="C96" t="s">
        <v>18</v>
      </c>
      <c r="D96" t="s">
        <v>51</v>
      </c>
      <c r="E96" t="s">
        <v>20</v>
      </c>
      <c r="F96" t="s">
        <v>35</v>
      </c>
      <c r="G96">
        <v>3</v>
      </c>
      <c r="H96">
        <v>32000</v>
      </c>
      <c r="I96">
        <v>0.08</v>
      </c>
      <c r="J96">
        <v>96000</v>
      </c>
      <c r="K96">
        <v>88320</v>
      </c>
      <c r="L96">
        <v>78720</v>
      </c>
      <c r="M96">
        <v>1658</v>
      </c>
      <c r="N96">
        <v>2320</v>
      </c>
      <c r="O96">
        <v>5622</v>
      </c>
      <c r="P96">
        <v>6.365489130434783E-2</v>
      </c>
      <c r="Q96" t="s">
        <v>88</v>
      </c>
    </row>
    <row r="97" spans="1:17">
      <c r="A97" t="s">
        <v>150</v>
      </c>
      <c r="B97" s="1">
        <v>45658</v>
      </c>
      <c r="C97" t="s">
        <v>50</v>
      </c>
      <c r="D97" t="s">
        <v>25</v>
      </c>
      <c r="E97" t="s">
        <v>26</v>
      </c>
      <c r="F97" t="s">
        <v>35</v>
      </c>
      <c r="G97">
        <v>4</v>
      </c>
      <c r="H97">
        <v>2500</v>
      </c>
      <c r="I97">
        <v>0.08</v>
      </c>
      <c r="J97">
        <v>10000</v>
      </c>
      <c r="K97">
        <v>9200</v>
      </c>
      <c r="L97">
        <v>6200</v>
      </c>
      <c r="M97">
        <v>312</v>
      </c>
      <c r="N97">
        <v>2287</v>
      </c>
      <c r="O97">
        <v>401</v>
      </c>
      <c r="P97">
        <v>4.3586956521739127E-2</v>
      </c>
      <c r="Q97" t="s">
        <v>56</v>
      </c>
    </row>
    <row r="98" spans="1:17">
      <c r="A98" t="s">
        <v>151</v>
      </c>
      <c r="B98" s="1">
        <v>45916</v>
      </c>
      <c r="C98" t="s">
        <v>61</v>
      </c>
      <c r="D98" t="s">
        <v>63</v>
      </c>
      <c r="E98" t="s">
        <v>20</v>
      </c>
      <c r="F98" t="s">
        <v>21</v>
      </c>
      <c r="G98">
        <v>3</v>
      </c>
      <c r="H98">
        <v>4500</v>
      </c>
      <c r="I98">
        <v>0.15</v>
      </c>
      <c r="J98">
        <v>13500</v>
      </c>
      <c r="K98">
        <v>11475</v>
      </c>
      <c r="L98">
        <v>8775</v>
      </c>
      <c r="M98">
        <v>1044</v>
      </c>
      <c r="N98">
        <v>2126</v>
      </c>
      <c r="O98">
        <v>-470</v>
      </c>
      <c r="P98">
        <v>-4.0958605664488022E-2</v>
      </c>
      <c r="Q98" t="s">
        <v>32</v>
      </c>
    </row>
    <row r="99" spans="1:17">
      <c r="A99" t="s">
        <v>152</v>
      </c>
      <c r="B99" s="1">
        <v>45825</v>
      </c>
      <c r="C99" t="s">
        <v>24</v>
      </c>
      <c r="D99" t="s">
        <v>25</v>
      </c>
      <c r="E99" t="s">
        <v>20</v>
      </c>
      <c r="F99" t="s">
        <v>35</v>
      </c>
      <c r="G99">
        <v>7</v>
      </c>
      <c r="H99">
        <v>3500</v>
      </c>
      <c r="I99">
        <v>0.08</v>
      </c>
      <c r="J99">
        <v>24500</v>
      </c>
      <c r="K99">
        <v>22540</v>
      </c>
      <c r="L99">
        <v>16660</v>
      </c>
      <c r="M99">
        <v>1097</v>
      </c>
      <c r="N99">
        <v>2160</v>
      </c>
      <c r="O99">
        <v>2623</v>
      </c>
      <c r="P99">
        <v>0.1163708961845608</v>
      </c>
      <c r="Q99" t="s">
        <v>39</v>
      </c>
    </row>
    <row r="100" spans="1:17">
      <c r="A100" t="s">
        <v>153</v>
      </c>
      <c r="B100" s="1">
        <v>46076</v>
      </c>
      <c r="C100" t="s">
        <v>75</v>
      </c>
      <c r="D100" t="s">
        <v>34</v>
      </c>
      <c r="E100" t="s">
        <v>20</v>
      </c>
      <c r="F100" t="s">
        <v>27</v>
      </c>
      <c r="G100">
        <v>1</v>
      </c>
      <c r="H100">
        <v>65000</v>
      </c>
      <c r="I100">
        <v>0</v>
      </c>
      <c r="J100">
        <v>65000</v>
      </c>
      <c r="K100">
        <v>65000</v>
      </c>
      <c r="L100">
        <v>54600</v>
      </c>
      <c r="M100">
        <v>1110</v>
      </c>
      <c r="N100">
        <v>2043</v>
      </c>
      <c r="O100">
        <v>7247</v>
      </c>
      <c r="P100">
        <v>0.1114923076923077</v>
      </c>
      <c r="Q100" t="s">
        <v>54</v>
      </c>
    </row>
    <row r="101" spans="1:17">
      <c r="A101" t="s">
        <v>154</v>
      </c>
      <c r="B101" s="1">
        <v>46170</v>
      </c>
      <c r="C101" t="s">
        <v>53</v>
      </c>
      <c r="D101" t="s">
        <v>34</v>
      </c>
      <c r="E101" t="s">
        <v>20</v>
      </c>
      <c r="F101" t="s">
        <v>21</v>
      </c>
      <c r="G101">
        <v>4</v>
      </c>
      <c r="H101">
        <v>1500</v>
      </c>
      <c r="I101">
        <v>0.05</v>
      </c>
      <c r="J101">
        <v>6000</v>
      </c>
      <c r="K101">
        <v>5700</v>
      </c>
      <c r="L101">
        <v>3300</v>
      </c>
      <c r="M101">
        <v>575</v>
      </c>
      <c r="N101">
        <v>1260</v>
      </c>
      <c r="O101">
        <v>564.99999999999955</v>
      </c>
      <c r="P101">
        <v>9.9122807017543779E-2</v>
      </c>
      <c r="Q101" t="s">
        <v>73</v>
      </c>
    </row>
    <row r="102" spans="1:17">
      <c r="A102" t="s">
        <v>155</v>
      </c>
      <c r="B102" s="1">
        <v>45822</v>
      </c>
      <c r="C102" t="s">
        <v>50</v>
      </c>
      <c r="D102" t="s">
        <v>51</v>
      </c>
      <c r="E102" t="s">
        <v>20</v>
      </c>
      <c r="F102" t="s">
        <v>21</v>
      </c>
      <c r="G102">
        <v>1</v>
      </c>
      <c r="H102">
        <v>2500</v>
      </c>
      <c r="I102">
        <v>0.1</v>
      </c>
      <c r="J102">
        <v>2500</v>
      </c>
      <c r="K102">
        <v>2250</v>
      </c>
      <c r="L102">
        <v>1550</v>
      </c>
      <c r="M102">
        <v>997</v>
      </c>
      <c r="N102">
        <v>1414</v>
      </c>
      <c r="O102">
        <v>-1711</v>
      </c>
      <c r="P102">
        <v>-0.76044444444444448</v>
      </c>
      <c r="Q102" t="s">
        <v>39</v>
      </c>
    </row>
    <row r="103" spans="1:17">
      <c r="A103" t="s">
        <v>156</v>
      </c>
      <c r="B103" s="1">
        <v>46059</v>
      </c>
      <c r="C103" t="s">
        <v>61</v>
      </c>
      <c r="D103" t="s">
        <v>34</v>
      </c>
      <c r="E103" t="s">
        <v>38</v>
      </c>
      <c r="F103" t="s">
        <v>21</v>
      </c>
      <c r="G103">
        <v>4</v>
      </c>
      <c r="H103">
        <v>4500</v>
      </c>
      <c r="I103">
        <v>0.05</v>
      </c>
      <c r="J103">
        <v>18000</v>
      </c>
      <c r="K103">
        <v>17100</v>
      </c>
      <c r="L103">
        <v>11700</v>
      </c>
      <c r="M103">
        <v>1265</v>
      </c>
      <c r="N103">
        <v>2236</v>
      </c>
      <c r="O103">
        <v>1899</v>
      </c>
      <c r="P103">
        <v>0.1110526315789474</v>
      </c>
      <c r="Q103" t="s">
        <v>54</v>
      </c>
    </row>
    <row r="104" spans="1:17">
      <c r="A104" t="s">
        <v>157</v>
      </c>
      <c r="B104" s="1">
        <v>45882</v>
      </c>
      <c r="C104" t="s">
        <v>75</v>
      </c>
      <c r="D104" t="s">
        <v>25</v>
      </c>
      <c r="E104" t="s">
        <v>26</v>
      </c>
      <c r="F104" t="s">
        <v>27</v>
      </c>
      <c r="G104">
        <v>3</v>
      </c>
      <c r="H104">
        <v>65000</v>
      </c>
      <c r="I104">
        <v>0.05</v>
      </c>
      <c r="J104">
        <v>195000</v>
      </c>
      <c r="K104">
        <v>185250</v>
      </c>
      <c r="L104">
        <v>163800</v>
      </c>
      <c r="M104">
        <v>1192</v>
      </c>
      <c r="N104">
        <v>2292</v>
      </c>
      <c r="O104">
        <v>17966</v>
      </c>
      <c r="P104">
        <v>9.6982456140350878E-2</v>
      </c>
      <c r="Q104" t="s">
        <v>58</v>
      </c>
    </row>
    <row r="105" spans="1:17">
      <c r="A105" t="s">
        <v>158</v>
      </c>
      <c r="B105" s="1">
        <v>46105</v>
      </c>
      <c r="C105" t="s">
        <v>50</v>
      </c>
      <c r="D105" t="s">
        <v>31</v>
      </c>
      <c r="E105" t="s">
        <v>26</v>
      </c>
      <c r="F105" t="s">
        <v>21</v>
      </c>
      <c r="G105">
        <v>7</v>
      </c>
      <c r="H105">
        <v>2500</v>
      </c>
      <c r="I105">
        <v>0</v>
      </c>
      <c r="J105">
        <v>17500</v>
      </c>
      <c r="K105">
        <v>17500</v>
      </c>
      <c r="L105">
        <v>10850</v>
      </c>
      <c r="M105">
        <v>778</v>
      </c>
      <c r="N105">
        <v>1302</v>
      </c>
      <c r="O105">
        <v>4570</v>
      </c>
      <c r="P105">
        <v>0.26114285714285712</v>
      </c>
      <c r="Q105" t="s">
        <v>98</v>
      </c>
    </row>
    <row r="106" spans="1:17">
      <c r="A106" t="s">
        <v>159</v>
      </c>
      <c r="B106" s="1">
        <v>46098</v>
      </c>
      <c r="C106" t="s">
        <v>53</v>
      </c>
      <c r="D106" t="s">
        <v>63</v>
      </c>
      <c r="E106" t="s">
        <v>26</v>
      </c>
      <c r="F106" t="s">
        <v>21</v>
      </c>
      <c r="G106">
        <v>6</v>
      </c>
      <c r="H106">
        <v>1500</v>
      </c>
      <c r="I106">
        <v>0.15</v>
      </c>
      <c r="J106">
        <v>9000</v>
      </c>
      <c r="K106">
        <v>7650</v>
      </c>
      <c r="L106">
        <v>4950</v>
      </c>
      <c r="M106">
        <v>619</v>
      </c>
      <c r="N106">
        <v>2304</v>
      </c>
      <c r="O106">
        <v>-223</v>
      </c>
      <c r="P106">
        <v>-2.915032679738562E-2</v>
      </c>
      <c r="Q106" t="s">
        <v>98</v>
      </c>
    </row>
    <row r="107" spans="1:17">
      <c r="A107" t="s">
        <v>160</v>
      </c>
      <c r="B107" s="1">
        <v>45775</v>
      </c>
      <c r="C107" t="s">
        <v>75</v>
      </c>
      <c r="D107" t="s">
        <v>34</v>
      </c>
      <c r="E107" t="s">
        <v>26</v>
      </c>
      <c r="F107" t="s">
        <v>35</v>
      </c>
      <c r="G107">
        <v>2</v>
      </c>
      <c r="H107">
        <v>65000</v>
      </c>
      <c r="I107">
        <v>0.03</v>
      </c>
      <c r="J107">
        <v>130000</v>
      </c>
      <c r="K107">
        <v>126100</v>
      </c>
      <c r="L107">
        <v>109200</v>
      </c>
      <c r="M107">
        <v>1745</v>
      </c>
      <c r="N107">
        <v>616</v>
      </c>
      <c r="O107">
        <v>14539</v>
      </c>
      <c r="P107">
        <v>0.1152973830293418</v>
      </c>
      <c r="Q107" t="s">
        <v>41</v>
      </c>
    </row>
    <row r="108" spans="1:17">
      <c r="A108" t="s">
        <v>161</v>
      </c>
      <c r="B108" s="1">
        <v>45981</v>
      </c>
      <c r="C108" t="s">
        <v>24</v>
      </c>
      <c r="D108" t="s">
        <v>31</v>
      </c>
      <c r="E108" t="s">
        <v>26</v>
      </c>
      <c r="F108" t="s">
        <v>35</v>
      </c>
      <c r="G108">
        <v>4</v>
      </c>
      <c r="H108">
        <v>3500</v>
      </c>
      <c r="I108">
        <v>0.05</v>
      </c>
      <c r="J108">
        <v>14000</v>
      </c>
      <c r="K108">
        <v>13300</v>
      </c>
      <c r="L108">
        <v>9520</v>
      </c>
      <c r="M108">
        <v>1380</v>
      </c>
      <c r="N108">
        <v>2194</v>
      </c>
      <c r="O108">
        <v>206</v>
      </c>
      <c r="P108">
        <v>1.5488721804511279E-2</v>
      </c>
      <c r="Q108" t="s">
        <v>28</v>
      </c>
    </row>
    <row r="109" spans="1:17">
      <c r="A109" t="s">
        <v>162</v>
      </c>
      <c r="B109" s="1">
        <v>45940</v>
      </c>
      <c r="C109" t="s">
        <v>50</v>
      </c>
      <c r="D109" t="s">
        <v>51</v>
      </c>
      <c r="E109" t="s">
        <v>38</v>
      </c>
      <c r="F109" t="s">
        <v>27</v>
      </c>
      <c r="G109">
        <v>3</v>
      </c>
      <c r="H109">
        <v>2500</v>
      </c>
      <c r="I109">
        <v>0.08</v>
      </c>
      <c r="J109">
        <v>7500</v>
      </c>
      <c r="K109">
        <v>6900</v>
      </c>
      <c r="L109">
        <v>4650</v>
      </c>
      <c r="M109">
        <v>993</v>
      </c>
      <c r="N109">
        <v>1934</v>
      </c>
      <c r="O109">
        <v>-677</v>
      </c>
      <c r="P109">
        <v>-9.8115942028985506E-2</v>
      </c>
      <c r="Q109" t="s">
        <v>88</v>
      </c>
    </row>
    <row r="110" spans="1:17">
      <c r="A110" t="s">
        <v>163</v>
      </c>
      <c r="B110" s="1">
        <v>46003</v>
      </c>
      <c r="C110" t="s">
        <v>46</v>
      </c>
      <c r="D110" t="s">
        <v>34</v>
      </c>
      <c r="E110" t="s">
        <v>26</v>
      </c>
      <c r="F110" t="s">
        <v>27</v>
      </c>
      <c r="G110">
        <v>2</v>
      </c>
      <c r="H110">
        <v>18000</v>
      </c>
      <c r="I110">
        <v>0.03</v>
      </c>
      <c r="J110">
        <v>36000</v>
      </c>
      <c r="K110">
        <v>34920</v>
      </c>
      <c r="L110">
        <v>28800</v>
      </c>
      <c r="M110">
        <v>222</v>
      </c>
      <c r="N110">
        <v>914</v>
      </c>
      <c r="O110">
        <v>4984</v>
      </c>
      <c r="P110">
        <v>0.14272623138602519</v>
      </c>
      <c r="Q110" t="s">
        <v>80</v>
      </c>
    </row>
    <row r="111" spans="1:17">
      <c r="A111" t="s">
        <v>164</v>
      </c>
      <c r="B111" s="1">
        <v>46117</v>
      </c>
      <c r="C111" t="s">
        <v>46</v>
      </c>
      <c r="D111" t="s">
        <v>31</v>
      </c>
      <c r="E111" t="s">
        <v>26</v>
      </c>
      <c r="F111" t="s">
        <v>21</v>
      </c>
      <c r="G111">
        <v>2</v>
      </c>
      <c r="H111">
        <v>18000</v>
      </c>
      <c r="I111">
        <v>0</v>
      </c>
      <c r="J111">
        <v>36000</v>
      </c>
      <c r="K111">
        <v>36000</v>
      </c>
      <c r="L111">
        <v>28800</v>
      </c>
      <c r="M111">
        <v>1192</v>
      </c>
      <c r="N111">
        <v>1739</v>
      </c>
      <c r="O111">
        <v>4269</v>
      </c>
      <c r="P111">
        <v>0.1185833333333333</v>
      </c>
      <c r="Q111" t="s">
        <v>65</v>
      </c>
    </row>
    <row r="112" spans="1:17">
      <c r="A112" t="s">
        <v>165</v>
      </c>
      <c r="B112" s="1">
        <v>46035</v>
      </c>
      <c r="C112" t="s">
        <v>46</v>
      </c>
      <c r="D112" t="s">
        <v>63</v>
      </c>
      <c r="E112" t="s">
        <v>20</v>
      </c>
      <c r="F112" t="s">
        <v>21</v>
      </c>
      <c r="G112">
        <v>1</v>
      </c>
      <c r="H112">
        <v>18000</v>
      </c>
      <c r="I112">
        <v>0.1</v>
      </c>
      <c r="J112">
        <v>18000</v>
      </c>
      <c r="K112">
        <v>16200</v>
      </c>
      <c r="L112">
        <v>14400</v>
      </c>
      <c r="M112">
        <v>1329</v>
      </c>
      <c r="N112">
        <v>703</v>
      </c>
      <c r="O112">
        <v>-232</v>
      </c>
      <c r="P112">
        <v>-1.432098765432099E-2</v>
      </c>
      <c r="Q112" t="s">
        <v>43</v>
      </c>
    </row>
    <row r="113" spans="1:17">
      <c r="A113" t="s">
        <v>166</v>
      </c>
      <c r="B113" s="1">
        <v>46062</v>
      </c>
      <c r="C113" t="s">
        <v>46</v>
      </c>
      <c r="D113" t="s">
        <v>25</v>
      </c>
      <c r="E113" t="s">
        <v>38</v>
      </c>
      <c r="F113" t="s">
        <v>35</v>
      </c>
      <c r="G113">
        <v>1</v>
      </c>
      <c r="H113">
        <v>18000</v>
      </c>
      <c r="I113">
        <v>0.15</v>
      </c>
      <c r="J113">
        <v>18000</v>
      </c>
      <c r="K113">
        <v>15300</v>
      </c>
      <c r="L113">
        <v>14400</v>
      </c>
      <c r="M113">
        <v>1630</v>
      </c>
      <c r="N113">
        <v>1892</v>
      </c>
      <c r="O113">
        <v>-2622</v>
      </c>
      <c r="P113">
        <v>-0.17137254901960791</v>
      </c>
      <c r="Q113" t="s">
        <v>54</v>
      </c>
    </row>
    <row r="114" spans="1:17">
      <c r="A114" t="s">
        <v>167</v>
      </c>
      <c r="B114" s="1">
        <v>46088</v>
      </c>
      <c r="C114" t="s">
        <v>75</v>
      </c>
      <c r="D114" t="s">
        <v>63</v>
      </c>
      <c r="E114" t="s">
        <v>26</v>
      </c>
      <c r="F114" t="s">
        <v>35</v>
      </c>
      <c r="G114">
        <v>1</v>
      </c>
      <c r="H114">
        <v>65000</v>
      </c>
      <c r="I114">
        <v>0.15</v>
      </c>
      <c r="J114">
        <v>65000</v>
      </c>
      <c r="K114">
        <v>55250</v>
      </c>
      <c r="L114">
        <v>54600</v>
      </c>
      <c r="M114">
        <v>766</v>
      </c>
      <c r="N114">
        <v>1035</v>
      </c>
      <c r="O114">
        <v>-1151</v>
      </c>
      <c r="P114">
        <v>-2.083257918552036E-2</v>
      </c>
      <c r="Q114" t="s">
        <v>98</v>
      </c>
    </row>
    <row r="115" spans="1:17">
      <c r="A115" t="s">
        <v>168</v>
      </c>
      <c r="B115" s="1">
        <v>46194</v>
      </c>
      <c r="C115" t="s">
        <v>75</v>
      </c>
      <c r="D115" t="s">
        <v>25</v>
      </c>
      <c r="E115" t="s">
        <v>38</v>
      </c>
      <c r="F115" t="s">
        <v>35</v>
      </c>
      <c r="G115">
        <v>1</v>
      </c>
      <c r="H115">
        <v>65000</v>
      </c>
      <c r="I115">
        <v>0.08</v>
      </c>
      <c r="J115">
        <v>65000</v>
      </c>
      <c r="K115">
        <v>59800</v>
      </c>
      <c r="L115">
        <v>54600</v>
      </c>
      <c r="M115">
        <v>774</v>
      </c>
      <c r="N115">
        <v>2391</v>
      </c>
      <c r="O115">
        <v>2035</v>
      </c>
      <c r="P115">
        <v>3.4030100334448157E-2</v>
      </c>
      <c r="Q115" t="s">
        <v>135</v>
      </c>
    </row>
    <row r="116" spans="1:17">
      <c r="A116" t="s">
        <v>169</v>
      </c>
      <c r="B116" s="1">
        <v>45836</v>
      </c>
      <c r="C116" t="s">
        <v>30</v>
      </c>
      <c r="D116" t="s">
        <v>34</v>
      </c>
      <c r="E116" t="s">
        <v>20</v>
      </c>
      <c r="F116" t="s">
        <v>21</v>
      </c>
      <c r="G116">
        <v>3</v>
      </c>
      <c r="H116">
        <v>28000</v>
      </c>
      <c r="I116">
        <v>0.1</v>
      </c>
      <c r="J116">
        <v>84000</v>
      </c>
      <c r="K116">
        <v>75600</v>
      </c>
      <c r="L116">
        <v>65520</v>
      </c>
      <c r="M116">
        <v>1752</v>
      </c>
      <c r="N116">
        <v>1038</v>
      </c>
      <c r="O116">
        <v>7290</v>
      </c>
      <c r="P116">
        <v>9.6428571428571433E-2</v>
      </c>
      <c r="Q116" t="s">
        <v>39</v>
      </c>
    </row>
    <row r="117" spans="1:17">
      <c r="A117" t="s">
        <v>170</v>
      </c>
      <c r="B117" s="1">
        <v>45720</v>
      </c>
      <c r="C117" t="s">
        <v>61</v>
      </c>
      <c r="D117" t="s">
        <v>19</v>
      </c>
      <c r="E117" t="s">
        <v>26</v>
      </c>
      <c r="F117" t="s">
        <v>35</v>
      </c>
      <c r="G117">
        <v>5</v>
      </c>
      <c r="H117">
        <v>4500</v>
      </c>
      <c r="I117">
        <v>0.15</v>
      </c>
      <c r="J117">
        <v>22500</v>
      </c>
      <c r="K117">
        <v>19125</v>
      </c>
      <c r="L117">
        <v>14625</v>
      </c>
      <c r="M117">
        <v>376</v>
      </c>
      <c r="N117">
        <v>384</v>
      </c>
      <c r="O117">
        <v>3740</v>
      </c>
      <c r="P117">
        <v>0.19555555555555559</v>
      </c>
      <c r="Q117" t="s">
        <v>68</v>
      </c>
    </row>
    <row r="118" spans="1:17">
      <c r="A118" t="s">
        <v>171</v>
      </c>
      <c r="B118" s="1">
        <v>45805</v>
      </c>
      <c r="C118" t="s">
        <v>24</v>
      </c>
      <c r="D118" t="s">
        <v>34</v>
      </c>
      <c r="E118" t="s">
        <v>38</v>
      </c>
      <c r="F118" t="s">
        <v>21</v>
      </c>
      <c r="G118">
        <v>1</v>
      </c>
      <c r="H118">
        <v>3500</v>
      </c>
      <c r="I118">
        <v>0.03</v>
      </c>
      <c r="J118">
        <v>3500</v>
      </c>
      <c r="K118">
        <v>3395</v>
      </c>
      <c r="L118">
        <v>2380</v>
      </c>
      <c r="M118">
        <v>1307</v>
      </c>
      <c r="N118">
        <v>788</v>
      </c>
      <c r="O118">
        <v>-1080</v>
      </c>
      <c r="P118">
        <v>-0.31811487481590572</v>
      </c>
      <c r="Q118" t="s">
        <v>22</v>
      </c>
    </row>
    <row r="119" spans="1:17">
      <c r="A119" t="s">
        <v>172</v>
      </c>
      <c r="B119" s="1">
        <v>45872</v>
      </c>
      <c r="C119" t="s">
        <v>46</v>
      </c>
      <c r="D119" t="s">
        <v>19</v>
      </c>
      <c r="E119" t="s">
        <v>20</v>
      </c>
      <c r="F119" t="s">
        <v>27</v>
      </c>
      <c r="G119">
        <v>1</v>
      </c>
      <c r="H119">
        <v>18000</v>
      </c>
      <c r="I119">
        <v>0.05</v>
      </c>
      <c r="J119">
        <v>18000</v>
      </c>
      <c r="K119">
        <v>17100</v>
      </c>
      <c r="L119">
        <v>14400</v>
      </c>
      <c r="M119">
        <v>1364</v>
      </c>
      <c r="N119">
        <v>1089</v>
      </c>
      <c r="O119">
        <v>247</v>
      </c>
      <c r="P119">
        <v>1.444444444444444E-2</v>
      </c>
      <c r="Q119" t="s">
        <v>58</v>
      </c>
    </row>
    <row r="120" spans="1:17">
      <c r="A120" t="s">
        <v>173</v>
      </c>
      <c r="B120" s="1">
        <v>45943</v>
      </c>
      <c r="C120" t="s">
        <v>46</v>
      </c>
      <c r="D120" t="s">
        <v>19</v>
      </c>
      <c r="E120" t="s">
        <v>20</v>
      </c>
      <c r="F120" t="s">
        <v>21</v>
      </c>
      <c r="G120">
        <v>2</v>
      </c>
      <c r="H120">
        <v>18000</v>
      </c>
      <c r="I120">
        <v>0.03</v>
      </c>
      <c r="J120">
        <v>36000</v>
      </c>
      <c r="K120">
        <v>34920</v>
      </c>
      <c r="L120">
        <v>28800</v>
      </c>
      <c r="M120">
        <v>628</v>
      </c>
      <c r="N120">
        <v>1600</v>
      </c>
      <c r="O120">
        <v>3892</v>
      </c>
      <c r="P120">
        <v>0.11145475372279499</v>
      </c>
      <c r="Q120" t="s">
        <v>88</v>
      </c>
    </row>
    <row r="121" spans="1:17">
      <c r="A121" t="s">
        <v>174</v>
      </c>
      <c r="B121" s="1">
        <v>45771</v>
      </c>
      <c r="C121" t="s">
        <v>18</v>
      </c>
      <c r="D121" t="s">
        <v>34</v>
      </c>
      <c r="E121" t="s">
        <v>26</v>
      </c>
      <c r="F121" t="s">
        <v>35</v>
      </c>
      <c r="G121">
        <v>2</v>
      </c>
      <c r="H121">
        <v>32000</v>
      </c>
      <c r="I121">
        <v>0.08</v>
      </c>
      <c r="J121">
        <v>64000</v>
      </c>
      <c r="K121">
        <v>58880</v>
      </c>
      <c r="L121">
        <v>52480</v>
      </c>
      <c r="M121">
        <v>1187</v>
      </c>
      <c r="N121">
        <v>1236</v>
      </c>
      <c r="O121">
        <v>3977</v>
      </c>
      <c r="P121">
        <v>6.7544157608695657E-2</v>
      </c>
      <c r="Q121" t="s">
        <v>41</v>
      </c>
    </row>
    <row r="122" spans="1:17">
      <c r="A122" t="s">
        <v>175</v>
      </c>
      <c r="B122" s="1">
        <v>46115</v>
      </c>
      <c r="C122" t="s">
        <v>75</v>
      </c>
      <c r="D122" t="s">
        <v>19</v>
      </c>
      <c r="E122" t="s">
        <v>26</v>
      </c>
      <c r="F122" t="s">
        <v>35</v>
      </c>
      <c r="G122">
        <v>1</v>
      </c>
      <c r="H122">
        <v>65000</v>
      </c>
      <c r="I122">
        <v>0</v>
      </c>
      <c r="J122">
        <v>65000</v>
      </c>
      <c r="K122">
        <v>65000</v>
      </c>
      <c r="L122">
        <v>54600</v>
      </c>
      <c r="M122">
        <v>999</v>
      </c>
      <c r="N122">
        <v>877</v>
      </c>
      <c r="O122">
        <v>8524</v>
      </c>
      <c r="P122">
        <v>0.13113846153846151</v>
      </c>
      <c r="Q122" t="s">
        <v>65</v>
      </c>
    </row>
    <row r="123" spans="1:17">
      <c r="A123" t="s">
        <v>176</v>
      </c>
      <c r="B123" s="1">
        <v>45970</v>
      </c>
      <c r="C123" t="s">
        <v>18</v>
      </c>
      <c r="D123" t="s">
        <v>19</v>
      </c>
      <c r="E123" t="s">
        <v>20</v>
      </c>
      <c r="F123" t="s">
        <v>21</v>
      </c>
      <c r="G123">
        <v>3</v>
      </c>
      <c r="H123">
        <v>32000</v>
      </c>
      <c r="I123">
        <v>0.03</v>
      </c>
      <c r="J123">
        <v>96000</v>
      </c>
      <c r="K123">
        <v>93120</v>
      </c>
      <c r="L123">
        <v>78720</v>
      </c>
      <c r="M123">
        <v>1401</v>
      </c>
      <c r="N123">
        <v>932</v>
      </c>
      <c r="O123">
        <v>12067</v>
      </c>
      <c r="P123">
        <v>0.1295854810996564</v>
      </c>
      <c r="Q123" t="s">
        <v>28</v>
      </c>
    </row>
    <row r="124" spans="1:17">
      <c r="A124" t="s">
        <v>177</v>
      </c>
      <c r="B124" s="1">
        <v>46075</v>
      </c>
      <c r="C124" t="s">
        <v>24</v>
      </c>
      <c r="D124" t="s">
        <v>19</v>
      </c>
      <c r="E124" t="s">
        <v>20</v>
      </c>
      <c r="F124" t="s">
        <v>21</v>
      </c>
      <c r="G124">
        <v>6</v>
      </c>
      <c r="H124">
        <v>3500</v>
      </c>
      <c r="I124">
        <v>0.05</v>
      </c>
      <c r="J124">
        <v>21000</v>
      </c>
      <c r="K124">
        <v>19950</v>
      </c>
      <c r="L124">
        <v>14280</v>
      </c>
      <c r="M124">
        <v>1452</v>
      </c>
      <c r="N124">
        <v>1387</v>
      </c>
      <c r="O124">
        <v>2830.9999999999982</v>
      </c>
      <c r="P124">
        <v>0.14190476190476181</v>
      </c>
      <c r="Q124" t="s">
        <v>54</v>
      </c>
    </row>
    <row r="125" spans="1:17">
      <c r="A125" t="s">
        <v>178</v>
      </c>
      <c r="B125" s="1">
        <v>45822</v>
      </c>
      <c r="C125" t="s">
        <v>46</v>
      </c>
      <c r="D125" t="s">
        <v>34</v>
      </c>
      <c r="E125" t="s">
        <v>20</v>
      </c>
      <c r="F125" t="s">
        <v>35</v>
      </c>
      <c r="G125">
        <v>2</v>
      </c>
      <c r="H125">
        <v>18000</v>
      </c>
      <c r="I125">
        <v>0.1</v>
      </c>
      <c r="J125">
        <v>36000</v>
      </c>
      <c r="K125">
        <v>32400</v>
      </c>
      <c r="L125">
        <v>28800</v>
      </c>
      <c r="M125">
        <v>651</v>
      </c>
      <c r="N125">
        <v>1623</v>
      </c>
      <c r="O125">
        <v>1326</v>
      </c>
      <c r="P125">
        <v>4.0925925925925928E-2</v>
      </c>
      <c r="Q125" t="s">
        <v>39</v>
      </c>
    </row>
    <row r="126" spans="1:17">
      <c r="A126" t="s">
        <v>179</v>
      </c>
      <c r="B126" s="1">
        <v>45742</v>
      </c>
      <c r="C126" t="s">
        <v>46</v>
      </c>
      <c r="D126" t="s">
        <v>19</v>
      </c>
      <c r="E126" t="s">
        <v>20</v>
      </c>
      <c r="F126" t="s">
        <v>27</v>
      </c>
      <c r="G126">
        <v>2</v>
      </c>
      <c r="H126">
        <v>18000</v>
      </c>
      <c r="I126">
        <v>0</v>
      </c>
      <c r="J126">
        <v>36000</v>
      </c>
      <c r="K126">
        <v>36000</v>
      </c>
      <c r="L126">
        <v>28800</v>
      </c>
      <c r="M126">
        <v>974</v>
      </c>
      <c r="N126">
        <v>2298</v>
      </c>
      <c r="O126">
        <v>3928</v>
      </c>
      <c r="P126">
        <v>0.1091111111111111</v>
      </c>
      <c r="Q126" t="s">
        <v>68</v>
      </c>
    </row>
    <row r="127" spans="1:17">
      <c r="A127" t="s">
        <v>180</v>
      </c>
      <c r="B127" s="1">
        <v>46180</v>
      </c>
      <c r="C127" t="s">
        <v>24</v>
      </c>
      <c r="D127" t="s">
        <v>25</v>
      </c>
      <c r="E127" t="s">
        <v>38</v>
      </c>
      <c r="F127" t="s">
        <v>35</v>
      </c>
      <c r="G127">
        <v>4</v>
      </c>
      <c r="H127">
        <v>3500</v>
      </c>
      <c r="I127">
        <v>0.1</v>
      </c>
      <c r="J127">
        <v>14000</v>
      </c>
      <c r="K127">
        <v>12600</v>
      </c>
      <c r="L127">
        <v>9520</v>
      </c>
      <c r="M127">
        <v>1014</v>
      </c>
      <c r="N127">
        <v>2039</v>
      </c>
      <c r="O127">
        <v>27</v>
      </c>
      <c r="P127">
        <v>2.142857142857143E-3</v>
      </c>
      <c r="Q127" t="s">
        <v>135</v>
      </c>
    </row>
    <row r="128" spans="1:17">
      <c r="A128" t="s">
        <v>181</v>
      </c>
      <c r="B128" s="1">
        <v>45883</v>
      </c>
      <c r="C128" t="s">
        <v>18</v>
      </c>
      <c r="D128" t="s">
        <v>51</v>
      </c>
      <c r="E128" t="s">
        <v>20</v>
      </c>
      <c r="F128" t="s">
        <v>27</v>
      </c>
      <c r="G128">
        <v>1</v>
      </c>
      <c r="H128">
        <v>32000</v>
      </c>
      <c r="I128">
        <v>0.05</v>
      </c>
      <c r="J128">
        <v>32000</v>
      </c>
      <c r="K128">
        <v>30400</v>
      </c>
      <c r="L128">
        <v>26240</v>
      </c>
      <c r="M128">
        <v>1479</v>
      </c>
      <c r="N128">
        <v>1857</v>
      </c>
      <c r="O128">
        <v>824</v>
      </c>
      <c r="P128">
        <v>2.710526315789474E-2</v>
      </c>
      <c r="Q128" t="s">
        <v>58</v>
      </c>
    </row>
    <row r="129" spans="1:17">
      <c r="A129" t="s">
        <v>182</v>
      </c>
      <c r="B129" s="1">
        <v>45785</v>
      </c>
      <c r="C129" t="s">
        <v>61</v>
      </c>
      <c r="D129" t="s">
        <v>63</v>
      </c>
      <c r="E129" t="s">
        <v>20</v>
      </c>
      <c r="F129" t="s">
        <v>21</v>
      </c>
      <c r="G129">
        <v>4</v>
      </c>
      <c r="H129">
        <v>4500</v>
      </c>
      <c r="I129">
        <v>0</v>
      </c>
      <c r="J129">
        <v>18000</v>
      </c>
      <c r="K129">
        <v>18000</v>
      </c>
      <c r="L129">
        <v>11700</v>
      </c>
      <c r="M129">
        <v>913</v>
      </c>
      <c r="N129">
        <v>2206</v>
      </c>
      <c r="O129">
        <v>3181</v>
      </c>
      <c r="P129">
        <v>0.1767222222222222</v>
      </c>
      <c r="Q129" t="s">
        <v>22</v>
      </c>
    </row>
    <row r="130" spans="1:17">
      <c r="A130" t="s">
        <v>183</v>
      </c>
      <c r="B130" s="1">
        <v>45935</v>
      </c>
      <c r="C130" t="s">
        <v>75</v>
      </c>
      <c r="D130" t="s">
        <v>19</v>
      </c>
      <c r="E130" t="s">
        <v>20</v>
      </c>
      <c r="F130" t="s">
        <v>35</v>
      </c>
      <c r="G130">
        <v>2</v>
      </c>
      <c r="H130">
        <v>65000</v>
      </c>
      <c r="I130">
        <v>0.08</v>
      </c>
      <c r="J130">
        <v>130000</v>
      </c>
      <c r="K130">
        <v>119600</v>
      </c>
      <c r="L130">
        <v>109200</v>
      </c>
      <c r="M130">
        <v>1582</v>
      </c>
      <c r="N130">
        <v>1881</v>
      </c>
      <c r="O130">
        <v>6937</v>
      </c>
      <c r="P130">
        <v>5.8001672240802667E-2</v>
      </c>
      <c r="Q130" t="s">
        <v>88</v>
      </c>
    </row>
    <row r="131" spans="1:17">
      <c r="A131" t="s">
        <v>184</v>
      </c>
      <c r="B131" s="1">
        <v>45803</v>
      </c>
      <c r="C131" t="s">
        <v>24</v>
      </c>
      <c r="D131" t="s">
        <v>51</v>
      </c>
      <c r="E131" t="s">
        <v>38</v>
      </c>
      <c r="F131" t="s">
        <v>21</v>
      </c>
      <c r="G131">
        <v>5</v>
      </c>
      <c r="H131">
        <v>3500</v>
      </c>
      <c r="I131">
        <v>0.1</v>
      </c>
      <c r="J131">
        <v>17500</v>
      </c>
      <c r="K131">
        <v>15750</v>
      </c>
      <c r="L131">
        <v>11900</v>
      </c>
      <c r="M131">
        <v>1004</v>
      </c>
      <c r="N131">
        <v>174</v>
      </c>
      <c r="O131">
        <v>2672</v>
      </c>
      <c r="P131">
        <v>0.16965079365079369</v>
      </c>
      <c r="Q131" t="s">
        <v>22</v>
      </c>
    </row>
    <row r="132" spans="1:17">
      <c r="A132" t="s">
        <v>185</v>
      </c>
      <c r="B132" s="1">
        <v>45999</v>
      </c>
      <c r="C132" t="s">
        <v>30</v>
      </c>
      <c r="D132" t="s">
        <v>51</v>
      </c>
      <c r="E132" t="s">
        <v>20</v>
      </c>
      <c r="F132" t="s">
        <v>35</v>
      </c>
      <c r="G132">
        <v>1</v>
      </c>
      <c r="H132">
        <v>28000</v>
      </c>
      <c r="I132">
        <v>0.05</v>
      </c>
      <c r="J132">
        <v>28000</v>
      </c>
      <c r="K132">
        <v>26600</v>
      </c>
      <c r="L132">
        <v>21840</v>
      </c>
      <c r="M132">
        <v>1197</v>
      </c>
      <c r="N132">
        <v>1501</v>
      </c>
      <c r="O132">
        <v>2062</v>
      </c>
      <c r="P132">
        <v>7.7518796992481209E-2</v>
      </c>
      <c r="Q132" t="s">
        <v>80</v>
      </c>
    </row>
    <row r="133" spans="1:17">
      <c r="A133" t="s">
        <v>186</v>
      </c>
      <c r="B133" s="1">
        <v>46058</v>
      </c>
      <c r="C133" t="s">
        <v>50</v>
      </c>
      <c r="D133" t="s">
        <v>25</v>
      </c>
      <c r="E133" t="s">
        <v>20</v>
      </c>
      <c r="F133" t="s">
        <v>21</v>
      </c>
      <c r="G133">
        <v>2</v>
      </c>
      <c r="H133">
        <v>2500</v>
      </c>
      <c r="I133">
        <v>0.08</v>
      </c>
      <c r="J133">
        <v>5000</v>
      </c>
      <c r="K133">
        <v>4600</v>
      </c>
      <c r="L133">
        <v>3100</v>
      </c>
      <c r="M133">
        <v>1020</v>
      </c>
      <c r="N133">
        <v>554</v>
      </c>
      <c r="O133">
        <v>-74</v>
      </c>
      <c r="P133">
        <v>-1.6086956521739131E-2</v>
      </c>
      <c r="Q133" t="s">
        <v>54</v>
      </c>
    </row>
    <row r="134" spans="1:17">
      <c r="A134" t="s">
        <v>187</v>
      </c>
      <c r="B134" s="1">
        <v>45949</v>
      </c>
      <c r="C134" t="s">
        <v>61</v>
      </c>
      <c r="D134" t="s">
        <v>19</v>
      </c>
      <c r="E134" t="s">
        <v>20</v>
      </c>
      <c r="F134" t="s">
        <v>35</v>
      </c>
      <c r="G134">
        <v>2</v>
      </c>
      <c r="H134">
        <v>4500</v>
      </c>
      <c r="I134">
        <v>0.03</v>
      </c>
      <c r="J134">
        <v>9000</v>
      </c>
      <c r="K134">
        <v>8730</v>
      </c>
      <c r="L134">
        <v>5850</v>
      </c>
      <c r="M134">
        <v>1586</v>
      </c>
      <c r="N134">
        <v>792</v>
      </c>
      <c r="O134">
        <v>502</v>
      </c>
      <c r="P134">
        <v>5.7502863688430703E-2</v>
      </c>
      <c r="Q134" t="s">
        <v>88</v>
      </c>
    </row>
    <row r="135" spans="1:17">
      <c r="A135" t="s">
        <v>188</v>
      </c>
      <c r="B135" s="1">
        <v>45884</v>
      </c>
      <c r="C135" t="s">
        <v>46</v>
      </c>
      <c r="D135" t="s">
        <v>34</v>
      </c>
      <c r="E135" t="s">
        <v>20</v>
      </c>
      <c r="F135" t="s">
        <v>21</v>
      </c>
      <c r="G135">
        <v>3</v>
      </c>
      <c r="H135">
        <v>18000</v>
      </c>
      <c r="I135">
        <v>0.05</v>
      </c>
      <c r="J135">
        <v>54000</v>
      </c>
      <c r="K135">
        <v>51300</v>
      </c>
      <c r="L135">
        <v>43200</v>
      </c>
      <c r="M135">
        <v>1336</v>
      </c>
      <c r="N135">
        <v>286</v>
      </c>
      <c r="O135">
        <v>6478</v>
      </c>
      <c r="P135">
        <v>0.1262768031189084</v>
      </c>
      <c r="Q135" t="s">
        <v>58</v>
      </c>
    </row>
    <row r="136" spans="1:17">
      <c r="A136" t="s">
        <v>189</v>
      </c>
      <c r="B136" s="1">
        <v>45805</v>
      </c>
      <c r="C136" t="s">
        <v>61</v>
      </c>
      <c r="D136" t="s">
        <v>19</v>
      </c>
      <c r="E136" t="s">
        <v>26</v>
      </c>
      <c r="F136" t="s">
        <v>35</v>
      </c>
      <c r="G136">
        <v>6</v>
      </c>
      <c r="H136">
        <v>4500</v>
      </c>
      <c r="I136">
        <v>0.1</v>
      </c>
      <c r="J136">
        <v>27000</v>
      </c>
      <c r="K136">
        <v>24300</v>
      </c>
      <c r="L136">
        <v>17550</v>
      </c>
      <c r="M136">
        <v>1512</v>
      </c>
      <c r="N136">
        <v>1885</v>
      </c>
      <c r="O136">
        <v>3353</v>
      </c>
      <c r="P136">
        <v>0.13798353909465019</v>
      </c>
      <c r="Q136" t="s">
        <v>22</v>
      </c>
    </row>
    <row r="137" spans="1:17">
      <c r="A137" t="s">
        <v>190</v>
      </c>
      <c r="B137" s="1">
        <v>45811</v>
      </c>
      <c r="C137" t="s">
        <v>61</v>
      </c>
      <c r="D137" t="s">
        <v>25</v>
      </c>
      <c r="E137" t="s">
        <v>20</v>
      </c>
      <c r="F137" t="s">
        <v>35</v>
      </c>
      <c r="G137">
        <v>3</v>
      </c>
      <c r="H137">
        <v>4500</v>
      </c>
      <c r="I137">
        <v>0.08</v>
      </c>
      <c r="J137">
        <v>13500</v>
      </c>
      <c r="K137">
        <v>12420</v>
      </c>
      <c r="L137">
        <v>8775</v>
      </c>
      <c r="M137">
        <v>681</v>
      </c>
      <c r="N137">
        <v>2348</v>
      </c>
      <c r="O137">
        <v>616</v>
      </c>
      <c r="P137">
        <v>4.959742351046699E-2</v>
      </c>
      <c r="Q137" t="s">
        <v>39</v>
      </c>
    </row>
    <row r="138" spans="1:17">
      <c r="A138" t="s">
        <v>191</v>
      </c>
      <c r="B138" s="1">
        <v>45699</v>
      </c>
      <c r="C138" t="s">
        <v>75</v>
      </c>
      <c r="D138" t="s">
        <v>63</v>
      </c>
      <c r="E138" t="s">
        <v>20</v>
      </c>
      <c r="F138" t="s">
        <v>21</v>
      </c>
      <c r="G138">
        <v>1</v>
      </c>
      <c r="H138">
        <v>65000</v>
      </c>
      <c r="I138">
        <v>0.08</v>
      </c>
      <c r="J138">
        <v>65000</v>
      </c>
      <c r="K138">
        <v>59800</v>
      </c>
      <c r="L138">
        <v>54600</v>
      </c>
      <c r="M138">
        <v>1138</v>
      </c>
      <c r="N138">
        <v>1739</v>
      </c>
      <c r="O138">
        <v>2323</v>
      </c>
      <c r="P138">
        <v>3.8846153846153843E-2</v>
      </c>
      <c r="Q138" t="s">
        <v>47</v>
      </c>
    </row>
    <row r="139" spans="1:17">
      <c r="A139" t="s">
        <v>192</v>
      </c>
      <c r="B139" s="1">
        <v>46181</v>
      </c>
      <c r="C139" t="s">
        <v>24</v>
      </c>
      <c r="D139" t="s">
        <v>19</v>
      </c>
      <c r="E139" t="s">
        <v>20</v>
      </c>
      <c r="F139" t="s">
        <v>21</v>
      </c>
      <c r="G139">
        <v>4</v>
      </c>
      <c r="H139">
        <v>3500</v>
      </c>
      <c r="I139">
        <v>0.1</v>
      </c>
      <c r="J139">
        <v>14000</v>
      </c>
      <c r="K139">
        <v>12600</v>
      </c>
      <c r="L139">
        <v>9520</v>
      </c>
      <c r="M139">
        <v>1701</v>
      </c>
      <c r="N139">
        <v>201</v>
      </c>
      <c r="O139">
        <v>1178</v>
      </c>
      <c r="P139">
        <v>9.3492063492063487E-2</v>
      </c>
      <c r="Q139" t="s">
        <v>135</v>
      </c>
    </row>
    <row r="140" spans="1:17">
      <c r="A140" t="s">
        <v>193</v>
      </c>
      <c r="B140" s="1">
        <v>45669</v>
      </c>
      <c r="C140" t="s">
        <v>75</v>
      </c>
      <c r="D140" t="s">
        <v>34</v>
      </c>
      <c r="E140" t="s">
        <v>38</v>
      </c>
      <c r="F140" t="s">
        <v>21</v>
      </c>
      <c r="G140">
        <v>1</v>
      </c>
      <c r="H140">
        <v>65000</v>
      </c>
      <c r="I140">
        <v>0.1</v>
      </c>
      <c r="J140">
        <v>65000</v>
      </c>
      <c r="K140">
        <v>58500</v>
      </c>
      <c r="L140">
        <v>54600</v>
      </c>
      <c r="M140">
        <v>1792</v>
      </c>
      <c r="N140">
        <v>1620</v>
      </c>
      <c r="O140">
        <v>488</v>
      </c>
      <c r="P140">
        <v>8.3418803418803412E-3</v>
      </c>
      <c r="Q140" t="s">
        <v>56</v>
      </c>
    </row>
    <row r="141" spans="1:17">
      <c r="A141" t="s">
        <v>194</v>
      </c>
      <c r="B141" s="1">
        <v>45857</v>
      </c>
      <c r="C141" t="s">
        <v>18</v>
      </c>
      <c r="D141" t="s">
        <v>63</v>
      </c>
      <c r="E141" t="s">
        <v>38</v>
      </c>
      <c r="F141" t="s">
        <v>21</v>
      </c>
      <c r="G141">
        <v>1</v>
      </c>
      <c r="H141">
        <v>32000</v>
      </c>
      <c r="I141">
        <v>0.1</v>
      </c>
      <c r="J141">
        <v>32000</v>
      </c>
      <c r="K141">
        <v>28800</v>
      </c>
      <c r="L141">
        <v>26240</v>
      </c>
      <c r="M141">
        <v>1708</v>
      </c>
      <c r="N141">
        <v>809</v>
      </c>
      <c r="O141">
        <v>43</v>
      </c>
      <c r="P141">
        <v>1.4930555555555561E-3</v>
      </c>
      <c r="Q141" t="s">
        <v>36</v>
      </c>
    </row>
    <row r="142" spans="1:17">
      <c r="A142" t="s">
        <v>195</v>
      </c>
      <c r="B142" s="1">
        <v>45945</v>
      </c>
      <c r="C142" t="s">
        <v>50</v>
      </c>
      <c r="D142" t="s">
        <v>25</v>
      </c>
      <c r="E142" t="s">
        <v>26</v>
      </c>
      <c r="F142" t="s">
        <v>27</v>
      </c>
      <c r="G142">
        <v>2</v>
      </c>
      <c r="H142">
        <v>2500</v>
      </c>
      <c r="I142">
        <v>0</v>
      </c>
      <c r="J142">
        <v>5000</v>
      </c>
      <c r="K142">
        <v>5000</v>
      </c>
      <c r="L142">
        <v>3100</v>
      </c>
      <c r="M142">
        <v>1761</v>
      </c>
      <c r="N142">
        <v>146</v>
      </c>
      <c r="O142">
        <v>-7</v>
      </c>
      <c r="P142">
        <v>-1.4E-3</v>
      </c>
      <c r="Q142" t="s">
        <v>88</v>
      </c>
    </row>
    <row r="143" spans="1:17">
      <c r="A143" t="s">
        <v>196</v>
      </c>
      <c r="B143" s="1">
        <v>46176</v>
      </c>
      <c r="C143" t="s">
        <v>30</v>
      </c>
      <c r="D143" t="s">
        <v>63</v>
      </c>
      <c r="E143" t="s">
        <v>20</v>
      </c>
      <c r="F143" t="s">
        <v>35</v>
      </c>
      <c r="G143">
        <v>1</v>
      </c>
      <c r="H143">
        <v>28000</v>
      </c>
      <c r="I143">
        <v>0.05</v>
      </c>
      <c r="J143">
        <v>28000</v>
      </c>
      <c r="K143">
        <v>26600</v>
      </c>
      <c r="L143">
        <v>21840</v>
      </c>
      <c r="M143">
        <v>590</v>
      </c>
      <c r="N143">
        <v>434</v>
      </c>
      <c r="O143">
        <v>3736</v>
      </c>
      <c r="P143">
        <v>0.14045112781954891</v>
      </c>
      <c r="Q143" t="s">
        <v>135</v>
      </c>
    </row>
    <row r="144" spans="1:17">
      <c r="A144" t="s">
        <v>197</v>
      </c>
      <c r="B144" s="1">
        <v>46029</v>
      </c>
      <c r="C144" t="s">
        <v>50</v>
      </c>
      <c r="D144" t="s">
        <v>19</v>
      </c>
      <c r="E144" t="s">
        <v>20</v>
      </c>
      <c r="F144" t="s">
        <v>21</v>
      </c>
      <c r="G144">
        <v>7</v>
      </c>
      <c r="H144">
        <v>2500</v>
      </c>
      <c r="I144">
        <v>0.1</v>
      </c>
      <c r="J144">
        <v>17500</v>
      </c>
      <c r="K144">
        <v>15750</v>
      </c>
      <c r="L144">
        <v>10850</v>
      </c>
      <c r="M144">
        <v>1446</v>
      </c>
      <c r="N144">
        <v>1089</v>
      </c>
      <c r="O144">
        <v>2365</v>
      </c>
      <c r="P144">
        <v>0.15015873015873021</v>
      </c>
      <c r="Q144" t="s">
        <v>43</v>
      </c>
    </row>
    <row r="145" spans="1:17">
      <c r="A145" t="s">
        <v>198</v>
      </c>
      <c r="B145" s="1">
        <v>45755</v>
      </c>
      <c r="C145" t="s">
        <v>75</v>
      </c>
      <c r="D145" t="s">
        <v>19</v>
      </c>
      <c r="E145" t="s">
        <v>26</v>
      </c>
      <c r="F145" t="s">
        <v>35</v>
      </c>
      <c r="G145">
        <v>2</v>
      </c>
      <c r="H145">
        <v>65000</v>
      </c>
      <c r="I145">
        <v>0.08</v>
      </c>
      <c r="J145">
        <v>130000</v>
      </c>
      <c r="K145">
        <v>119600</v>
      </c>
      <c r="L145">
        <v>109200</v>
      </c>
      <c r="M145">
        <v>1194</v>
      </c>
      <c r="N145">
        <v>2335</v>
      </c>
      <c r="O145">
        <v>6871</v>
      </c>
      <c r="P145">
        <v>5.7449832775919731E-2</v>
      </c>
      <c r="Q145" t="s">
        <v>41</v>
      </c>
    </row>
    <row r="146" spans="1:17">
      <c r="A146" t="s">
        <v>199</v>
      </c>
      <c r="B146" s="1">
        <v>46054</v>
      </c>
      <c r="C146" t="s">
        <v>18</v>
      </c>
      <c r="D146" t="s">
        <v>25</v>
      </c>
      <c r="E146" t="s">
        <v>26</v>
      </c>
      <c r="F146" t="s">
        <v>35</v>
      </c>
      <c r="G146">
        <v>3</v>
      </c>
      <c r="H146">
        <v>32000</v>
      </c>
      <c r="I146">
        <v>0</v>
      </c>
      <c r="J146">
        <v>96000</v>
      </c>
      <c r="K146">
        <v>96000</v>
      </c>
      <c r="L146">
        <v>78720</v>
      </c>
      <c r="M146">
        <v>1750</v>
      </c>
      <c r="N146">
        <v>1472</v>
      </c>
      <c r="O146">
        <v>14058</v>
      </c>
      <c r="P146">
        <v>0.1464375</v>
      </c>
      <c r="Q146" t="s">
        <v>54</v>
      </c>
    </row>
    <row r="147" spans="1:17">
      <c r="A147" t="s">
        <v>200</v>
      </c>
      <c r="B147" s="1">
        <v>46071</v>
      </c>
      <c r="C147" t="s">
        <v>53</v>
      </c>
      <c r="D147" t="s">
        <v>19</v>
      </c>
      <c r="E147" t="s">
        <v>38</v>
      </c>
      <c r="F147" t="s">
        <v>21</v>
      </c>
      <c r="G147">
        <v>6</v>
      </c>
      <c r="H147">
        <v>1500</v>
      </c>
      <c r="I147">
        <v>0.05</v>
      </c>
      <c r="J147">
        <v>9000</v>
      </c>
      <c r="K147">
        <v>8550</v>
      </c>
      <c r="L147">
        <v>4950</v>
      </c>
      <c r="M147">
        <v>938</v>
      </c>
      <c r="N147">
        <v>645</v>
      </c>
      <c r="O147">
        <v>2017</v>
      </c>
      <c r="P147">
        <v>0.23590643274853801</v>
      </c>
      <c r="Q147" t="s">
        <v>54</v>
      </c>
    </row>
    <row r="148" spans="1:17">
      <c r="A148" t="s">
        <v>201</v>
      </c>
      <c r="B148" s="1">
        <v>46134</v>
      </c>
      <c r="C148" t="s">
        <v>46</v>
      </c>
      <c r="D148" t="s">
        <v>34</v>
      </c>
      <c r="E148" t="s">
        <v>20</v>
      </c>
      <c r="F148" t="s">
        <v>21</v>
      </c>
      <c r="G148">
        <v>3</v>
      </c>
      <c r="H148">
        <v>18000</v>
      </c>
      <c r="I148">
        <v>0</v>
      </c>
      <c r="J148">
        <v>54000</v>
      </c>
      <c r="K148">
        <v>54000</v>
      </c>
      <c r="L148">
        <v>43200</v>
      </c>
      <c r="M148">
        <v>1013</v>
      </c>
      <c r="N148">
        <v>128</v>
      </c>
      <c r="O148">
        <v>9659</v>
      </c>
      <c r="P148">
        <v>0.1788703703703704</v>
      </c>
      <c r="Q148" t="s">
        <v>65</v>
      </c>
    </row>
    <row r="149" spans="1:17">
      <c r="A149" t="s">
        <v>202</v>
      </c>
      <c r="B149" s="1">
        <v>46016</v>
      </c>
      <c r="C149" t="s">
        <v>46</v>
      </c>
      <c r="D149" t="s">
        <v>31</v>
      </c>
      <c r="E149" t="s">
        <v>26</v>
      </c>
      <c r="F149" t="s">
        <v>35</v>
      </c>
      <c r="G149">
        <v>3</v>
      </c>
      <c r="H149">
        <v>18000</v>
      </c>
      <c r="I149">
        <v>0.05</v>
      </c>
      <c r="J149">
        <v>54000</v>
      </c>
      <c r="K149">
        <v>51300</v>
      </c>
      <c r="L149">
        <v>43200</v>
      </c>
      <c r="M149">
        <v>1125</v>
      </c>
      <c r="N149">
        <v>1020</v>
      </c>
      <c r="O149">
        <v>5955</v>
      </c>
      <c r="P149">
        <v>0.1160818713450292</v>
      </c>
      <c r="Q149" t="s">
        <v>80</v>
      </c>
    </row>
    <row r="150" spans="1:17">
      <c r="A150" t="s">
        <v>203</v>
      </c>
      <c r="B150" s="1">
        <v>45950</v>
      </c>
      <c r="C150" t="s">
        <v>50</v>
      </c>
      <c r="D150" t="s">
        <v>63</v>
      </c>
      <c r="E150" t="s">
        <v>20</v>
      </c>
      <c r="F150" t="s">
        <v>27</v>
      </c>
      <c r="G150">
        <v>5</v>
      </c>
      <c r="H150">
        <v>2500</v>
      </c>
      <c r="I150">
        <v>0.05</v>
      </c>
      <c r="J150">
        <v>12500</v>
      </c>
      <c r="K150">
        <v>11875</v>
      </c>
      <c r="L150">
        <v>7750</v>
      </c>
      <c r="M150">
        <v>523</v>
      </c>
      <c r="N150">
        <v>245</v>
      </c>
      <c r="O150">
        <v>3357</v>
      </c>
      <c r="P150">
        <v>0.28269473684210528</v>
      </c>
      <c r="Q150" t="s">
        <v>88</v>
      </c>
    </row>
    <row r="151" spans="1:17">
      <c r="A151" t="s">
        <v>204</v>
      </c>
      <c r="B151" s="1">
        <v>45797</v>
      </c>
      <c r="C151" t="s">
        <v>18</v>
      </c>
      <c r="D151" t="s">
        <v>19</v>
      </c>
      <c r="E151" t="s">
        <v>38</v>
      </c>
      <c r="F151" t="s">
        <v>21</v>
      </c>
      <c r="G151">
        <v>1</v>
      </c>
      <c r="H151">
        <v>32000</v>
      </c>
      <c r="I151">
        <v>0</v>
      </c>
      <c r="J151">
        <v>32000</v>
      </c>
      <c r="K151">
        <v>32000</v>
      </c>
      <c r="L151">
        <v>26240</v>
      </c>
      <c r="M151">
        <v>1567</v>
      </c>
      <c r="N151">
        <v>1063</v>
      </c>
      <c r="O151">
        <v>3130</v>
      </c>
      <c r="P151">
        <v>9.7812499999999997E-2</v>
      </c>
      <c r="Q151" t="s">
        <v>22</v>
      </c>
    </row>
    <row r="152" spans="1:17">
      <c r="A152" t="s">
        <v>205</v>
      </c>
      <c r="B152" s="1">
        <v>46001</v>
      </c>
      <c r="C152" t="s">
        <v>50</v>
      </c>
      <c r="D152" t="s">
        <v>19</v>
      </c>
      <c r="E152" t="s">
        <v>38</v>
      </c>
      <c r="F152" t="s">
        <v>27</v>
      </c>
      <c r="G152">
        <v>4</v>
      </c>
      <c r="H152">
        <v>2500</v>
      </c>
      <c r="I152">
        <v>0.05</v>
      </c>
      <c r="J152">
        <v>10000</v>
      </c>
      <c r="K152">
        <v>9500</v>
      </c>
      <c r="L152">
        <v>6200</v>
      </c>
      <c r="M152">
        <v>1663</v>
      </c>
      <c r="N152">
        <v>1425</v>
      </c>
      <c r="O152">
        <v>212</v>
      </c>
      <c r="P152">
        <v>2.2315789473684209E-2</v>
      </c>
      <c r="Q152" t="s">
        <v>80</v>
      </c>
    </row>
    <row r="153" spans="1:17">
      <c r="A153" t="s">
        <v>206</v>
      </c>
      <c r="B153" s="1">
        <v>45900</v>
      </c>
      <c r="C153" t="s">
        <v>18</v>
      </c>
      <c r="D153" t="s">
        <v>51</v>
      </c>
      <c r="E153" t="s">
        <v>20</v>
      </c>
      <c r="F153" t="s">
        <v>35</v>
      </c>
      <c r="G153">
        <v>3</v>
      </c>
      <c r="H153">
        <v>32000</v>
      </c>
      <c r="I153">
        <v>0.05</v>
      </c>
      <c r="J153">
        <v>96000</v>
      </c>
      <c r="K153">
        <v>91200</v>
      </c>
      <c r="L153">
        <v>78720</v>
      </c>
      <c r="M153">
        <v>1798</v>
      </c>
      <c r="N153">
        <v>1433</v>
      </c>
      <c r="O153">
        <v>9249</v>
      </c>
      <c r="P153">
        <v>0.1014144736842105</v>
      </c>
      <c r="Q153" t="s">
        <v>58</v>
      </c>
    </row>
    <row r="154" spans="1:17">
      <c r="A154" t="s">
        <v>207</v>
      </c>
      <c r="B154" s="1">
        <v>46174</v>
      </c>
      <c r="C154" t="s">
        <v>75</v>
      </c>
      <c r="D154" t="s">
        <v>51</v>
      </c>
      <c r="E154" t="s">
        <v>26</v>
      </c>
      <c r="F154" t="s">
        <v>35</v>
      </c>
      <c r="G154">
        <v>2</v>
      </c>
      <c r="H154">
        <v>65000</v>
      </c>
      <c r="I154">
        <v>0</v>
      </c>
      <c r="J154">
        <v>130000</v>
      </c>
      <c r="K154">
        <v>130000</v>
      </c>
      <c r="L154">
        <v>109200</v>
      </c>
      <c r="M154">
        <v>705</v>
      </c>
      <c r="N154">
        <v>2406</v>
      </c>
      <c r="O154">
        <v>17689</v>
      </c>
      <c r="P154">
        <v>0.1360692307692308</v>
      </c>
      <c r="Q154" t="s">
        <v>135</v>
      </c>
    </row>
    <row r="155" spans="1:17">
      <c r="A155" t="s">
        <v>208</v>
      </c>
      <c r="B155" s="1">
        <v>46147</v>
      </c>
      <c r="C155" t="s">
        <v>75</v>
      </c>
      <c r="D155" t="s">
        <v>19</v>
      </c>
      <c r="E155" t="s">
        <v>26</v>
      </c>
      <c r="F155" t="s">
        <v>21</v>
      </c>
      <c r="G155">
        <v>3</v>
      </c>
      <c r="H155">
        <v>65000</v>
      </c>
      <c r="I155">
        <v>0.08</v>
      </c>
      <c r="J155">
        <v>195000</v>
      </c>
      <c r="K155">
        <v>179400</v>
      </c>
      <c r="L155">
        <v>163800</v>
      </c>
      <c r="M155">
        <v>1796</v>
      </c>
      <c r="N155">
        <v>2014</v>
      </c>
      <c r="O155">
        <v>11790</v>
      </c>
      <c r="P155">
        <v>6.5719063545150502E-2</v>
      </c>
      <c r="Q155" t="s">
        <v>73</v>
      </c>
    </row>
    <row r="156" spans="1:17">
      <c r="A156" t="s">
        <v>209</v>
      </c>
      <c r="B156" s="1">
        <v>45746</v>
      </c>
      <c r="C156" t="s">
        <v>46</v>
      </c>
      <c r="D156" t="s">
        <v>63</v>
      </c>
      <c r="E156" t="s">
        <v>38</v>
      </c>
      <c r="F156" t="s">
        <v>27</v>
      </c>
      <c r="G156">
        <v>3</v>
      </c>
      <c r="H156">
        <v>18000</v>
      </c>
      <c r="I156">
        <v>0.1</v>
      </c>
      <c r="J156">
        <v>54000</v>
      </c>
      <c r="K156">
        <v>48600</v>
      </c>
      <c r="L156">
        <v>43200</v>
      </c>
      <c r="M156">
        <v>980</v>
      </c>
      <c r="N156">
        <v>992</v>
      </c>
      <c r="O156">
        <v>3428</v>
      </c>
      <c r="P156">
        <v>7.0534979423868313E-2</v>
      </c>
      <c r="Q156" t="s">
        <v>68</v>
      </c>
    </row>
    <row r="157" spans="1:17">
      <c r="A157" t="s">
        <v>210</v>
      </c>
      <c r="B157" s="1">
        <v>46198</v>
      </c>
      <c r="C157" t="s">
        <v>50</v>
      </c>
      <c r="D157" t="s">
        <v>63</v>
      </c>
      <c r="E157" t="s">
        <v>20</v>
      </c>
      <c r="F157" t="s">
        <v>27</v>
      </c>
      <c r="G157">
        <v>1</v>
      </c>
      <c r="H157">
        <v>2500</v>
      </c>
      <c r="I157">
        <v>0.05</v>
      </c>
      <c r="J157">
        <v>2500</v>
      </c>
      <c r="K157">
        <v>2375</v>
      </c>
      <c r="L157">
        <v>1550</v>
      </c>
      <c r="M157">
        <v>834</v>
      </c>
      <c r="N157">
        <v>1087</v>
      </c>
      <c r="O157">
        <v>-1096</v>
      </c>
      <c r="P157">
        <v>-0.46147368421052631</v>
      </c>
      <c r="Q157" t="s">
        <v>135</v>
      </c>
    </row>
    <row r="158" spans="1:17">
      <c r="A158" t="s">
        <v>211</v>
      </c>
      <c r="B158" s="1">
        <v>45883</v>
      </c>
      <c r="C158" t="s">
        <v>30</v>
      </c>
      <c r="D158" t="s">
        <v>31</v>
      </c>
      <c r="E158" t="s">
        <v>20</v>
      </c>
      <c r="F158" t="s">
        <v>35</v>
      </c>
      <c r="G158">
        <v>1</v>
      </c>
      <c r="H158">
        <v>28000</v>
      </c>
      <c r="I158">
        <v>0.05</v>
      </c>
      <c r="J158">
        <v>28000</v>
      </c>
      <c r="K158">
        <v>26600</v>
      </c>
      <c r="L158">
        <v>21840</v>
      </c>
      <c r="M158">
        <v>1760</v>
      </c>
      <c r="N158">
        <v>1518</v>
      </c>
      <c r="O158">
        <v>1482</v>
      </c>
      <c r="P158">
        <v>5.5714285714285723E-2</v>
      </c>
      <c r="Q158" t="s">
        <v>58</v>
      </c>
    </row>
    <row r="159" spans="1:17">
      <c r="A159" t="s">
        <v>212</v>
      </c>
      <c r="B159" s="1">
        <v>45771</v>
      </c>
      <c r="C159" t="s">
        <v>24</v>
      </c>
      <c r="D159" t="s">
        <v>51</v>
      </c>
      <c r="E159" t="s">
        <v>20</v>
      </c>
      <c r="F159" t="s">
        <v>21</v>
      </c>
      <c r="G159">
        <v>2</v>
      </c>
      <c r="H159">
        <v>3500</v>
      </c>
      <c r="I159">
        <v>0.08</v>
      </c>
      <c r="J159">
        <v>7000</v>
      </c>
      <c r="K159">
        <v>6440</v>
      </c>
      <c r="L159">
        <v>4760</v>
      </c>
      <c r="M159">
        <v>236</v>
      </c>
      <c r="N159">
        <v>1811</v>
      </c>
      <c r="O159">
        <v>-367</v>
      </c>
      <c r="P159">
        <v>-5.6987577639751548E-2</v>
      </c>
      <c r="Q159" t="s">
        <v>41</v>
      </c>
    </row>
    <row r="160" spans="1:17">
      <c r="A160" t="s">
        <v>213</v>
      </c>
      <c r="B160" s="1">
        <v>45946</v>
      </c>
      <c r="C160" t="s">
        <v>30</v>
      </c>
      <c r="D160" t="s">
        <v>34</v>
      </c>
      <c r="E160" t="s">
        <v>26</v>
      </c>
      <c r="F160" t="s">
        <v>27</v>
      </c>
      <c r="G160">
        <v>3</v>
      </c>
      <c r="H160">
        <v>28000</v>
      </c>
      <c r="I160">
        <v>0.05</v>
      </c>
      <c r="J160">
        <v>84000</v>
      </c>
      <c r="K160">
        <v>79800</v>
      </c>
      <c r="L160">
        <v>65520</v>
      </c>
      <c r="M160">
        <v>239</v>
      </c>
      <c r="N160">
        <v>2096</v>
      </c>
      <c r="O160">
        <v>11945</v>
      </c>
      <c r="P160">
        <v>0.14968671679198001</v>
      </c>
      <c r="Q160" t="s">
        <v>88</v>
      </c>
    </row>
    <row r="161" spans="1:17">
      <c r="A161" t="s">
        <v>214</v>
      </c>
      <c r="B161" s="1">
        <v>46020</v>
      </c>
      <c r="C161" t="s">
        <v>53</v>
      </c>
      <c r="D161" t="s">
        <v>51</v>
      </c>
      <c r="E161" t="s">
        <v>26</v>
      </c>
      <c r="F161" t="s">
        <v>21</v>
      </c>
      <c r="G161">
        <v>1</v>
      </c>
      <c r="H161">
        <v>1500</v>
      </c>
      <c r="I161">
        <v>0.03</v>
      </c>
      <c r="J161">
        <v>1500</v>
      </c>
      <c r="K161">
        <v>1455</v>
      </c>
      <c r="L161">
        <v>825.00000000000011</v>
      </c>
      <c r="M161">
        <v>1015</v>
      </c>
      <c r="N161">
        <v>1804</v>
      </c>
      <c r="O161">
        <v>-2189</v>
      </c>
      <c r="P161">
        <v>-1.50446735395189</v>
      </c>
      <c r="Q161" t="s">
        <v>80</v>
      </c>
    </row>
    <row r="162" spans="1:17">
      <c r="A162" t="s">
        <v>215</v>
      </c>
      <c r="B162" s="1">
        <v>45688</v>
      </c>
      <c r="C162" t="s">
        <v>18</v>
      </c>
      <c r="D162" t="s">
        <v>25</v>
      </c>
      <c r="E162" t="s">
        <v>20</v>
      </c>
      <c r="F162" t="s">
        <v>35</v>
      </c>
      <c r="G162">
        <v>3</v>
      </c>
      <c r="H162">
        <v>32000</v>
      </c>
      <c r="I162">
        <v>0.1</v>
      </c>
      <c r="J162">
        <v>96000</v>
      </c>
      <c r="K162">
        <v>86400</v>
      </c>
      <c r="L162">
        <v>78720</v>
      </c>
      <c r="M162">
        <v>206</v>
      </c>
      <c r="N162">
        <v>2280</v>
      </c>
      <c r="O162">
        <v>5194</v>
      </c>
      <c r="P162">
        <v>6.011574074074074E-2</v>
      </c>
      <c r="Q162" t="s">
        <v>56</v>
      </c>
    </row>
    <row r="163" spans="1:17">
      <c r="A163" t="s">
        <v>216</v>
      </c>
      <c r="B163" s="1">
        <v>46181</v>
      </c>
      <c r="C163" t="s">
        <v>61</v>
      </c>
      <c r="D163" t="s">
        <v>25</v>
      </c>
      <c r="E163" t="s">
        <v>20</v>
      </c>
      <c r="F163" t="s">
        <v>21</v>
      </c>
      <c r="G163">
        <v>7</v>
      </c>
      <c r="H163">
        <v>4500</v>
      </c>
      <c r="I163">
        <v>0.03</v>
      </c>
      <c r="J163">
        <v>31500</v>
      </c>
      <c r="K163">
        <v>30555</v>
      </c>
      <c r="L163">
        <v>20475</v>
      </c>
      <c r="M163">
        <v>555</v>
      </c>
      <c r="N163">
        <v>688</v>
      </c>
      <c r="O163">
        <v>8837</v>
      </c>
      <c r="P163">
        <v>0.28921616756668311</v>
      </c>
      <c r="Q163" t="s">
        <v>135</v>
      </c>
    </row>
    <row r="164" spans="1:17">
      <c r="A164" t="s">
        <v>217</v>
      </c>
      <c r="B164" s="1">
        <v>46105</v>
      </c>
      <c r="C164" t="s">
        <v>75</v>
      </c>
      <c r="D164" t="s">
        <v>51</v>
      </c>
      <c r="E164" t="s">
        <v>26</v>
      </c>
      <c r="F164" t="s">
        <v>35</v>
      </c>
      <c r="G164">
        <v>1</v>
      </c>
      <c r="H164">
        <v>65000</v>
      </c>
      <c r="I164">
        <v>0.08</v>
      </c>
      <c r="J164">
        <v>65000</v>
      </c>
      <c r="K164">
        <v>59800</v>
      </c>
      <c r="L164">
        <v>54600</v>
      </c>
      <c r="M164">
        <v>1446</v>
      </c>
      <c r="N164">
        <v>799</v>
      </c>
      <c r="O164">
        <v>2955</v>
      </c>
      <c r="P164">
        <v>4.9414715719063543E-2</v>
      </c>
      <c r="Q164" t="s">
        <v>98</v>
      </c>
    </row>
    <row r="165" spans="1:17">
      <c r="A165" t="s">
        <v>218</v>
      </c>
      <c r="B165" s="1">
        <v>46069</v>
      </c>
      <c r="C165" t="s">
        <v>61</v>
      </c>
      <c r="D165" t="s">
        <v>31</v>
      </c>
      <c r="E165" t="s">
        <v>20</v>
      </c>
      <c r="F165" t="s">
        <v>21</v>
      </c>
      <c r="G165">
        <v>7</v>
      </c>
      <c r="H165">
        <v>4500</v>
      </c>
      <c r="I165">
        <v>0.08</v>
      </c>
      <c r="J165">
        <v>31500</v>
      </c>
      <c r="K165">
        <v>28980</v>
      </c>
      <c r="L165">
        <v>20475</v>
      </c>
      <c r="M165">
        <v>1447</v>
      </c>
      <c r="N165">
        <v>1093</v>
      </c>
      <c r="O165">
        <v>5965</v>
      </c>
      <c r="P165">
        <v>0.20583160800552111</v>
      </c>
      <c r="Q165" t="s">
        <v>54</v>
      </c>
    </row>
    <row r="166" spans="1:17">
      <c r="A166" t="s">
        <v>219</v>
      </c>
      <c r="B166" s="1">
        <v>45981</v>
      </c>
      <c r="C166" t="s">
        <v>61</v>
      </c>
      <c r="D166" t="s">
        <v>19</v>
      </c>
      <c r="E166" t="s">
        <v>20</v>
      </c>
      <c r="F166" t="s">
        <v>21</v>
      </c>
      <c r="G166">
        <v>4</v>
      </c>
      <c r="H166">
        <v>4500</v>
      </c>
      <c r="I166">
        <v>0.03</v>
      </c>
      <c r="J166">
        <v>18000</v>
      </c>
      <c r="K166">
        <v>17460</v>
      </c>
      <c r="L166">
        <v>11700</v>
      </c>
      <c r="M166">
        <v>683</v>
      </c>
      <c r="N166">
        <v>1365</v>
      </c>
      <c r="O166">
        <v>3712</v>
      </c>
      <c r="P166">
        <v>0.21260022909507439</v>
      </c>
      <c r="Q166" t="s">
        <v>28</v>
      </c>
    </row>
    <row r="167" spans="1:17">
      <c r="A167" t="s">
        <v>220</v>
      </c>
      <c r="B167" s="1">
        <v>45777</v>
      </c>
      <c r="C167" t="s">
        <v>75</v>
      </c>
      <c r="D167" t="s">
        <v>19</v>
      </c>
      <c r="E167" t="s">
        <v>38</v>
      </c>
      <c r="F167" t="s">
        <v>27</v>
      </c>
      <c r="G167">
        <v>2</v>
      </c>
      <c r="H167">
        <v>65000</v>
      </c>
      <c r="I167">
        <v>0.05</v>
      </c>
      <c r="J167">
        <v>130000</v>
      </c>
      <c r="K167">
        <v>123500</v>
      </c>
      <c r="L167">
        <v>109200</v>
      </c>
      <c r="M167">
        <v>221</v>
      </c>
      <c r="N167">
        <v>573</v>
      </c>
      <c r="O167">
        <v>13506</v>
      </c>
      <c r="P167">
        <v>0.1093603238866397</v>
      </c>
      <c r="Q167" t="s">
        <v>41</v>
      </c>
    </row>
    <row r="168" spans="1:17">
      <c r="A168" t="s">
        <v>221</v>
      </c>
      <c r="B168" s="1">
        <v>46038</v>
      </c>
      <c r="C168" t="s">
        <v>18</v>
      </c>
      <c r="D168" t="s">
        <v>31</v>
      </c>
      <c r="E168" t="s">
        <v>20</v>
      </c>
      <c r="F168" t="s">
        <v>35</v>
      </c>
      <c r="G168">
        <v>1</v>
      </c>
      <c r="H168">
        <v>32000</v>
      </c>
      <c r="I168">
        <v>0.05</v>
      </c>
      <c r="J168">
        <v>32000</v>
      </c>
      <c r="K168">
        <v>30400</v>
      </c>
      <c r="L168">
        <v>26240</v>
      </c>
      <c r="M168">
        <v>962</v>
      </c>
      <c r="N168">
        <v>1350</v>
      </c>
      <c r="O168">
        <v>1848</v>
      </c>
      <c r="P168">
        <v>6.0789473684210532E-2</v>
      </c>
      <c r="Q168" t="s">
        <v>43</v>
      </c>
    </row>
    <row r="169" spans="1:17">
      <c r="A169" t="s">
        <v>222</v>
      </c>
      <c r="B169" s="1">
        <v>46195</v>
      </c>
      <c r="C169" t="s">
        <v>61</v>
      </c>
      <c r="D169" t="s">
        <v>25</v>
      </c>
      <c r="E169" t="s">
        <v>20</v>
      </c>
      <c r="F169" t="s">
        <v>27</v>
      </c>
      <c r="G169">
        <v>7</v>
      </c>
      <c r="H169">
        <v>4500</v>
      </c>
      <c r="I169">
        <v>0.05</v>
      </c>
      <c r="J169">
        <v>31500</v>
      </c>
      <c r="K169">
        <v>29925</v>
      </c>
      <c r="L169">
        <v>20475</v>
      </c>
      <c r="M169">
        <v>1146</v>
      </c>
      <c r="N169">
        <v>669</v>
      </c>
      <c r="O169">
        <v>7635</v>
      </c>
      <c r="P169">
        <v>0.25513784461152877</v>
      </c>
      <c r="Q169" t="s">
        <v>135</v>
      </c>
    </row>
    <row r="170" spans="1:17">
      <c r="A170" t="s">
        <v>223</v>
      </c>
      <c r="B170" s="1">
        <v>45814</v>
      </c>
      <c r="C170" t="s">
        <v>75</v>
      </c>
      <c r="D170" t="s">
        <v>19</v>
      </c>
      <c r="E170" t="s">
        <v>20</v>
      </c>
      <c r="F170" t="s">
        <v>35</v>
      </c>
      <c r="G170">
        <v>3</v>
      </c>
      <c r="H170">
        <v>65000</v>
      </c>
      <c r="I170">
        <v>0.05</v>
      </c>
      <c r="J170">
        <v>195000</v>
      </c>
      <c r="K170">
        <v>185250</v>
      </c>
      <c r="L170">
        <v>163800</v>
      </c>
      <c r="M170">
        <v>238</v>
      </c>
      <c r="N170">
        <v>986</v>
      </c>
      <c r="O170">
        <v>20226</v>
      </c>
      <c r="P170">
        <v>0.1091821862348178</v>
      </c>
      <c r="Q170" t="s">
        <v>39</v>
      </c>
    </row>
    <row r="171" spans="1:17">
      <c r="A171" t="s">
        <v>224</v>
      </c>
      <c r="B171" s="1">
        <v>45678</v>
      </c>
      <c r="C171" t="s">
        <v>61</v>
      </c>
      <c r="D171" t="s">
        <v>51</v>
      </c>
      <c r="E171" t="s">
        <v>26</v>
      </c>
      <c r="F171" t="s">
        <v>35</v>
      </c>
      <c r="G171">
        <v>4</v>
      </c>
      <c r="H171">
        <v>4500</v>
      </c>
      <c r="I171">
        <v>0.08</v>
      </c>
      <c r="J171">
        <v>18000</v>
      </c>
      <c r="K171">
        <v>16560</v>
      </c>
      <c r="L171">
        <v>11700</v>
      </c>
      <c r="M171">
        <v>1762</v>
      </c>
      <c r="N171">
        <v>1088</v>
      </c>
      <c r="O171">
        <v>2010</v>
      </c>
      <c r="P171">
        <v>0.1213768115942029</v>
      </c>
      <c r="Q171" t="s">
        <v>56</v>
      </c>
    </row>
    <row r="172" spans="1:17">
      <c r="A172" t="s">
        <v>225</v>
      </c>
      <c r="B172" s="1">
        <v>46184</v>
      </c>
      <c r="C172" t="s">
        <v>75</v>
      </c>
      <c r="D172" t="s">
        <v>25</v>
      </c>
      <c r="E172" t="s">
        <v>20</v>
      </c>
      <c r="F172" t="s">
        <v>35</v>
      </c>
      <c r="G172">
        <v>1</v>
      </c>
      <c r="H172">
        <v>65000</v>
      </c>
      <c r="I172">
        <v>0.2</v>
      </c>
      <c r="J172">
        <v>65000</v>
      </c>
      <c r="K172">
        <v>52000</v>
      </c>
      <c r="L172">
        <v>54600</v>
      </c>
      <c r="M172">
        <v>1480</v>
      </c>
      <c r="N172">
        <v>669</v>
      </c>
      <c r="O172">
        <v>-4749</v>
      </c>
      <c r="P172">
        <v>-9.1326923076923083E-2</v>
      </c>
      <c r="Q172" t="s">
        <v>135</v>
      </c>
    </row>
    <row r="173" spans="1:17">
      <c r="A173" t="s">
        <v>226</v>
      </c>
      <c r="B173" s="1">
        <v>45717</v>
      </c>
      <c r="C173" t="s">
        <v>75</v>
      </c>
      <c r="D173" t="s">
        <v>34</v>
      </c>
      <c r="E173" t="s">
        <v>20</v>
      </c>
      <c r="F173" t="s">
        <v>35</v>
      </c>
      <c r="G173">
        <v>2</v>
      </c>
      <c r="H173">
        <v>65000</v>
      </c>
      <c r="I173">
        <v>0.15</v>
      </c>
      <c r="J173">
        <v>130000</v>
      </c>
      <c r="K173">
        <v>110500</v>
      </c>
      <c r="L173">
        <v>109200</v>
      </c>
      <c r="M173">
        <v>407</v>
      </c>
      <c r="N173">
        <v>1707</v>
      </c>
      <c r="O173">
        <v>-814</v>
      </c>
      <c r="P173">
        <v>-7.3665158371040724E-3</v>
      </c>
      <c r="Q173" t="s">
        <v>68</v>
      </c>
    </row>
    <row r="174" spans="1:17">
      <c r="A174" t="s">
        <v>227</v>
      </c>
      <c r="B174" s="1">
        <v>45856</v>
      </c>
      <c r="C174" t="s">
        <v>46</v>
      </c>
      <c r="D174" t="s">
        <v>19</v>
      </c>
      <c r="E174" t="s">
        <v>26</v>
      </c>
      <c r="F174" t="s">
        <v>35</v>
      </c>
      <c r="G174">
        <v>3</v>
      </c>
      <c r="H174">
        <v>18000</v>
      </c>
      <c r="I174">
        <v>0.05</v>
      </c>
      <c r="J174">
        <v>54000</v>
      </c>
      <c r="K174">
        <v>51300</v>
      </c>
      <c r="L174">
        <v>43200</v>
      </c>
      <c r="M174">
        <v>1785</v>
      </c>
      <c r="N174">
        <v>2135</v>
      </c>
      <c r="O174">
        <v>4180</v>
      </c>
      <c r="P174">
        <v>8.1481481481481488E-2</v>
      </c>
      <c r="Q174" t="s">
        <v>36</v>
      </c>
    </row>
    <row r="175" spans="1:17">
      <c r="A175" t="s">
        <v>228</v>
      </c>
      <c r="B175" s="1">
        <v>45810</v>
      </c>
      <c r="C175" t="s">
        <v>46</v>
      </c>
      <c r="D175" t="s">
        <v>34</v>
      </c>
      <c r="E175" t="s">
        <v>20</v>
      </c>
      <c r="F175" t="s">
        <v>35</v>
      </c>
      <c r="G175">
        <v>2</v>
      </c>
      <c r="H175">
        <v>18000</v>
      </c>
      <c r="I175">
        <v>0.08</v>
      </c>
      <c r="J175">
        <v>36000</v>
      </c>
      <c r="K175">
        <v>33120</v>
      </c>
      <c r="L175">
        <v>28800</v>
      </c>
      <c r="M175">
        <v>1781</v>
      </c>
      <c r="N175">
        <v>626</v>
      </c>
      <c r="O175">
        <v>1913</v>
      </c>
      <c r="P175">
        <v>5.7759661835748793E-2</v>
      </c>
      <c r="Q175" t="s">
        <v>39</v>
      </c>
    </row>
    <row r="176" spans="1:17">
      <c r="A176" t="s">
        <v>229</v>
      </c>
      <c r="B176" s="1">
        <v>46158</v>
      </c>
      <c r="C176" t="s">
        <v>53</v>
      </c>
      <c r="D176" t="s">
        <v>51</v>
      </c>
      <c r="E176" t="s">
        <v>26</v>
      </c>
      <c r="F176" t="s">
        <v>35</v>
      </c>
      <c r="G176">
        <v>4</v>
      </c>
      <c r="H176">
        <v>1500</v>
      </c>
      <c r="I176">
        <v>0.05</v>
      </c>
      <c r="J176">
        <v>6000</v>
      </c>
      <c r="K176">
        <v>5700</v>
      </c>
      <c r="L176">
        <v>3300</v>
      </c>
      <c r="M176">
        <v>1216</v>
      </c>
      <c r="N176">
        <v>1113</v>
      </c>
      <c r="O176">
        <v>70.999999999999545</v>
      </c>
      <c r="P176">
        <v>1.245614035087711E-2</v>
      </c>
      <c r="Q176" t="s">
        <v>73</v>
      </c>
    </row>
    <row r="177" spans="1:17">
      <c r="A177" t="s">
        <v>230</v>
      </c>
      <c r="B177" s="1">
        <v>45977</v>
      </c>
      <c r="C177" t="s">
        <v>46</v>
      </c>
      <c r="D177" t="s">
        <v>25</v>
      </c>
      <c r="E177" t="s">
        <v>20</v>
      </c>
      <c r="F177" t="s">
        <v>21</v>
      </c>
      <c r="G177">
        <v>1</v>
      </c>
      <c r="H177">
        <v>18000</v>
      </c>
      <c r="I177">
        <v>0</v>
      </c>
      <c r="J177">
        <v>18000</v>
      </c>
      <c r="K177">
        <v>18000</v>
      </c>
      <c r="L177">
        <v>14400</v>
      </c>
      <c r="M177">
        <v>473</v>
      </c>
      <c r="N177">
        <v>2113</v>
      </c>
      <c r="O177">
        <v>1014</v>
      </c>
      <c r="P177">
        <v>5.6333333333333332E-2</v>
      </c>
      <c r="Q177" t="s">
        <v>28</v>
      </c>
    </row>
    <row r="178" spans="1:17">
      <c r="A178" t="s">
        <v>231</v>
      </c>
      <c r="B178" s="1">
        <v>45759</v>
      </c>
      <c r="C178" t="s">
        <v>46</v>
      </c>
      <c r="D178" t="s">
        <v>63</v>
      </c>
      <c r="E178" t="s">
        <v>20</v>
      </c>
      <c r="F178" t="s">
        <v>21</v>
      </c>
      <c r="G178">
        <v>3</v>
      </c>
      <c r="H178">
        <v>18000</v>
      </c>
      <c r="I178">
        <v>0.1</v>
      </c>
      <c r="J178">
        <v>54000</v>
      </c>
      <c r="K178">
        <v>48600</v>
      </c>
      <c r="L178">
        <v>43200</v>
      </c>
      <c r="M178">
        <v>1000</v>
      </c>
      <c r="N178">
        <v>2143</v>
      </c>
      <c r="O178">
        <v>2257</v>
      </c>
      <c r="P178">
        <v>4.6440329218106993E-2</v>
      </c>
      <c r="Q178" t="s">
        <v>41</v>
      </c>
    </row>
    <row r="179" spans="1:17">
      <c r="A179" t="s">
        <v>232</v>
      </c>
      <c r="B179" s="1">
        <v>46120</v>
      </c>
      <c r="C179" t="s">
        <v>46</v>
      </c>
      <c r="D179" t="s">
        <v>34</v>
      </c>
      <c r="E179" t="s">
        <v>26</v>
      </c>
      <c r="F179" t="s">
        <v>21</v>
      </c>
      <c r="G179">
        <v>1</v>
      </c>
      <c r="H179">
        <v>18000</v>
      </c>
      <c r="I179">
        <v>0.03</v>
      </c>
      <c r="J179">
        <v>18000</v>
      </c>
      <c r="K179">
        <v>17460</v>
      </c>
      <c r="L179">
        <v>14400</v>
      </c>
      <c r="M179">
        <v>1088</v>
      </c>
      <c r="N179">
        <v>1795</v>
      </c>
      <c r="O179">
        <v>177</v>
      </c>
      <c r="P179">
        <v>1.013745704467354E-2</v>
      </c>
      <c r="Q179" t="s">
        <v>65</v>
      </c>
    </row>
    <row r="180" spans="1:17">
      <c r="A180" t="s">
        <v>233</v>
      </c>
      <c r="B180" s="1">
        <v>45773</v>
      </c>
      <c r="C180" t="s">
        <v>30</v>
      </c>
      <c r="D180" t="s">
        <v>25</v>
      </c>
      <c r="E180" t="s">
        <v>20</v>
      </c>
      <c r="F180" t="s">
        <v>35</v>
      </c>
      <c r="G180">
        <v>2</v>
      </c>
      <c r="H180">
        <v>28000</v>
      </c>
      <c r="I180">
        <v>0.05</v>
      </c>
      <c r="J180">
        <v>56000</v>
      </c>
      <c r="K180">
        <v>53200</v>
      </c>
      <c r="L180">
        <v>43680</v>
      </c>
      <c r="M180">
        <v>201</v>
      </c>
      <c r="N180">
        <v>2372</v>
      </c>
      <c r="O180">
        <v>6947</v>
      </c>
      <c r="P180">
        <v>0.1305827067669173</v>
      </c>
      <c r="Q180" t="s">
        <v>41</v>
      </c>
    </row>
    <row r="181" spans="1:17">
      <c r="A181" t="s">
        <v>234</v>
      </c>
      <c r="B181" s="1">
        <v>46085</v>
      </c>
      <c r="C181" t="s">
        <v>18</v>
      </c>
      <c r="D181" t="s">
        <v>63</v>
      </c>
      <c r="E181" t="s">
        <v>38</v>
      </c>
      <c r="F181" t="s">
        <v>35</v>
      </c>
      <c r="G181">
        <v>2</v>
      </c>
      <c r="H181">
        <v>32000</v>
      </c>
      <c r="I181">
        <v>0.08</v>
      </c>
      <c r="J181">
        <v>64000</v>
      </c>
      <c r="K181">
        <v>58880</v>
      </c>
      <c r="L181">
        <v>52480</v>
      </c>
      <c r="M181">
        <v>342</v>
      </c>
      <c r="N181">
        <v>205</v>
      </c>
      <c r="O181">
        <v>5853</v>
      </c>
      <c r="P181">
        <v>9.9405570652173911E-2</v>
      </c>
      <c r="Q181" t="s">
        <v>98</v>
      </c>
    </row>
    <row r="182" spans="1:17">
      <c r="A182" t="s">
        <v>235</v>
      </c>
      <c r="B182" s="1">
        <v>46073</v>
      </c>
      <c r="C182" t="s">
        <v>50</v>
      </c>
      <c r="D182" t="s">
        <v>63</v>
      </c>
      <c r="E182" t="s">
        <v>26</v>
      </c>
      <c r="F182" t="s">
        <v>27</v>
      </c>
      <c r="G182">
        <v>6</v>
      </c>
      <c r="H182">
        <v>2500</v>
      </c>
      <c r="I182">
        <v>0.08</v>
      </c>
      <c r="J182">
        <v>15000</v>
      </c>
      <c r="K182">
        <v>13800</v>
      </c>
      <c r="L182">
        <v>9300</v>
      </c>
      <c r="M182">
        <v>1296</v>
      </c>
      <c r="N182">
        <v>2370</v>
      </c>
      <c r="O182">
        <v>834</v>
      </c>
      <c r="P182">
        <v>6.0434782608695649E-2</v>
      </c>
      <c r="Q182" t="s">
        <v>54</v>
      </c>
    </row>
    <row r="183" spans="1:17">
      <c r="A183" t="s">
        <v>236</v>
      </c>
      <c r="B183" s="1">
        <v>46040</v>
      </c>
      <c r="C183" t="s">
        <v>30</v>
      </c>
      <c r="D183" t="s">
        <v>19</v>
      </c>
      <c r="E183" t="s">
        <v>38</v>
      </c>
      <c r="F183" t="s">
        <v>21</v>
      </c>
      <c r="G183">
        <v>2</v>
      </c>
      <c r="H183">
        <v>28000</v>
      </c>
      <c r="I183">
        <v>0.1</v>
      </c>
      <c r="J183">
        <v>56000</v>
      </c>
      <c r="K183">
        <v>50400</v>
      </c>
      <c r="L183">
        <v>43680</v>
      </c>
      <c r="M183">
        <v>310</v>
      </c>
      <c r="N183">
        <v>350</v>
      </c>
      <c r="O183">
        <v>6060</v>
      </c>
      <c r="P183">
        <v>0.1202380952380952</v>
      </c>
      <c r="Q183" t="s">
        <v>43</v>
      </c>
    </row>
    <row r="184" spans="1:17">
      <c r="A184" t="s">
        <v>237</v>
      </c>
      <c r="B184" s="1">
        <v>45671</v>
      </c>
      <c r="C184" t="s">
        <v>30</v>
      </c>
      <c r="D184" t="s">
        <v>19</v>
      </c>
      <c r="E184" t="s">
        <v>26</v>
      </c>
      <c r="F184" t="s">
        <v>21</v>
      </c>
      <c r="G184">
        <v>2</v>
      </c>
      <c r="H184">
        <v>28000</v>
      </c>
      <c r="I184">
        <v>0.05</v>
      </c>
      <c r="J184">
        <v>56000</v>
      </c>
      <c r="K184">
        <v>53200</v>
      </c>
      <c r="L184">
        <v>43680</v>
      </c>
      <c r="M184">
        <v>714</v>
      </c>
      <c r="N184">
        <v>908</v>
      </c>
      <c r="O184">
        <v>7898</v>
      </c>
      <c r="P184">
        <v>0.14845864661654129</v>
      </c>
      <c r="Q184" t="s">
        <v>56</v>
      </c>
    </row>
    <row r="185" spans="1:17">
      <c r="A185" t="s">
        <v>238</v>
      </c>
      <c r="B185" s="1">
        <v>45804</v>
      </c>
      <c r="C185" t="s">
        <v>53</v>
      </c>
      <c r="D185" t="s">
        <v>34</v>
      </c>
      <c r="E185" t="s">
        <v>20</v>
      </c>
      <c r="F185" t="s">
        <v>35</v>
      </c>
      <c r="G185">
        <v>5</v>
      </c>
      <c r="H185">
        <v>1500</v>
      </c>
      <c r="I185">
        <v>0.05</v>
      </c>
      <c r="J185">
        <v>7500</v>
      </c>
      <c r="K185">
        <v>7125</v>
      </c>
      <c r="L185">
        <v>4125</v>
      </c>
      <c r="M185">
        <v>1466</v>
      </c>
      <c r="N185">
        <v>2269</v>
      </c>
      <c r="O185">
        <v>-735</v>
      </c>
      <c r="P185">
        <v>-0.1031578947368421</v>
      </c>
      <c r="Q185" t="s">
        <v>22</v>
      </c>
    </row>
    <row r="186" spans="1:17">
      <c r="A186" t="s">
        <v>239</v>
      </c>
      <c r="B186" s="1">
        <v>46009</v>
      </c>
      <c r="C186" t="s">
        <v>18</v>
      </c>
      <c r="D186" t="s">
        <v>63</v>
      </c>
      <c r="E186" t="s">
        <v>20</v>
      </c>
      <c r="F186" t="s">
        <v>35</v>
      </c>
      <c r="G186">
        <v>1</v>
      </c>
      <c r="H186">
        <v>32000</v>
      </c>
      <c r="I186">
        <v>0.08</v>
      </c>
      <c r="J186">
        <v>32000</v>
      </c>
      <c r="K186">
        <v>29440</v>
      </c>
      <c r="L186">
        <v>26240</v>
      </c>
      <c r="M186">
        <v>506</v>
      </c>
      <c r="N186">
        <v>2089</v>
      </c>
      <c r="O186">
        <v>605</v>
      </c>
      <c r="P186">
        <v>2.0550271739130439E-2</v>
      </c>
      <c r="Q186" t="s">
        <v>80</v>
      </c>
    </row>
    <row r="187" spans="1:17">
      <c r="A187" t="s">
        <v>240</v>
      </c>
      <c r="B187" s="1">
        <v>45989</v>
      </c>
      <c r="C187" t="s">
        <v>50</v>
      </c>
      <c r="D187" t="s">
        <v>63</v>
      </c>
      <c r="E187" t="s">
        <v>38</v>
      </c>
      <c r="F187" t="s">
        <v>21</v>
      </c>
      <c r="G187">
        <v>3</v>
      </c>
      <c r="H187">
        <v>2500</v>
      </c>
      <c r="I187">
        <v>0.03</v>
      </c>
      <c r="J187">
        <v>7500</v>
      </c>
      <c r="K187">
        <v>7275</v>
      </c>
      <c r="L187">
        <v>4650</v>
      </c>
      <c r="M187">
        <v>1430</v>
      </c>
      <c r="N187">
        <v>452</v>
      </c>
      <c r="O187">
        <v>743</v>
      </c>
      <c r="P187">
        <v>0.10213058419243989</v>
      </c>
      <c r="Q187" t="s">
        <v>28</v>
      </c>
    </row>
    <row r="188" spans="1:17">
      <c r="A188" t="s">
        <v>241</v>
      </c>
      <c r="B188" s="1">
        <v>46039</v>
      </c>
      <c r="C188" t="s">
        <v>24</v>
      </c>
      <c r="D188" t="s">
        <v>31</v>
      </c>
      <c r="E188" t="s">
        <v>26</v>
      </c>
      <c r="F188" t="s">
        <v>21</v>
      </c>
      <c r="G188">
        <v>4</v>
      </c>
      <c r="H188">
        <v>3500</v>
      </c>
      <c r="I188">
        <v>0.08</v>
      </c>
      <c r="J188">
        <v>14000</v>
      </c>
      <c r="K188">
        <v>12880</v>
      </c>
      <c r="L188">
        <v>9520</v>
      </c>
      <c r="M188">
        <v>931</v>
      </c>
      <c r="N188">
        <v>1487</v>
      </c>
      <c r="O188">
        <v>942</v>
      </c>
      <c r="P188">
        <v>7.3136645962732921E-2</v>
      </c>
      <c r="Q188" t="s">
        <v>43</v>
      </c>
    </row>
    <row r="189" spans="1:17">
      <c r="A189" t="s">
        <v>242</v>
      </c>
      <c r="B189" s="1">
        <v>45992</v>
      </c>
      <c r="C189" t="s">
        <v>50</v>
      </c>
      <c r="D189" t="s">
        <v>25</v>
      </c>
      <c r="E189" t="s">
        <v>26</v>
      </c>
      <c r="F189" t="s">
        <v>21</v>
      </c>
      <c r="G189">
        <v>1</v>
      </c>
      <c r="H189">
        <v>2500</v>
      </c>
      <c r="I189">
        <v>0.05</v>
      </c>
      <c r="J189">
        <v>2500</v>
      </c>
      <c r="K189">
        <v>2375</v>
      </c>
      <c r="L189">
        <v>1550</v>
      </c>
      <c r="M189">
        <v>1340</v>
      </c>
      <c r="N189">
        <v>1635</v>
      </c>
      <c r="O189">
        <v>-2150</v>
      </c>
      <c r="P189">
        <v>-0.90526315789473688</v>
      </c>
      <c r="Q189" t="s">
        <v>80</v>
      </c>
    </row>
    <row r="190" spans="1:17">
      <c r="A190" t="s">
        <v>243</v>
      </c>
      <c r="B190" s="1">
        <v>45894</v>
      </c>
      <c r="C190" t="s">
        <v>50</v>
      </c>
      <c r="D190" t="s">
        <v>25</v>
      </c>
      <c r="E190" t="s">
        <v>26</v>
      </c>
      <c r="F190" t="s">
        <v>21</v>
      </c>
      <c r="G190">
        <v>3</v>
      </c>
      <c r="H190">
        <v>2500</v>
      </c>
      <c r="I190">
        <v>0.05</v>
      </c>
      <c r="J190">
        <v>7500</v>
      </c>
      <c r="K190">
        <v>7125</v>
      </c>
      <c r="L190">
        <v>4650</v>
      </c>
      <c r="M190">
        <v>836</v>
      </c>
      <c r="N190">
        <v>1391</v>
      </c>
      <c r="O190">
        <v>248</v>
      </c>
      <c r="P190">
        <v>3.4807017543859647E-2</v>
      </c>
      <c r="Q190" t="s">
        <v>58</v>
      </c>
    </row>
    <row r="191" spans="1:17">
      <c r="A191" t="s">
        <v>244</v>
      </c>
      <c r="B191" s="1">
        <v>45955</v>
      </c>
      <c r="C191" t="s">
        <v>50</v>
      </c>
      <c r="D191" t="s">
        <v>31</v>
      </c>
      <c r="E191" t="s">
        <v>20</v>
      </c>
      <c r="F191" t="s">
        <v>21</v>
      </c>
      <c r="G191">
        <v>2</v>
      </c>
      <c r="H191">
        <v>2500</v>
      </c>
      <c r="I191">
        <v>0.1</v>
      </c>
      <c r="J191">
        <v>5000</v>
      </c>
      <c r="K191">
        <v>4500</v>
      </c>
      <c r="L191">
        <v>3100</v>
      </c>
      <c r="M191">
        <v>951</v>
      </c>
      <c r="N191">
        <v>577</v>
      </c>
      <c r="O191">
        <v>-128</v>
      </c>
      <c r="P191">
        <v>-2.8444444444444449E-2</v>
      </c>
      <c r="Q191" t="s">
        <v>88</v>
      </c>
    </row>
    <row r="192" spans="1:17">
      <c r="A192" t="s">
        <v>245</v>
      </c>
      <c r="B192" s="1">
        <v>46159</v>
      </c>
      <c r="C192" t="s">
        <v>24</v>
      </c>
      <c r="D192" t="s">
        <v>31</v>
      </c>
      <c r="E192" t="s">
        <v>20</v>
      </c>
      <c r="F192" t="s">
        <v>21</v>
      </c>
      <c r="G192">
        <v>5</v>
      </c>
      <c r="H192">
        <v>3500</v>
      </c>
      <c r="I192">
        <v>0</v>
      </c>
      <c r="J192">
        <v>17500</v>
      </c>
      <c r="K192">
        <v>17500</v>
      </c>
      <c r="L192">
        <v>11900</v>
      </c>
      <c r="M192">
        <v>752</v>
      </c>
      <c r="N192">
        <v>2465</v>
      </c>
      <c r="O192">
        <v>2383</v>
      </c>
      <c r="P192">
        <v>0.13617142857142861</v>
      </c>
      <c r="Q192" t="s">
        <v>73</v>
      </c>
    </row>
    <row r="193" spans="1:17">
      <c r="A193" t="s">
        <v>246</v>
      </c>
      <c r="B193" s="1">
        <v>45685</v>
      </c>
      <c r="C193" t="s">
        <v>18</v>
      </c>
      <c r="D193" t="s">
        <v>25</v>
      </c>
      <c r="E193" t="s">
        <v>38</v>
      </c>
      <c r="F193" t="s">
        <v>35</v>
      </c>
      <c r="G193">
        <v>1</v>
      </c>
      <c r="H193">
        <v>32000</v>
      </c>
      <c r="I193">
        <v>0.08</v>
      </c>
      <c r="J193">
        <v>32000</v>
      </c>
      <c r="K193">
        <v>29440</v>
      </c>
      <c r="L193">
        <v>26240</v>
      </c>
      <c r="M193">
        <v>1037</v>
      </c>
      <c r="N193">
        <v>2140</v>
      </c>
      <c r="O193">
        <v>23</v>
      </c>
      <c r="P193">
        <v>7.8125000000000004E-4</v>
      </c>
      <c r="Q193" t="s">
        <v>56</v>
      </c>
    </row>
    <row r="194" spans="1:17">
      <c r="A194" t="s">
        <v>247</v>
      </c>
      <c r="B194" s="1">
        <v>45927</v>
      </c>
      <c r="C194" t="s">
        <v>75</v>
      </c>
      <c r="D194" t="s">
        <v>25</v>
      </c>
      <c r="E194" t="s">
        <v>20</v>
      </c>
      <c r="F194" t="s">
        <v>21</v>
      </c>
      <c r="G194">
        <v>1</v>
      </c>
      <c r="H194">
        <v>65000</v>
      </c>
      <c r="I194">
        <v>0.03</v>
      </c>
      <c r="J194">
        <v>65000</v>
      </c>
      <c r="K194">
        <v>63050</v>
      </c>
      <c r="L194">
        <v>54600</v>
      </c>
      <c r="M194">
        <v>486</v>
      </c>
      <c r="N194">
        <v>729</v>
      </c>
      <c r="O194">
        <v>7235</v>
      </c>
      <c r="P194">
        <v>0.1147501982553529</v>
      </c>
      <c r="Q194" t="s">
        <v>32</v>
      </c>
    </row>
    <row r="195" spans="1:17">
      <c r="A195" t="s">
        <v>248</v>
      </c>
      <c r="B195" s="1">
        <v>45941</v>
      </c>
      <c r="C195" t="s">
        <v>75</v>
      </c>
      <c r="D195" t="s">
        <v>63</v>
      </c>
      <c r="E195" t="s">
        <v>26</v>
      </c>
      <c r="F195" t="s">
        <v>35</v>
      </c>
      <c r="G195">
        <v>1</v>
      </c>
      <c r="H195">
        <v>65000</v>
      </c>
      <c r="I195">
        <v>0.05</v>
      </c>
      <c r="J195">
        <v>65000</v>
      </c>
      <c r="K195">
        <v>61750</v>
      </c>
      <c r="L195">
        <v>54600</v>
      </c>
      <c r="M195">
        <v>1171</v>
      </c>
      <c r="N195">
        <v>2460</v>
      </c>
      <c r="O195">
        <v>3519</v>
      </c>
      <c r="P195">
        <v>5.6987854251012153E-2</v>
      </c>
      <c r="Q195" t="s">
        <v>88</v>
      </c>
    </row>
    <row r="196" spans="1:17">
      <c r="A196" t="s">
        <v>249</v>
      </c>
      <c r="B196" s="1">
        <v>45813</v>
      </c>
      <c r="C196" t="s">
        <v>53</v>
      </c>
      <c r="D196" t="s">
        <v>34</v>
      </c>
      <c r="E196" t="s">
        <v>20</v>
      </c>
      <c r="F196" t="s">
        <v>35</v>
      </c>
      <c r="G196">
        <v>5</v>
      </c>
      <c r="H196">
        <v>1500</v>
      </c>
      <c r="I196">
        <v>0.1</v>
      </c>
      <c r="J196">
        <v>7500</v>
      </c>
      <c r="K196">
        <v>6750</v>
      </c>
      <c r="L196">
        <v>4125</v>
      </c>
      <c r="M196">
        <v>1779</v>
      </c>
      <c r="N196">
        <v>1947</v>
      </c>
      <c r="O196">
        <v>-1101</v>
      </c>
      <c r="P196">
        <v>-0.1631111111111111</v>
      </c>
      <c r="Q196" t="s">
        <v>39</v>
      </c>
    </row>
    <row r="197" spans="1:17">
      <c r="A197" t="s">
        <v>250</v>
      </c>
      <c r="B197" s="1">
        <v>45677</v>
      </c>
      <c r="C197" t="s">
        <v>30</v>
      </c>
      <c r="D197" t="s">
        <v>25</v>
      </c>
      <c r="E197" t="s">
        <v>20</v>
      </c>
      <c r="F197" t="s">
        <v>35</v>
      </c>
      <c r="G197">
        <v>2</v>
      </c>
      <c r="H197">
        <v>28000</v>
      </c>
      <c r="I197">
        <v>0</v>
      </c>
      <c r="J197">
        <v>56000</v>
      </c>
      <c r="K197">
        <v>56000</v>
      </c>
      <c r="L197">
        <v>43680</v>
      </c>
      <c r="M197">
        <v>710</v>
      </c>
      <c r="N197">
        <v>1416</v>
      </c>
      <c r="O197">
        <v>10194</v>
      </c>
      <c r="P197">
        <v>0.1820357142857143</v>
      </c>
      <c r="Q197" t="s">
        <v>56</v>
      </c>
    </row>
    <row r="198" spans="1:17">
      <c r="A198" t="s">
        <v>251</v>
      </c>
      <c r="B198" s="1">
        <v>45863</v>
      </c>
      <c r="C198" t="s">
        <v>61</v>
      </c>
      <c r="D198" t="s">
        <v>31</v>
      </c>
      <c r="E198" t="s">
        <v>20</v>
      </c>
      <c r="F198" t="s">
        <v>27</v>
      </c>
      <c r="G198">
        <v>5</v>
      </c>
      <c r="H198">
        <v>4500</v>
      </c>
      <c r="I198">
        <v>0.15</v>
      </c>
      <c r="J198">
        <v>22500</v>
      </c>
      <c r="K198">
        <v>19125</v>
      </c>
      <c r="L198">
        <v>14625</v>
      </c>
      <c r="M198">
        <v>1036</v>
      </c>
      <c r="N198">
        <v>1284</v>
      </c>
      <c r="O198">
        <v>2180</v>
      </c>
      <c r="P198">
        <v>0.1139869281045752</v>
      </c>
      <c r="Q198" t="s">
        <v>36</v>
      </c>
    </row>
    <row r="199" spans="1:17">
      <c r="A199" t="s">
        <v>252</v>
      </c>
      <c r="B199" s="1">
        <v>45696</v>
      </c>
      <c r="C199" t="s">
        <v>46</v>
      </c>
      <c r="D199" t="s">
        <v>19</v>
      </c>
      <c r="E199" t="s">
        <v>20</v>
      </c>
      <c r="F199" t="s">
        <v>21</v>
      </c>
      <c r="G199">
        <v>3</v>
      </c>
      <c r="H199">
        <v>18000</v>
      </c>
      <c r="I199">
        <v>0</v>
      </c>
      <c r="J199">
        <v>54000</v>
      </c>
      <c r="K199">
        <v>54000</v>
      </c>
      <c r="L199">
        <v>43200</v>
      </c>
      <c r="M199">
        <v>416</v>
      </c>
      <c r="N199">
        <v>1308</v>
      </c>
      <c r="O199">
        <v>9076</v>
      </c>
      <c r="P199">
        <v>0.1680740740740741</v>
      </c>
      <c r="Q199" t="s">
        <v>47</v>
      </c>
    </row>
    <row r="200" spans="1:17">
      <c r="A200" t="s">
        <v>253</v>
      </c>
      <c r="B200" s="1">
        <v>46032</v>
      </c>
      <c r="C200" t="s">
        <v>53</v>
      </c>
      <c r="D200" t="s">
        <v>25</v>
      </c>
      <c r="E200" t="s">
        <v>20</v>
      </c>
      <c r="F200" t="s">
        <v>21</v>
      </c>
      <c r="G200">
        <v>7</v>
      </c>
      <c r="H200">
        <v>1500</v>
      </c>
      <c r="I200">
        <v>0</v>
      </c>
      <c r="J200">
        <v>10500</v>
      </c>
      <c r="K200">
        <v>10500</v>
      </c>
      <c r="L200">
        <v>5775.0000000000009</v>
      </c>
      <c r="M200">
        <v>507</v>
      </c>
      <c r="N200">
        <v>1459</v>
      </c>
      <c r="O200">
        <v>2758.9999999999991</v>
      </c>
      <c r="P200">
        <v>0.2627619047619047</v>
      </c>
      <c r="Q200" t="s">
        <v>43</v>
      </c>
    </row>
    <row r="201" spans="1:17">
      <c r="A201" t="s">
        <v>254</v>
      </c>
      <c r="B201" s="1">
        <v>45850</v>
      </c>
      <c r="C201" t="s">
        <v>24</v>
      </c>
      <c r="D201" t="s">
        <v>25</v>
      </c>
      <c r="E201" t="s">
        <v>20</v>
      </c>
      <c r="F201" t="s">
        <v>35</v>
      </c>
      <c r="G201">
        <v>6</v>
      </c>
      <c r="H201">
        <v>3500</v>
      </c>
      <c r="I201">
        <v>0.15</v>
      </c>
      <c r="J201">
        <v>21000</v>
      </c>
      <c r="K201">
        <v>17850</v>
      </c>
      <c r="L201">
        <v>14280</v>
      </c>
      <c r="M201">
        <v>285</v>
      </c>
      <c r="N201">
        <v>1298</v>
      </c>
      <c r="O201">
        <v>1986.999999999998</v>
      </c>
      <c r="P201">
        <v>0.1113165266106442</v>
      </c>
      <c r="Q201" t="s">
        <v>36</v>
      </c>
    </row>
    <row r="202" spans="1:17">
      <c r="A202" t="s">
        <v>255</v>
      </c>
      <c r="B202" s="1">
        <v>46002</v>
      </c>
      <c r="C202" t="s">
        <v>30</v>
      </c>
      <c r="D202" t="s">
        <v>34</v>
      </c>
      <c r="E202" t="s">
        <v>38</v>
      </c>
      <c r="F202" t="s">
        <v>21</v>
      </c>
      <c r="G202">
        <v>1</v>
      </c>
      <c r="H202">
        <v>28000</v>
      </c>
      <c r="I202">
        <v>0.1</v>
      </c>
      <c r="J202">
        <v>28000</v>
      </c>
      <c r="K202">
        <v>25200</v>
      </c>
      <c r="L202">
        <v>21840</v>
      </c>
      <c r="M202">
        <v>502</v>
      </c>
      <c r="N202">
        <v>687</v>
      </c>
      <c r="O202">
        <v>2171</v>
      </c>
      <c r="P202">
        <v>8.6150793650793644E-2</v>
      </c>
      <c r="Q202" t="s">
        <v>80</v>
      </c>
    </row>
    <row r="203" spans="1:17">
      <c r="A203" t="s">
        <v>256</v>
      </c>
      <c r="B203" s="1">
        <v>45818</v>
      </c>
      <c r="C203" t="s">
        <v>18</v>
      </c>
      <c r="D203" t="s">
        <v>63</v>
      </c>
      <c r="E203" t="s">
        <v>38</v>
      </c>
      <c r="F203" t="s">
        <v>21</v>
      </c>
      <c r="G203">
        <v>2</v>
      </c>
      <c r="H203">
        <v>32000</v>
      </c>
      <c r="I203">
        <v>0.05</v>
      </c>
      <c r="J203">
        <v>64000</v>
      </c>
      <c r="K203">
        <v>60800</v>
      </c>
      <c r="L203">
        <v>52480</v>
      </c>
      <c r="M203">
        <v>1292</v>
      </c>
      <c r="N203">
        <v>1109</v>
      </c>
      <c r="O203">
        <v>5919</v>
      </c>
      <c r="P203">
        <v>9.735197368421053E-2</v>
      </c>
      <c r="Q203" t="s">
        <v>39</v>
      </c>
    </row>
    <row r="204" spans="1:17">
      <c r="A204" t="s">
        <v>257</v>
      </c>
      <c r="B204" s="1">
        <v>46038</v>
      </c>
      <c r="C204" t="s">
        <v>24</v>
      </c>
      <c r="D204" t="s">
        <v>34</v>
      </c>
      <c r="E204" t="s">
        <v>20</v>
      </c>
      <c r="F204" t="s">
        <v>21</v>
      </c>
      <c r="G204">
        <v>5</v>
      </c>
      <c r="H204">
        <v>3500</v>
      </c>
      <c r="I204">
        <v>0.05</v>
      </c>
      <c r="J204">
        <v>17500</v>
      </c>
      <c r="K204">
        <v>16625</v>
      </c>
      <c r="L204">
        <v>11900</v>
      </c>
      <c r="M204">
        <v>1170</v>
      </c>
      <c r="N204">
        <v>1447</v>
      </c>
      <c r="O204">
        <v>2108</v>
      </c>
      <c r="P204">
        <v>0.12679699248120299</v>
      </c>
      <c r="Q204" t="s">
        <v>43</v>
      </c>
    </row>
    <row r="205" spans="1:17">
      <c r="A205" t="s">
        <v>258</v>
      </c>
      <c r="B205" s="1">
        <v>46022</v>
      </c>
      <c r="C205" t="s">
        <v>61</v>
      </c>
      <c r="D205" t="s">
        <v>19</v>
      </c>
      <c r="E205" t="s">
        <v>20</v>
      </c>
      <c r="F205" t="s">
        <v>35</v>
      </c>
      <c r="G205">
        <v>2</v>
      </c>
      <c r="H205">
        <v>4500</v>
      </c>
      <c r="I205">
        <v>0.1</v>
      </c>
      <c r="J205">
        <v>9000</v>
      </c>
      <c r="K205">
        <v>8100</v>
      </c>
      <c r="L205">
        <v>5850</v>
      </c>
      <c r="M205">
        <v>1200</v>
      </c>
      <c r="N205">
        <v>950</v>
      </c>
      <c r="O205">
        <v>100</v>
      </c>
      <c r="P205">
        <v>1.234567901234568E-2</v>
      </c>
      <c r="Q205" t="s">
        <v>80</v>
      </c>
    </row>
    <row r="206" spans="1:17">
      <c r="A206" t="s">
        <v>259</v>
      </c>
      <c r="B206" s="1">
        <v>45800</v>
      </c>
      <c r="C206" t="s">
        <v>18</v>
      </c>
      <c r="D206" t="s">
        <v>51</v>
      </c>
      <c r="E206" t="s">
        <v>20</v>
      </c>
      <c r="F206" t="s">
        <v>21</v>
      </c>
      <c r="G206">
        <v>1</v>
      </c>
      <c r="H206">
        <v>32000</v>
      </c>
      <c r="I206">
        <v>0.05</v>
      </c>
      <c r="J206">
        <v>32000</v>
      </c>
      <c r="K206">
        <v>30400</v>
      </c>
      <c r="L206">
        <v>26240</v>
      </c>
      <c r="M206">
        <v>1288</v>
      </c>
      <c r="N206">
        <v>810</v>
      </c>
      <c r="O206">
        <v>2062</v>
      </c>
      <c r="P206">
        <v>6.7828947368421058E-2</v>
      </c>
      <c r="Q206" t="s">
        <v>22</v>
      </c>
    </row>
    <row r="207" spans="1:17">
      <c r="A207" t="s">
        <v>260</v>
      </c>
      <c r="B207" s="1">
        <v>45759</v>
      </c>
      <c r="C207" t="s">
        <v>75</v>
      </c>
      <c r="D207" t="s">
        <v>25</v>
      </c>
      <c r="E207" t="s">
        <v>26</v>
      </c>
      <c r="F207" t="s">
        <v>35</v>
      </c>
      <c r="G207">
        <v>1</v>
      </c>
      <c r="H207">
        <v>65000</v>
      </c>
      <c r="I207">
        <v>0.08</v>
      </c>
      <c r="J207">
        <v>65000</v>
      </c>
      <c r="K207">
        <v>59800</v>
      </c>
      <c r="L207">
        <v>54600</v>
      </c>
      <c r="M207">
        <v>490</v>
      </c>
      <c r="N207">
        <v>2063</v>
      </c>
      <c r="O207">
        <v>2647</v>
      </c>
      <c r="P207">
        <v>4.4264214046822743E-2</v>
      </c>
      <c r="Q207" t="s">
        <v>41</v>
      </c>
    </row>
    <row r="208" spans="1:17">
      <c r="A208" t="s">
        <v>261</v>
      </c>
      <c r="B208" s="1">
        <v>45985</v>
      </c>
      <c r="C208" t="s">
        <v>61</v>
      </c>
      <c r="D208" t="s">
        <v>25</v>
      </c>
      <c r="E208" t="s">
        <v>20</v>
      </c>
      <c r="F208" t="s">
        <v>35</v>
      </c>
      <c r="G208">
        <v>2</v>
      </c>
      <c r="H208">
        <v>4500</v>
      </c>
      <c r="I208">
        <v>0.1</v>
      </c>
      <c r="J208">
        <v>9000</v>
      </c>
      <c r="K208">
        <v>8100</v>
      </c>
      <c r="L208">
        <v>5850</v>
      </c>
      <c r="M208">
        <v>1226</v>
      </c>
      <c r="N208">
        <v>2232</v>
      </c>
      <c r="O208">
        <v>-1208</v>
      </c>
      <c r="P208">
        <v>-0.1491358024691358</v>
      </c>
      <c r="Q208" t="s">
        <v>28</v>
      </c>
    </row>
    <row r="209" spans="1:17">
      <c r="A209" t="s">
        <v>262</v>
      </c>
      <c r="B209" s="1">
        <v>45700</v>
      </c>
      <c r="C209" t="s">
        <v>30</v>
      </c>
      <c r="D209" t="s">
        <v>34</v>
      </c>
      <c r="E209" t="s">
        <v>26</v>
      </c>
      <c r="F209" t="s">
        <v>21</v>
      </c>
      <c r="G209">
        <v>1</v>
      </c>
      <c r="H209">
        <v>28000</v>
      </c>
      <c r="I209">
        <v>0.05</v>
      </c>
      <c r="J209">
        <v>28000</v>
      </c>
      <c r="K209">
        <v>26600</v>
      </c>
      <c r="L209">
        <v>21840</v>
      </c>
      <c r="M209">
        <v>503</v>
      </c>
      <c r="N209">
        <v>1863</v>
      </c>
      <c r="O209">
        <v>2394</v>
      </c>
      <c r="P209">
        <v>0.09</v>
      </c>
      <c r="Q209" t="s">
        <v>47</v>
      </c>
    </row>
    <row r="210" spans="1:17">
      <c r="A210" t="s">
        <v>263</v>
      </c>
      <c r="B210" s="1">
        <v>45993</v>
      </c>
      <c r="C210" t="s">
        <v>50</v>
      </c>
      <c r="D210" t="s">
        <v>51</v>
      </c>
      <c r="E210" t="s">
        <v>38</v>
      </c>
      <c r="F210" t="s">
        <v>35</v>
      </c>
      <c r="G210">
        <v>5</v>
      </c>
      <c r="H210">
        <v>2500</v>
      </c>
      <c r="I210">
        <v>0.1</v>
      </c>
      <c r="J210">
        <v>12500</v>
      </c>
      <c r="K210">
        <v>11250</v>
      </c>
      <c r="L210">
        <v>7750</v>
      </c>
      <c r="M210">
        <v>818</v>
      </c>
      <c r="N210">
        <v>1114</v>
      </c>
      <c r="O210">
        <v>1568</v>
      </c>
      <c r="P210">
        <v>0.13937777777777779</v>
      </c>
      <c r="Q210" t="s">
        <v>80</v>
      </c>
    </row>
    <row r="211" spans="1:17">
      <c r="A211" t="s">
        <v>264</v>
      </c>
      <c r="B211" s="1">
        <v>46127</v>
      </c>
      <c r="C211" t="s">
        <v>50</v>
      </c>
      <c r="D211" t="s">
        <v>19</v>
      </c>
      <c r="E211" t="s">
        <v>20</v>
      </c>
      <c r="F211" t="s">
        <v>21</v>
      </c>
      <c r="G211">
        <v>3</v>
      </c>
      <c r="H211">
        <v>2500</v>
      </c>
      <c r="I211">
        <v>0</v>
      </c>
      <c r="J211">
        <v>7500</v>
      </c>
      <c r="K211">
        <v>7500</v>
      </c>
      <c r="L211">
        <v>4650</v>
      </c>
      <c r="M211">
        <v>988</v>
      </c>
      <c r="N211">
        <v>240</v>
      </c>
      <c r="O211">
        <v>1622</v>
      </c>
      <c r="P211">
        <v>0.21626666666666669</v>
      </c>
      <c r="Q211" t="s">
        <v>65</v>
      </c>
    </row>
    <row r="212" spans="1:17">
      <c r="A212" t="s">
        <v>265</v>
      </c>
      <c r="B212" s="1">
        <v>45813</v>
      </c>
      <c r="C212" t="s">
        <v>46</v>
      </c>
      <c r="D212" t="s">
        <v>19</v>
      </c>
      <c r="E212" t="s">
        <v>26</v>
      </c>
      <c r="F212" t="s">
        <v>35</v>
      </c>
      <c r="G212">
        <v>1</v>
      </c>
      <c r="H212">
        <v>18000</v>
      </c>
      <c r="I212">
        <v>0.05</v>
      </c>
      <c r="J212">
        <v>18000</v>
      </c>
      <c r="K212">
        <v>17100</v>
      </c>
      <c r="L212">
        <v>14400</v>
      </c>
      <c r="M212">
        <v>1762</v>
      </c>
      <c r="N212">
        <v>1792</v>
      </c>
      <c r="O212">
        <v>-854</v>
      </c>
      <c r="P212">
        <v>-4.9941520467836259E-2</v>
      </c>
      <c r="Q212" t="s">
        <v>39</v>
      </c>
    </row>
    <row r="213" spans="1:17">
      <c r="A213" t="s">
        <v>266</v>
      </c>
      <c r="B213" s="1">
        <v>46002</v>
      </c>
      <c r="C213" t="s">
        <v>61</v>
      </c>
      <c r="D213" t="s">
        <v>34</v>
      </c>
      <c r="E213" t="s">
        <v>20</v>
      </c>
      <c r="F213" t="s">
        <v>21</v>
      </c>
      <c r="G213">
        <v>2</v>
      </c>
      <c r="H213">
        <v>4500</v>
      </c>
      <c r="I213">
        <v>0.05</v>
      </c>
      <c r="J213">
        <v>9000</v>
      </c>
      <c r="K213">
        <v>8550</v>
      </c>
      <c r="L213">
        <v>5850</v>
      </c>
      <c r="M213">
        <v>788</v>
      </c>
      <c r="N213">
        <v>2237</v>
      </c>
      <c r="O213">
        <v>-325</v>
      </c>
      <c r="P213">
        <v>-3.8011695906432753E-2</v>
      </c>
      <c r="Q213" t="s">
        <v>80</v>
      </c>
    </row>
    <row r="214" spans="1:17">
      <c r="A214" t="s">
        <v>267</v>
      </c>
      <c r="B214" s="1">
        <v>45898</v>
      </c>
      <c r="C214" t="s">
        <v>30</v>
      </c>
      <c r="D214" t="s">
        <v>25</v>
      </c>
      <c r="E214" t="s">
        <v>20</v>
      </c>
      <c r="F214" t="s">
        <v>27</v>
      </c>
      <c r="G214">
        <v>3</v>
      </c>
      <c r="H214">
        <v>28000</v>
      </c>
      <c r="I214">
        <v>0.08</v>
      </c>
      <c r="J214">
        <v>84000</v>
      </c>
      <c r="K214">
        <v>77280</v>
      </c>
      <c r="L214">
        <v>65520</v>
      </c>
      <c r="M214">
        <v>1158</v>
      </c>
      <c r="N214">
        <v>2459</v>
      </c>
      <c r="O214">
        <v>8143</v>
      </c>
      <c r="P214">
        <v>0.105370082815735</v>
      </c>
      <c r="Q214" t="s">
        <v>58</v>
      </c>
    </row>
    <row r="215" spans="1:17">
      <c r="A215" t="s">
        <v>268</v>
      </c>
      <c r="B215" s="1">
        <v>46033</v>
      </c>
      <c r="C215" t="s">
        <v>53</v>
      </c>
      <c r="D215" t="s">
        <v>51</v>
      </c>
      <c r="E215" t="s">
        <v>26</v>
      </c>
      <c r="F215" t="s">
        <v>27</v>
      </c>
      <c r="G215">
        <v>4</v>
      </c>
      <c r="H215">
        <v>1500</v>
      </c>
      <c r="I215">
        <v>0</v>
      </c>
      <c r="J215">
        <v>6000</v>
      </c>
      <c r="K215">
        <v>6000</v>
      </c>
      <c r="L215">
        <v>3300</v>
      </c>
      <c r="M215">
        <v>1608</v>
      </c>
      <c r="N215">
        <v>1295</v>
      </c>
      <c r="O215">
        <v>-203.00000000000051</v>
      </c>
      <c r="P215">
        <v>-3.383333333333341E-2</v>
      </c>
      <c r="Q215" t="s">
        <v>43</v>
      </c>
    </row>
    <row r="216" spans="1:17">
      <c r="A216" t="s">
        <v>269</v>
      </c>
      <c r="B216" s="1">
        <v>45683</v>
      </c>
      <c r="C216" t="s">
        <v>18</v>
      </c>
      <c r="D216" t="s">
        <v>63</v>
      </c>
      <c r="E216" t="s">
        <v>26</v>
      </c>
      <c r="F216" t="s">
        <v>35</v>
      </c>
      <c r="G216">
        <v>2</v>
      </c>
      <c r="H216">
        <v>32000</v>
      </c>
      <c r="I216">
        <v>0.1</v>
      </c>
      <c r="J216">
        <v>64000</v>
      </c>
      <c r="K216">
        <v>57600</v>
      </c>
      <c r="L216">
        <v>52480</v>
      </c>
      <c r="M216">
        <v>925</v>
      </c>
      <c r="N216">
        <v>1343</v>
      </c>
      <c r="O216">
        <v>2852</v>
      </c>
      <c r="P216">
        <v>4.9513888888888892E-2</v>
      </c>
      <c r="Q216" t="s">
        <v>56</v>
      </c>
    </row>
    <row r="217" spans="1:17">
      <c r="A217" t="s">
        <v>270</v>
      </c>
      <c r="B217" s="1">
        <v>45706</v>
      </c>
      <c r="C217" t="s">
        <v>75</v>
      </c>
      <c r="D217" t="s">
        <v>25</v>
      </c>
      <c r="E217" t="s">
        <v>20</v>
      </c>
      <c r="F217" t="s">
        <v>35</v>
      </c>
      <c r="G217">
        <v>1</v>
      </c>
      <c r="H217">
        <v>65000</v>
      </c>
      <c r="I217">
        <v>0.15</v>
      </c>
      <c r="J217">
        <v>65000</v>
      </c>
      <c r="K217">
        <v>55250</v>
      </c>
      <c r="L217">
        <v>54600</v>
      </c>
      <c r="M217">
        <v>351</v>
      </c>
      <c r="N217">
        <v>819</v>
      </c>
      <c r="O217">
        <v>-520</v>
      </c>
      <c r="P217">
        <v>-9.4117647058823521E-3</v>
      </c>
      <c r="Q217" t="s">
        <v>47</v>
      </c>
    </row>
    <row r="218" spans="1:17">
      <c r="A218" t="s">
        <v>271</v>
      </c>
      <c r="B218" s="1">
        <v>46096</v>
      </c>
      <c r="C218" t="s">
        <v>46</v>
      </c>
      <c r="D218" t="s">
        <v>25</v>
      </c>
      <c r="E218" t="s">
        <v>20</v>
      </c>
      <c r="F218" t="s">
        <v>35</v>
      </c>
      <c r="G218">
        <v>3</v>
      </c>
      <c r="H218">
        <v>18000</v>
      </c>
      <c r="I218">
        <v>0.15</v>
      </c>
      <c r="J218">
        <v>54000</v>
      </c>
      <c r="K218">
        <v>45900</v>
      </c>
      <c r="L218">
        <v>43200</v>
      </c>
      <c r="M218">
        <v>1390</v>
      </c>
      <c r="N218">
        <v>245</v>
      </c>
      <c r="O218">
        <v>1065</v>
      </c>
      <c r="P218">
        <v>2.3202614379084972E-2</v>
      </c>
      <c r="Q218" t="s">
        <v>98</v>
      </c>
    </row>
    <row r="219" spans="1:17">
      <c r="A219" t="s">
        <v>272</v>
      </c>
      <c r="B219" s="1">
        <v>46089</v>
      </c>
      <c r="C219" t="s">
        <v>53</v>
      </c>
      <c r="D219" t="s">
        <v>51</v>
      </c>
      <c r="E219" t="s">
        <v>26</v>
      </c>
      <c r="F219" t="s">
        <v>21</v>
      </c>
      <c r="G219">
        <v>2</v>
      </c>
      <c r="H219">
        <v>1500</v>
      </c>
      <c r="I219">
        <v>0.05</v>
      </c>
      <c r="J219">
        <v>3000</v>
      </c>
      <c r="K219">
        <v>2850</v>
      </c>
      <c r="L219">
        <v>1650</v>
      </c>
      <c r="M219">
        <v>860</v>
      </c>
      <c r="N219">
        <v>761</v>
      </c>
      <c r="O219">
        <v>-421.00000000000023</v>
      </c>
      <c r="P219">
        <v>-0.14771929824561411</v>
      </c>
      <c r="Q219" t="s">
        <v>98</v>
      </c>
    </row>
    <row r="220" spans="1:17">
      <c r="A220" t="s">
        <v>273</v>
      </c>
      <c r="B220" s="1">
        <v>46166</v>
      </c>
      <c r="C220" t="s">
        <v>46</v>
      </c>
      <c r="D220" t="s">
        <v>63</v>
      </c>
      <c r="E220" t="s">
        <v>20</v>
      </c>
      <c r="F220" t="s">
        <v>27</v>
      </c>
      <c r="G220">
        <v>3</v>
      </c>
      <c r="H220">
        <v>18000</v>
      </c>
      <c r="I220">
        <v>0.03</v>
      </c>
      <c r="J220">
        <v>54000</v>
      </c>
      <c r="K220">
        <v>52380</v>
      </c>
      <c r="L220">
        <v>43200</v>
      </c>
      <c r="M220">
        <v>789</v>
      </c>
      <c r="N220">
        <v>1200</v>
      </c>
      <c r="O220">
        <v>7191</v>
      </c>
      <c r="P220">
        <v>0.13728522336769761</v>
      </c>
      <c r="Q220" t="s">
        <v>73</v>
      </c>
    </row>
    <row r="221" spans="1:17">
      <c r="A221" t="s">
        <v>274</v>
      </c>
      <c r="B221" s="1">
        <v>45937</v>
      </c>
      <c r="C221" t="s">
        <v>50</v>
      </c>
      <c r="D221" t="s">
        <v>31</v>
      </c>
      <c r="E221" t="s">
        <v>38</v>
      </c>
      <c r="F221" t="s">
        <v>21</v>
      </c>
      <c r="G221">
        <v>7</v>
      </c>
      <c r="H221">
        <v>2500</v>
      </c>
      <c r="I221">
        <v>0.1</v>
      </c>
      <c r="J221">
        <v>17500</v>
      </c>
      <c r="K221">
        <v>15750</v>
      </c>
      <c r="L221">
        <v>10850</v>
      </c>
      <c r="M221">
        <v>1777</v>
      </c>
      <c r="N221">
        <v>1098</v>
      </c>
      <c r="O221">
        <v>2025</v>
      </c>
      <c r="P221">
        <v>0.12857142857142859</v>
      </c>
      <c r="Q221" t="s">
        <v>88</v>
      </c>
    </row>
    <row r="222" spans="1:17">
      <c r="A222" t="s">
        <v>275</v>
      </c>
      <c r="B222" s="1">
        <v>45693</v>
      </c>
      <c r="C222" t="s">
        <v>61</v>
      </c>
      <c r="D222" t="s">
        <v>51</v>
      </c>
      <c r="E222" t="s">
        <v>38</v>
      </c>
      <c r="F222" t="s">
        <v>35</v>
      </c>
      <c r="G222">
        <v>2</v>
      </c>
      <c r="H222">
        <v>4500</v>
      </c>
      <c r="I222">
        <v>0.15</v>
      </c>
      <c r="J222">
        <v>9000</v>
      </c>
      <c r="K222">
        <v>7650</v>
      </c>
      <c r="L222">
        <v>5850</v>
      </c>
      <c r="M222">
        <v>820</v>
      </c>
      <c r="N222">
        <v>1105</v>
      </c>
      <c r="O222">
        <v>-125</v>
      </c>
      <c r="P222">
        <v>-1.6339869281045749E-2</v>
      </c>
      <c r="Q222" t="s">
        <v>47</v>
      </c>
    </row>
    <row r="223" spans="1:17">
      <c r="A223" t="s">
        <v>276</v>
      </c>
      <c r="B223" s="1">
        <v>46174</v>
      </c>
      <c r="C223" t="s">
        <v>46</v>
      </c>
      <c r="D223" t="s">
        <v>31</v>
      </c>
      <c r="E223" t="s">
        <v>20</v>
      </c>
      <c r="F223" t="s">
        <v>21</v>
      </c>
      <c r="G223">
        <v>1</v>
      </c>
      <c r="H223">
        <v>18000</v>
      </c>
      <c r="I223">
        <v>0.03</v>
      </c>
      <c r="J223">
        <v>18000</v>
      </c>
      <c r="K223">
        <v>17460</v>
      </c>
      <c r="L223">
        <v>14400</v>
      </c>
      <c r="M223">
        <v>624</v>
      </c>
      <c r="N223">
        <v>807</v>
      </c>
      <c r="O223">
        <v>1629</v>
      </c>
      <c r="P223">
        <v>9.329896907216495E-2</v>
      </c>
      <c r="Q223" t="s">
        <v>135</v>
      </c>
    </row>
    <row r="224" spans="1:17">
      <c r="A224" t="s">
        <v>277</v>
      </c>
      <c r="B224" s="1">
        <v>45916</v>
      </c>
      <c r="C224" t="s">
        <v>61</v>
      </c>
      <c r="D224" t="s">
        <v>34</v>
      </c>
      <c r="E224" t="s">
        <v>26</v>
      </c>
      <c r="F224" t="s">
        <v>27</v>
      </c>
      <c r="G224">
        <v>2</v>
      </c>
      <c r="H224">
        <v>4500</v>
      </c>
      <c r="I224">
        <v>0.08</v>
      </c>
      <c r="J224">
        <v>9000</v>
      </c>
      <c r="K224">
        <v>8280</v>
      </c>
      <c r="L224">
        <v>5850</v>
      </c>
      <c r="M224">
        <v>580</v>
      </c>
      <c r="N224">
        <v>157</v>
      </c>
      <c r="O224">
        <v>1693</v>
      </c>
      <c r="P224">
        <v>0.2044685990338164</v>
      </c>
      <c r="Q224" t="s">
        <v>32</v>
      </c>
    </row>
    <row r="225" spans="1:17">
      <c r="A225" t="s">
        <v>278</v>
      </c>
      <c r="B225" s="1">
        <v>45773</v>
      </c>
      <c r="C225" t="s">
        <v>30</v>
      </c>
      <c r="D225" t="s">
        <v>34</v>
      </c>
      <c r="E225" t="s">
        <v>26</v>
      </c>
      <c r="F225" t="s">
        <v>27</v>
      </c>
      <c r="G225">
        <v>2</v>
      </c>
      <c r="H225">
        <v>28000</v>
      </c>
      <c r="I225">
        <v>0.08</v>
      </c>
      <c r="J225">
        <v>56000</v>
      </c>
      <c r="K225">
        <v>51520</v>
      </c>
      <c r="L225">
        <v>43680</v>
      </c>
      <c r="M225">
        <v>553</v>
      </c>
      <c r="N225">
        <v>1594</v>
      </c>
      <c r="O225">
        <v>5693</v>
      </c>
      <c r="P225">
        <v>0.1105007763975155</v>
      </c>
      <c r="Q225" t="s">
        <v>41</v>
      </c>
    </row>
    <row r="226" spans="1:17">
      <c r="A226" t="s">
        <v>279</v>
      </c>
      <c r="B226" s="1">
        <v>45865</v>
      </c>
      <c r="C226" t="s">
        <v>24</v>
      </c>
      <c r="D226" t="s">
        <v>25</v>
      </c>
      <c r="E226" t="s">
        <v>20</v>
      </c>
      <c r="F226" t="s">
        <v>21</v>
      </c>
      <c r="G226">
        <v>5</v>
      </c>
      <c r="H226">
        <v>3500</v>
      </c>
      <c r="I226">
        <v>0.1</v>
      </c>
      <c r="J226">
        <v>17500</v>
      </c>
      <c r="K226">
        <v>15750</v>
      </c>
      <c r="L226">
        <v>11900</v>
      </c>
      <c r="M226">
        <v>1216</v>
      </c>
      <c r="N226">
        <v>410</v>
      </c>
      <c r="O226">
        <v>2224</v>
      </c>
      <c r="P226">
        <v>0.1412063492063492</v>
      </c>
      <c r="Q226" t="s">
        <v>36</v>
      </c>
    </row>
    <row r="227" spans="1:17">
      <c r="A227" t="s">
        <v>280</v>
      </c>
      <c r="B227" s="1">
        <v>46199</v>
      </c>
      <c r="C227" t="s">
        <v>46</v>
      </c>
      <c r="D227" t="s">
        <v>51</v>
      </c>
      <c r="E227" t="s">
        <v>20</v>
      </c>
      <c r="F227" t="s">
        <v>27</v>
      </c>
      <c r="G227">
        <v>1</v>
      </c>
      <c r="H227">
        <v>18000</v>
      </c>
      <c r="I227">
        <v>0.05</v>
      </c>
      <c r="J227">
        <v>18000</v>
      </c>
      <c r="K227">
        <v>17100</v>
      </c>
      <c r="L227">
        <v>14400</v>
      </c>
      <c r="M227">
        <v>1179</v>
      </c>
      <c r="N227">
        <v>1779</v>
      </c>
      <c r="O227">
        <v>-258</v>
      </c>
      <c r="P227">
        <v>-1.508771929824561E-2</v>
      </c>
      <c r="Q227" t="s">
        <v>135</v>
      </c>
    </row>
    <row r="228" spans="1:17">
      <c r="A228" t="s">
        <v>281</v>
      </c>
      <c r="B228" s="1">
        <v>45978</v>
      </c>
      <c r="C228" t="s">
        <v>61</v>
      </c>
      <c r="D228" t="s">
        <v>63</v>
      </c>
      <c r="E228" t="s">
        <v>26</v>
      </c>
      <c r="F228" t="s">
        <v>35</v>
      </c>
      <c r="G228">
        <v>5</v>
      </c>
      <c r="H228">
        <v>4500</v>
      </c>
      <c r="I228">
        <v>0.1</v>
      </c>
      <c r="J228">
        <v>22500</v>
      </c>
      <c r="K228">
        <v>20250</v>
      </c>
      <c r="L228">
        <v>14625</v>
      </c>
      <c r="M228">
        <v>1471</v>
      </c>
      <c r="N228">
        <v>463</v>
      </c>
      <c r="O228">
        <v>3691</v>
      </c>
      <c r="P228">
        <v>0.1822716049382716</v>
      </c>
      <c r="Q228" t="s">
        <v>28</v>
      </c>
    </row>
    <row r="229" spans="1:17">
      <c r="A229" t="s">
        <v>282</v>
      </c>
      <c r="B229" s="1">
        <v>46117</v>
      </c>
      <c r="C229" t="s">
        <v>61</v>
      </c>
      <c r="D229" t="s">
        <v>34</v>
      </c>
      <c r="E229" t="s">
        <v>20</v>
      </c>
      <c r="F229" t="s">
        <v>35</v>
      </c>
      <c r="G229">
        <v>2</v>
      </c>
      <c r="H229">
        <v>4500</v>
      </c>
      <c r="I229">
        <v>0.1</v>
      </c>
      <c r="J229">
        <v>9000</v>
      </c>
      <c r="K229">
        <v>8100</v>
      </c>
      <c r="L229">
        <v>5850</v>
      </c>
      <c r="M229">
        <v>999</v>
      </c>
      <c r="N229">
        <v>1284</v>
      </c>
      <c r="O229">
        <v>-33</v>
      </c>
      <c r="P229">
        <v>-4.0740740740740737E-3</v>
      </c>
      <c r="Q229" t="s">
        <v>65</v>
      </c>
    </row>
    <row r="230" spans="1:17">
      <c r="A230" t="s">
        <v>283</v>
      </c>
      <c r="B230" s="1">
        <v>46018</v>
      </c>
      <c r="C230" t="s">
        <v>53</v>
      </c>
      <c r="D230" t="s">
        <v>51</v>
      </c>
      <c r="E230" t="s">
        <v>20</v>
      </c>
      <c r="F230" t="s">
        <v>35</v>
      </c>
      <c r="G230">
        <v>1</v>
      </c>
      <c r="H230">
        <v>1500</v>
      </c>
      <c r="I230">
        <v>0.03</v>
      </c>
      <c r="J230">
        <v>1500</v>
      </c>
      <c r="K230">
        <v>1455</v>
      </c>
      <c r="L230">
        <v>825.00000000000011</v>
      </c>
      <c r="M230">
        <v>948</v>
      </c>
      <c r="N230">
        <v>1701</v>
      </c>
      <c r="O230">
        <v>-2019</v>
      </c>
      <c r="P230">
        <v>-1.387628865979381</v>
      </c>
      <c r="Q230" t="s">
        <v>80</v>
      </c>
    </row>
    <row r="231" spans="1:17">
      <c r="A231" t="s">
        <v>284</v>
      </c>
      <c r="B231" s="1">
        <v>45853</v>
      </c>
      <c r="C231" t="s">
        <v>75</v>
      </c>
      <c r="D231" t="s">
        <v>25</v>
      </c>
      <c r="E231" t="s">
        <v>26</v>
      </c>
      <c r="F231" t="s">
        <v>27</v>
      </c>
      <c r="G231">
        <v>3</v>
      </c>
      <c r="H231">
        <v>65000</v>
      </c>
      <c r="I231">
        <v>0.1</v>
      </c>
      <c r="J231">
        <v>195000</v>
      </c>
      <c r="K231">
        <v>175500</v>
      </c>
      <c r="L231">
        <v>163800</v>
      </c>
      <c r="M231">
        <v>1630</v>
      </c>
      <c r="N231">
        <v>1789</v>
      </c>
      <c r="O231">
        <v>8281</v>
      </c>
      <c r="P231">
        <v>4.7185185185185177E-2</v>
      </c>
      <c r="Q231" t="s">
        <v>36</v>
      </c>
    </row>
    <row r="232" spans="1:17">
      <c r="A232" t="s">
        <v>285</v>
      </c>
      <c r="B232" s="1">
        <v>46147</v>
      </c>
      <c r="C232" t="s">
        <v>50</v>
      </c>
      <c r="D232" t="s">
        <v>31</v>
      </c>
      <c r="E232" t="s">
        <v>38</v>
      </c>
      <c r="F232" t="s">
        <v>35</v>
      </c>
      <c r="G232">
        <v>7</v>
      </c>
      <c r="H232">
        <v>2500</v>
      </c>
      <c r="I232">
        <v>0.2</v>
      </c>
      <c r="J232">
        <v>17500</v>
      </c>
      <c r="K232">
        <v>14000</v>
      </c>
      <c r="L232">
        <v>10850</v>
      </c>
      <c r="M232">
        <v>1324</v>
      </c>
      <c r="N232">
        <v>343</v>
      </c>
      <c r="O232">
        <v>1483</v>
      </c>
      <c r="P232">
        <v>0.1059285714285714</v>
      </c>
      <c r="Q232" t="s">
        <v>73</v>
      </c>
    </row>
    <row r="233" spans="1:17">
      <c r="A233" t="s">
        <v>286</v>
      </c>
      <c r="B233" s="1">
        <v>46119</v>
      </c>
      <c r="C233" t="s">
        <v>30</v>
      </c>
      <c r="D233" t="s">
        <v>34</v>
      </c>
      <c r="E233" t="s">
        <v>20</v>
      </c>
      <c r="F233" t="s">
        <v>35</v>
      </c>
      <c r="G233">
        <v>1</v>
      </c>
      <c r="H233">
        <v>28000</v>
      </c>
      <c r="I233">
        <v>0.05</v>
      </c>
      <c r="J233">
        <v>28000</v>
      </c>
      <c r="K233">
        <v>26600</v>
      </c>
      <c r="L233">
        <v>21840</v>
      </c>
      <c r="M233">
        <v>1439</v>
      </c>
      <c r="N233">
        <v>1793</v>
      </c>
      <c r="O233">
        <v>1528</v>
      </c>
      <c r="P233">
        <v>5.7443609022556387E-2</v>
      </c>
      <c r="Q233" t="s">
        <v>65</v>
      </c>
    </row>
    <row r="234" spans="1:17">
      <c r="A234" t="s">
        <v>287</v>
      </c>
      <c r="B234" s="1">
        <v>46123</v>
      </c>
      <c r="C234" t="s">
        <v>61</v>
      </c>
      <c r="D234" t="s">
        <v>34</v>
      </c>
      <c r="E234" t="s">
        <v>38</v>
      </c>
      <c r="F234" t="s">
        <v>21</v>
      </c>
      <c r="G234">
        <v>1</v>
      </c>
      <c r="H234">
        <v>4500</v>
      </c>
      <c r="I234">
        <v>0.05</v>
      </c>
      <c r="J234">
        <v>4500</v>
      </c>
      <c r="K234">
        <v>4275</v>
      </c>
      <c r="L234">
        <v>2925</v>
      </c>
      <c r="M234">
        <v>777</v>
      </c>
      <c r="N234">
        <v>229</v>
      </c>
      <c r="O234">
        <v>344</v>
      </c>
      <c r="P234">
        <v>8.0467836257309938E-2</v>
      </c>
      <c r="Q234" t="s">
        <v>65</v>
      </c>
    </row>
    <row r="235" spans="1:17">
      <c r="A235" t="s">
        <v>288</v>
      </c>
      <c r="B235" s="1">
        <v>45821</v>
      </c>
      <c r="C235" t="s">
        <v>75</v>
      </c>
      <c r="D235" t="s">
        <v>34</v>
      </c>
      <c r="E235" t="s">
        <v>20</v>
      </c>
      <c r="F235" t="s">
        <v>27</v>
      </c>
      <c r="G235">
        <v>2</v>
      </c>
      <c r="H235">
        <v>65000</v>
      </c>
      <c r="I235">
        <v>0</v>
      </c>
      <c r="J235">
        <v>130000</v>
      </c>
      <c r="K235">
        <v>130000</v>
      </c>
      <c r="L235">
        <v>109200</v>
      </c>
      <c r="M235">
        <v>1021</v>
      </c>
      <c r="N235">
        <v>1412</v>
      </c>
      <c r="O235">
        <v>18367</v>
      </c>
      <c r="P235">
        <v>0.1412846153846154</v>
      </c>
      <c r="Q235" t="s">
        <v>39</v>
      </c>
    </row>
    <row r="236" spans="1:17">
      <c r="A236" t="s">
        <v>289</v>
      </c>
      <c r="B236" s="1">
        <v>45682</v>
      </c>
      <c r="C236" t="s">
        <v>61</v>
      </c>
      <c r="D236" t="s">
        <v>51</v>
      </c>
      <c r="E236" t="s">
        <v>20</v>
      </c>
      <c r="F236" t="s">
        <v>35</v>
      </c>
      <c r="G236">
        <v>5</v>
      </c>
      <c r="H236">
        <v>4500</v>
      </c>
      <c r="I236">
        <v>0.05</v>
      </c>
      <c r="J236">
        <v>22500</v>
      </c>
      <c r="K236">
        <v>21375</v>
      </c>
      <c r="L236">
        <v>14625</v>
      </c>
      <c r="M236">
        <v>682</v>
      </c>
      <c r="N236">
        <v>2060</v>
      </c>
      <c r="O236">
        <v>4008</v>
      </c>
      <c r="P236">
        <v>0.1875087719298246</v>
      </c>
      <c r="Q236" t="s">
        <v>56</v>
      </c>
    </row>
    <row r="237" spans="1:17">
      <c r="A237" t="s">
        <v>290</v>
      </c>
      <c r="B237" s="1">
        <v>45669</v>
      </c>
      <c r="C237" t="s">
        <v>30</v>
      </c>
      <c r="D237" t="s">
        <v>31</v>
      </c>
      <c r="E237" t="s">
        <v>20</v>
      </c>
      <c r="F237" t="s">
        <v>21</v>
      </c>
      <c r="G237">
        <v>1</v>
      </c>
      <c r="H237">
        <v>28000</v>
      </c>
      <c r="I237">
        <v>0.03</v>
      </c>
      <c r="J237">
        <v>28000</v>
      </c>
      <c r="K237">
        <v>27160</v>
      </c>
      <c r="L237">
        <v>21840</v>
      </c>
      <c r="M237">
        <v>1396</v>
      </c>
      <c r="N237">
        <v>2079</v>
      </c>
      <c r="O237">
        <v>1845</v>
      </c>
      <c r="P237">
        <v>6.7930780559646534E-2</v>
      </c>
      <c r="Q237" t="s">
        <v>56</v>
      </c>
    </row>
    <row r="238" spans="1:17">
      <c r="A238" t="s">
        <v>291</v>
      </c>
      <c r="B238" s="1">
        <v>45700</v>
      </c>
      <c r="C238" t="s">
        <v>30</v>
      </c>
      <c r="D238" t="s">
        <v>34</v>
      </c>
      <c r="E238" t="s">
        <v>26</v>
      </c>
      <c r="F238" t="s">
        <v>35</v>
      </c>
      <c r="G238">
        <v>1</v>
      </c>
      <c r="H238">
        <v>28000</v>
      </c>
      <c r="I238">
        <v>0</v>
      </c>
      <c r="J238">
        <v>28000</v>
      </c>
      <c r="K238">
        <v>28000</v>
      </c>
      <c r="L238">
        <v>21840</v>
      </c>
      <c r="M238">
        <v>589</v>
      </c>
      <c r="N238">
        <v>1984</v>
      </c>
      <c r="O238">
        <v>3587</v>
      </c>
      <c r="P238">
        <v>0.12810714285714289</v>
      </c>
      <c r="Q238" t="s">
        <v>47</v>
      </c>
    </row>
    <row r="239" spans="1:17">
      <c r="A239" t="s">
        <v>292</v>
      </c>
      <c r="B239" s="1">
        <v>46039</v>
      </c>
      <c r="C239" t="s">
        <v>18</v>
      </c>
      <c r="D239" t="s">
        <v>19</v>
      </c>
      <c r="E239" t="s">
        <v>26</v>
      </c>
      <c r="F239" t="s">
        <v>21</v>
      </c>
      <c r="G239">
        <v>3</v>
      </c>
      <c r="H239">
        <v>32000</v>
      </c>
      <c r="I239">
        <v>0.08</v>
      </c>
      <c r="J239">
        <v>96000</v>
      </c>
      <c r="K239">
        <v>88320</v>
      </c>
      <c r="L239">
        <v>78720</v>
      </c>
      <c r="M239">
        <v>977</v>
      </c>
      <c r="N239">
        <v>2492</v>
      </c>
      <c r="O239">
        <v>6131</v>
      </c>
      <c r="P239">
        <v>6.9418025362318836E-2</v>
      </c>
      <c r="Q239" t="s">
        <v>43</v>
      </c>
    </row>
    <row r="240" spans="1:17">
      <c r="A240" t="s">
        <v>293</v>
      </c>
      <c r="B240" s="1">
        <v>45986</v>
      </c>
      <c r="C240" t="s">
        <v>18</v>
      </c>
      <c r="D240" t="s">
        <v>31</v>
      </c>
      <c r="E240" t="s">
        <v>20</v>
      </c>
      <c r="F240" t="s">
        <v>35</v>
      </c>
      <c r="G240">
        <v>1</v>
      </c>
      <c r="H240">
        <v>32000</v>
      </c>
      <c r="I240">
        <v>0.05</v>
      </c>
      <c r="J240">
        <v>32000</v>
      </c>
      <c r="K240">
        <v>30400</v>
      </c>
      <c r="L240">
        <v>26240</v>
      </c>
      <c r="M240">
        <v>1322</v>
      </c>
      <c r="N240">
        <v>248</v>
      </c>
      <c r="O240">
        <v>2590</v>
      </c>
      <c r="P240">
        <v>8.5197368421052633E-2</v>
      </c>
      <c r="Q240" t="s">
        <v>28</v>
      </c>
    </row>
    <row r="241" spans="1:17">
      <c r="A241" t="s">
        <v>294</v>
      </c>
      <c r="B241" s="1">
        <v>46016</v>
      </c>
      <c r="C241" t="s">
        <v>46</v>
      </c>
      <c r="D241" t="s">
        <v>31</v>
      </c>
      <c r="E241" t="s">
        <v>20</v>
      </c>
      <c r="F241" t="s">
        <v>21</v>
      </c>
      <c r="G241">
        <v>1</v>
      </c>
      <c r="H241">
        <v>18000</v>
      </c>
      <c r="I241">
        <v>0.08</v>
      </c>
      <c r="J241">
        <v>18000</v>
      </c>
      <c r="K241">
        <v>16560</v>
      </c>
      <c r="L241">
        <v>14400</v>
      </c>
      <c r="M241">
        <v>1775</v>
      </c>
      <c r="N241">
        <v>2248</v>
      </c>
      <c r="O241">
        <v>-1863</v>
      </c>
      <c r="P241">
        <v>-0.1125</v>
      </c>
      <c r="Q241" t="s">
        <v>80</v>
      </c>
    </row>
    <row r="242" spans="1:17">
      <c r="A242" t="s">
        <v>295</v>
      </c>
      <c r="B242" s="1">
        <v>46140</v>
      </c>
      <c r="C242" t="s">
        <v>53</v>
      </c>
      <c r="D242" t="s">
        <v>19</v>
      </c>
      <c r="E242" t="s">
        <v>20</v>
      </c>
      <c r="F242" t="s">
        <v>21</v>
      </c>
      <c r="G242">
        <v>6</v>
      </c>
      <c r="H242">
        <v>1500</v>
      </c>
      <c r="I242">
        <v>0.05</v>
      </c>
      <c r="J242">
        <v>9000</v>
      </c>
      <c r="K242">
        <v>8550</v>
      </c>
      <c r="L242">
        <v>4950</v>
      </c>
      <c r="M242">
        <v>1286</v>
      </c>
      <c r="N242">
        <v>1608</v>
      </c>
      <c r="O242">
        <v>706</v>
      </c>
      <c r="P242">
        <v>8.2573099415204673E-2</v>
      </c>
      <c r="Q242" t="s">
        <v>65</v>
      </c>
    </row>
    <row r="243" spans="1:17">
      <c r="A243" t="s">
        <v>296</v>
      </c>
      <c r="B243" s="1">
        <v>46043</v>
      </c>
      <c r="C243" t="s">
        <v>24</v>
      </c>
      <c r="D243" t="s">
        <v>34</v>
      </c>
      <c r="E243" t="s">
        <v>20</v>
      </c>
      <c r="F243" t="s">
        <v>35</v>
      </c>
      <c r="G243">
        <v>5</v>
      </c>
      <c r="H243">
        <v>3500</v>
      </c>
      <c r="I243">
        <v>0.1</v>
      </c>
      <c r="J243">
        <v>17500</v>
      </c>
      <c r="K243">
        <v>15750</v>
      </c>
      <c r="L243">
        <v>11900</v>
      </c>
      <c r="M243">
        <v>709</v>
      </c>
      <c r="N243">
        <v>1306</v>
      </c>
      <c r="O243">
        <v>1835</v>
      </c>
      <c r="P243">
        <v>0.1165079365079365</v>
      </c>
      <c r="Q243" t="s">
        <v>43</v>
      </c>
    </row>
    <row r="244" spans="1:17">
      <c r="A244" t="s">
        <v>297</v>
      </c>
      <c r="B244" s="1">
        <v>45722</v>
      </c>
      <c r="C244" t="s">
        <v>18</v>
      </c>
      <c r="D244" t="s">
        <v>51</v>
      </c>
      <c r="E244" t="s">
        <v>20</v>
      </c>
      <c r="F244" t="s">
        <v>35</v>
      </c>
      <c r="G244">
        <v>1</v>
      </c>
      <c r="H244">
        <v>32000</v>
      </c>
      <c r="I244">
        <v>0.1</v>
      </c>
      <c r="J244">
        <v>32000</v>
      </c>
      <c r="K244">
        <v>28800</v>
      </c>
      <c r="L244">
        <v>26240</v>
      </c>
      <c r="M244">
        <v>1646</v>
      </c>
      <c r="N244">
        <v>1000</v>
      </c>
      <c r="O244">
        <v>-86</v>
      </c>
      <c r="P244">
        <v>-2.9861111111111108E-3</v>
      </c>
      <c r="Q244" t="s">
        <v>68</v>
      </c>
    </row>
    <row r="245" spans="1:17">
      <c r="A245" t="s">
        <v>298</v>
      </c>
      <c r="B245" s="1">
        <v>45821</v>
      </c>
      <c r="C245" t="s">
        <v>24</v>
      </c>
      <c r="D245" t="s">
        <v>63</v>
      </c>
      <c r="E245" t="s">
        <v>20</v>
      </c>
      <c r="F245" t="s">
        <v>21</v>
      </c>
      <c r="G245">
        <v>5</v>
      </c>
      <c r="H245">
        <v>3500</v>
      </c>
      <c r="I245">
        <v>0.1</v>
      </c>
      <c r="J245">
        <v>17500</v>
      </c>
      <c r="K245">
        <v>15750</v>
      </c>
      <c r="L245">
        <v>11900</v>
      </c>
      <c r="M245">
        <v>372</v>
      </c>
      <c r="N245">
        <v>771</v>
      </c>
      <c r="O245">
        <v>2707</v>
      </c>
      <c r="P245">
        <v>0.1718730158730159</v>
      </c>
      <c r="Q245" t="s">
        <v>39</v>
      </c>
    </row>
    <row r="246" spans="1:17">
      <c r="A246" t="s">
        <v>299</v>
      </c>
      <c r="B246" s="1">
        <v>46167</v>
      </c>
      <c r="C246" t="s">
        <v>18</v>
      </c>
      <c r="D246" t="s">
        <v>31</v>
      </c>
      <c r="E246" t="s">
        <v>38</v>
      </c>
      <c r="F246" t="s">
        <v>35</v>
      </c>
      <c r="G246">
        <v>1</v>
      </c>
      <c r="H246">
        <v>32000</v>
      </c>
      <c r="I246">
        <v>0.1</v>
      </c>
      <c r="J246">
        <v>32000</v>
      </c>
      <c r="K246">
        <v>28800</v>
      </c>
      <c r="L246">
        <v>26240</v>
      </c>
      <c r="M246">
        <v>382</v>
      </c>
      <c r="N246">
        <v>728</v>
      </c>
      <c r="O246">
        <v>1450</v>
      </c>
      <c r="P246">
        <v>5.0347222222222217E-2</v>
      </c>
      <c r="Q246" t="s">
        <v>73</v>
      </c>
    </row>
    <row r="247" spans="1:17">
      <c r="A247" t="s">
        <v>300</v>
      </c>
      <c r="B247" s="1">
        <v>46079</v>
      </c>
      <c r="C247" t="s">
        <v>30</v>
      </c>
      <c r="D247" t="s">
        <v>25</v>
      </c>
      <c r="E247" t="s">
        <v>26</v>
      </c>
      <c r="F247" t="s">
        <v>27</v>
      </c>
      <c r="G247">
        <v>3</v>
      </c>
      <c r="H247">
        <v>28000</v>
      </c>
      <c r="I247">
        <v>0.05</v>
      </c>
      <c r="J247">
        <v>84000</v>
      </c>
      <c r="K247">
        <v>79800</v>
      </c>
      <c r="L247">
        <v>65520</v>
      </c>
      <c r="M247">
        <v>1659</v>
      </c>
      <c r="N247">
        <v>2048</v>
      </c>
      <c r="O247">
        <v>10573</v>
      </c>
      <c r="P247">
        <v>0.13249373433583961</v>
      </c>
      <c r="Q247" t="s">
        <v>54</v>
      </c>
    </row>
    <row r="248" spans="1:17">
      <c r="A248" t="s">
        <v>301</v>
      </c>
      <c r="B248" s="1">
        <v>45787</v>
      </c>
      <c r="C248" t="s">
        <v>75</v>
      </c>
      <c r="D248" t="s">
        <v>31</v>
      </c>
      <c r="E248" t="s">
        <v>20</v>
      </c>
      <c r="F248" t="s">
        <v>35</v>
      </c>
      <c r="G248">
        <v>1</v>
      </c>
      <c r="H248">
        <v>65000</v>
      </c>
      <c r="I248">
        <v>0.08</v>
      </c>
      <c r="J248">
        <v>65000</v>
      </c>
      <c r="K248">
        <v>59800</v>
      </c>
      <c r="L248">
        <v>54600</v>
      </c>
      <c r="M248">
        <v>624</v>
      </c>
      <c r="N248">
        <v>2276</v>
      </c>
      <c r="O248">
        <v>2300</v>
      </c>
      <c r="P248">
        <v>3.8461538461538457E-2</v>
      </c>
      <c r="Q248" t="s">
        <v>22</v>
      </c>
    </row>
    <row r="249" spans="1:17">
      <c r="A249" t="s">
        <v>302</v>
      </c>
      <c r="B249" s="1">
        <v>45941</v>
      </c>
      <c r="C249" t="s">
        <v>30</v>
      </c>
      <c r="D249" t="s">
        <v>19</v>
      </c>
      <c r="E249" t="s">
        <v>20</v>
      </c>
      <c r="F249" t="s">
        <v>35</v>
      </c>
      <c r="G249">
        <v>2</v>
      </c>
      <c r="H249">
        <v>28000</v>
      </c>
      <c r="I249">
        <v>0.03</v>
      </c>
      <c r="J249">
        <v>56000</v>
      </c>
      <c r="K249">
        <v>54320</v>
      </c>
      <c r="L249">
        <v>43680</v>
      </c>
      <c r="M249">
        <v>431</v>
      </c>
      <c r="N249">
        <v>888</v>
      </c>
      <c r="O249">
        <v>9321</v>
      </c>
      <c r="P249">
        <v>0.17159425625920471</v>
      </c>
      <c r="Q249" t="s">
        <v>88</v>
      </c>
    </row>
    <row r="250" spans="1:17">
      <c r="A250" t="s">
        <v>303</v>
      </c>
      <c r="B250" s="1">
        <v>45830</v>
      </c>
      <c r="C250" t="s">
        <v>61</v>
      </c>
      <c r="D250" t="s">
        <v>19</v>
      </c>
      <c r="E250" t="s">
        <v>20</v>
      </c>
      <c r="F250" t="s">
        <v>27</v>
      </c>
      <c r="G250">
        <v>1</v>
      </c>
      <c r="H250">
        <v>4500</v>
      </c>
      <c r="I250">
        <v>0.08</v>
      </c>
      <c r="J250">
        <v>4500</v>
      </c>
      <c r="K250">
        <v>4140</v>
      </c>
      <c r="L250">
        <v>2925</v>
      </c>
      <c r="M250">
        <v>1155</v>
      </c>
      <c r="N250">
        <v>955</v>
      </c>
      <c r="O250">
        <v>-895</v>
      </c>
      <c r="P250">
        <v>-0.21618357487922699</v>
      </c>
      <c r="Q250" t="s">
        <v>39</v>
      </c>
    </row>
    <row r="251" spans="1:17">
      <c r="A251" t="s">
        <v>304</v>
      </c>
      <c r="B251" s="1">
        <v>45700</v>
      </c>
      <c r="C251" t="s">
        <v>18</v>
      </c>
      <c r="D251" t="s">
        <v>63</v>
      </c>
      <c r="E251" t="s">
        <v>20</v>
      </c>
      <c r="F251" t="s">
        <v>35</v>
      </c>
      <c r="G251">
        <v>1</v>
      </c>
      <c r="H251">
        <v>32000</v>
      </c>
      <c r="I251">
        <v>0</v>
      </c>
      <c r="J251">
        <v>32000</v>
      </c>
      <c r="K251">
        <v>32000</v>
      </c>
      <c r="L251">
        <v>26240</v>
      </c>
      <c r="M251">
        <v>1423</v>
      </c>
      <c r="N251">
        <v>186</v>
      </c>
      <c r="O251">
        <v>4151</v>
      </c>
      <c r="P251">
        <v>0.12971874999999999</v>
      </c>
      <c r="Q251" t="s">
        <v>47</v>
      </c>
    </row>
    <row r="252" spans="1:17">
      <c r="A252" t="s">
        <v>305</v>
      </c>
      <c r="B252" s="1">
        <v>46023</v>
      </c>
      <c r="C252" t="s">
        <v>46</v>
      </c>
      <c r="D252" t="s">
        <v>31</v>
      </c>
      <c r="E252" t="s">
        <v>20</v>
      </c>
      <c r="F252" t="s">
        <v>21</v>
      </c>
      <c r="G252">
        <v>1</v>
      </c>
      <c r="H252">
        <v>18000</v>
      </c>
      <c r="I252">
        <v>0.2</v>
      </c>
      <c r="J252">
        <v>18000</v>
      </c>
      <c r="K252">
        <v>14400</v>
      </c>
      <c r="L252">
        <v>14400</v>
      </c>
      <c r="M252">
        <v>476</v>
      </c>
      <c r="N252">
        <v>331</v>
      </c>
      <c r="O252">
        <v>-807</v>
      </c>
      <c r="P252">
        <v>-5.6041666666666663E-2</v>
      </c>
      <c r="Q252" t="s">
        <v>43</v>
      </c>
    </row>
    <row r="253" spans="1:17">
      <c r="A253" t="s">
        <v>306</v>
      </c>
      <c r="B253" s="1">
        <v>46007</v>
      </c>
      <c r="C253" t="s">
        <v>18</v>
      </c>
      <c r="D253" t="s">
        <v>34</v>
      </c>
      <c r="E253" t="s">
        <v>26</v>
      </c>
      <c r="F253" t="s">
        <v>35</v>
      </c>
      <c r="G253">
        <v>3</v>
      </c>
      <c r="H253">
        <v>32000</v>
      </c>
      <c r="I253">
        <v>0.03</v>
      </c>
      <c r="J253">
        <v>96000</v>
      </c>
      <c r="K253">
        <v>93120</v>
      </c>
      <c r="L253">
        <v>78720</v>
      </c>
      <c r="M253">
        <v>1714</v>
      </c>
      <c r="N253">
        <v>1384</v>
      </c>
      <c r="O253">
        <v>11302</v>
      </c>
      <c r="P253">
        <v>0.1213702749140893</v>
      </c>
      <c r="Q253" t="s">
        <v>80</v>
      </c>
    </row>
    <row r="254" spans="1:17">
      <c r="A254" t="s">
        <v>307</v>
      </c>
      <c r="B254" s="1">
        <v>46017</v>
      </c>
      <c r="C254" t="s">
        <v>61</v>
      </c>
      <c r="D254" t="s">
        <v>63</v>
      </c>
      <c r="E254" t="s">
        <v>38</v>
      </c>
      <c r="F254" t="s">
        <v>21</v>
      </c>
      <c r="G254">
        <v>7</v>
      </c>
      <c r="H254">
        <v>4500</v>
      </c>
      <c r="I254">
        <v>0</v>
      </c>
      <c r="J254">
        <v>31500</v>
      </c>
      <c r="K254">
        <v>31500</v>
      </c>
      <c r="L254">
        <v>20475</v>
      </c>
      <c r="M254">
        <v>1443</v>
      </c>
      <c r="N254">
        <v>1346</v>
      </c>
      <c r="O254">
        <v>8236</v>
      </c>
      <c r="P254">
        <v>0.26146031746031739</v>
      </c>
      <c r="Q254" t="s">
        <v>80</v>
      </c>
    </row>
    <row r="255" spans="1:17">
      <c r="A255" t="s">
        <v>308</v>
      </c>
      <c r="B255" s="1">
        <v>45826</v>
      </c>
      <c r="C255" t="s">
        <v>50</v>
      </c>
      <c r="D255" t="s">
        <v>63</v>
      </c>
      <c r="E255" t="s">
        <v>26</v>
      </c>
      <c r="F255" t="s">
        <v>35</v>
      </c>
      <c r="G255">
        <v>1</v>
      </c>
      <c r="H255">
        <v>2500</v>
      </c>
      <c r="I255">
        <v>0.03</v>
      </c>
      <c r="J255">
        <v>2500</v>
      </c>
      <c r="K255">
        <v>2425</v>
      </c>
      <c r="L255">
        <v>1550</v>
      </c>
      <c r="M255">
        <v>1035</v>
      </c>
      <c r="N255">
        <v>1713</v>
      </c>
      <c r="O255">
        <v>-1873</v>
      </c>
      <c r="P255">
        <v>-0.77237113402061852</v>
      </c>
      <c r="Q255" t="s">
        <v>39</v>
      </c>
    </row>
    <row r="256" spans="1:17">
      <c r="A256" t="s">
        <v>309</v>
      </c>
      <c r="B256" s="1">
        <v>46145</v>
      </c>
      <c r="C256" t="s">
        <v>30</v>
      </c>
      <c r="D256" t="s">
        <v>25</v>
      </c>
      <c r="E256" t="s">
        <v>26</v>
      </c>
      <c r="F256" t="s">
        <v>21</v>
      </c>
      <c r="G256">
        <v>2</v>
      </c>
      <c r="H256">
        <v>28000</v>
      </c>
      <c r="I256">
        <v>0.1</v>
      </c>
      <c r="J256">
        <v>56000</v>
      </c>
      <c r="K256">
        <v>50400</v>
      </c>
      <c r="L256">
        <v>43680</v>
      </c>
      <c r="M256">
        <v>851</v>
      </c>
      <c r="N256">
        <v>1982</v>
      </c>
      <c r="O256">
        <v>3887</v>
      </c>
      <c r="P256">
        <v>7.7123015873015871E-2</v>
      </c>
      <c r="Q256" t="s">
        <v>73</v>
      </c>
    </row>
    <row r="257" spans="1:17">
      <c r="A257" t="s">
        <v>310</v>
      </c>
      <c r="B257" s="1">
        <v>46059</v>
      </c>
      <c r="C257" t="s">
        <v>18</v>
      </c>
      <c r="D257" t="s">
        <v>63</v>
      </c>
      <c r="E257" t="s">
        <v>20</v>
      </c>
      <c r="F257" t="s">
        <v>35</v>
      </c>
      <c r="G257">
        <v>2</v>
      </c>
      <c r="H257">
        <v>32000</v>
      </c>
      <c r="I257">
        <v>0</v>
      </c>
      <c r="J257">
        <v>64000</v>
      </c>
      <c r="K257">
        <v>64000</v>
      </c>
      <c r="L257">
        <v>52480</v>
      </c>
      <c r="M257">
        <v>982</v>
      </c>
      <c r="N257">
        <v>2420</v>
      </c>
      <c r="O257">
        <v>8118</v>
      </c>
      <c r="P257">
        <v>0.12684375000000001</v>
      </c>
      <c r="Q257" t="s">
        <v>54</v>
      </c>
    </row>
    <row r="258" spans="1:17">
      <c r="A258" t="s">
        <v>311</v>
      </c>
      <c r="B258" s="1">
        <v>45829</v>
      </c>
      <c r="C258" t="s">
        <v>53</v>
      </c>
      <c r="D258" t="s">
        <v>19</v>
      </c>
      <c r="E258" t="s">
        <v>38</v>
      </c>
      <c r="F258" t="s">
        <v>21</v>
      </c>
      <c r="G258">
        <v>2</v>
      </c>
      <c r="H258">
        <v>1500</v>
      </c>
      <c r="I258">
        <v>0.08</v>
      </c>
      <c r="J258">
        <v>3000</v>
      </c>
      <c r="K258">
        <v>2760</v>
      </c>
      <c r="L258">
        <v>1650</v>
      </c>
      <c r="M258">
        <v>989</v>
      </c>
      <c r="N258">
        <v>2103</v>
      </c>
      <c r="O258">
        <v>-1982</v>
      </c>
      <c r="P258">
        <v>-0.71811594202898554</v>
      </c>
      <c r="Q258" t="s">
        <v>39</v>
      </c>
    </row>
    <row r="259" spans="1:17">
      <c r="A259" t="s">
        <v>312</v>
      </c>
      <c r="B259" s="1">
        <v>45890</v>
      </c>
      <c r="C259" t="s">
        <v>50</v>
      </c>
      <c r="D259" t="s">
        <v>25</v>
      </c>
      <c r="E259" t="s">
        <v>26</v>
      </c>
      <c r="F259" t="s">
        <v>35</v>
      </c>
      <c r="G259">
        <v>2</v>
      </c>
      <c r="H259">
        <v>2500</v>
      </c>
      <c r="I259">
        <v>0.1</v>
      </c>
      <c r="J259">
        <v>5000</v>
      </c>
      <c r="K259">
        <v>4500</v>
      </c>
      <c r="L259">
        <v>3100</v>
      </c>
      <c r="M259">
        <v>238</v>
      </c>
      <c r="N259">
        <v>879</v>
      </c>
      <c r="O259">
        <v>283</v>
      </c>
      <c r="P259">
        <v>6.2888888888888883E-2</v>
      </c>
      <c r="Q259" t="s">
        <v>58</v>
      </c>
    </row>
    <row r="260" spans="1:17">
      <c r="A260" t="s">
        <v>313</v>
      </c>
      <c r="B260" s="1">
        <v>45893</v>
      </c>
      <c r="C260" t="s">
        <v>61</v>
      </c>
      <c r="D260" t="s">
        <v>19</v>
      </c>
      <c r="E260" t="s">
        <v>20</v>
      </c>
      <c r="F260" t="s">
        <v>21</v>
      </c>
      <c r="G260">
        <v>6</v>
      </c>
      <c r="H260">
        <v>4500</v>
      </c>
      <c r="I260">
        <v>0.1</v>
      </c>
      <c r="J260">
        <v>27000</v>
      </c>
      <c r="K260">
        <v>24300</v>
      </c>
      <c r="L260">
        <v>17550</v>
      </c>
      <c r="M260">
        <v>846</v>
      </c>
      <c r="N260">
        <v>762</v>
      </c>
      <c r="O260">
        <v>5142</v>
      </c>
      <c r="P260">
        <v>0.2116049382716049</v>
      </c>
      <c r="Q260" t="s">
        <v>58</v>
      </c>
    </row>
    <row r="261" spans="1:17">
      <c r="A261" t="s">
        <v>314</v>
      </c>
      <c r="B261" s="1">
        <v>46198</v>
      </c>
      <c r="C261" t="s">
        <v>75</v>
      </c>
      <c r="D261" t="s">
        <v>51</v>
      </c>
      <c r="E261" t="s">
        <v>26</v>
      </c>
      <c r="F261" t="s">
        <v>21</v>
      </c>
      <c r="G261">
        <v>2</v>
      </c>
      <c r="H261">
        <v>65000</v>
      </c>
      <c r="I261">
        <v>0.08</v>
      </c>
      <c r="J261">
        <v>130000</v>
      </c>
      <c r="K261">
        <v>119600</v>
      </c>
      <c r="L261">
        <v>109200</v>
      </c>
      <c r="M261">
        <v>1689</v>
      </c>
      <c r="N261">
        <v>869</v>
      </c>
      <c r="O261">
        <v>7842</v>
      </c>
      <c r="P261">
        <v>6.55685618729097E-2</v>
      </c>
      <c r="Q261" t="s">
        <v>135</v>
      </c>
    </row>
    <row r="262" spans="1:17">
      <c r="A262" t="s">
        <v>315</v>
      </c>
      <c r="B262" s="1">
        <v>46118</v>
      </c>
      <c r="C262" t="s">
        <v>18</v>
      </c>
      <c r="D262" t="s">
        <v>34</v>
      </c>
      <c r="E262" t="s">
        <v>26</v>
      </c>
      <c r="F262" t="s">
        <v>21</v>
      </c>
      <c r="G262">
        <v>3</v>
      </c>
      <c r="H262">
        <v>32000</v>
      </c>
      <c r="I262">
        <v>0.08</v>
      </c>
      <c r="J262">
        <v>96000</v>
      </c>
      <c r="K262">
        <v>88320</v>
      </c>
      <c r="L262">
        <v>78720</v>
      </c>
      <c r="M262">
        <v>287</v>
      </c>
      <c r="N262">
        <v>1167</v>
      </c>
      <c r="O262">
        <v>8146</v>
      </c>
      <c r="P262">
        <v>9.2232789855072467E-2</v>
      </c>
      <c r="Q262" t="s">
        <v>65</v>
      </c>
    </row>
    <row r="263" spans="1:17">
      <c r="A263" t="s">
        <v>316</v>
      </c>
      <c r="B263" s="1">
        <v>46070</v>
      </c>
      <c r="C263" t="s">
        <v>46</v>
      </c>
      <c r="D263" t="s">
        <v>34</v>
      </c>
      <c r="E263" t="s">
        <v>38</v>
      </c>
      <c r="F263" t="s">
        <v>21</v>
      </c>
      <c r="G263">
        <v>3</v>
      </c>
      <c r="H263">
        <v>18000</v>
      </c>
      <c r="I263">
        <v>0.05</v>
      </c>
      <c r="J263">
        <v>54000</v>
      </c>
      <c r="K263">
        <v>51300</v>
      </c>
      <c r="L263">
        <v>43200</v>
      </c>
      <c r="M263">
        <v>218</v>
      </c>
      <c r="N263">
        <v>122</v>
      </c>
      <c r="O263">
        <v>7760</v>
      </c>
      <c r="P263">
        <v>0.15126705653021441</v>
      </c>
      <c r="Q263" t="s">
        <v>54</v>
      </c>
    </row>
    <row r="264" spans="1:17">
      <c r="A264" t="s">
        <v>317</v>
      </c>
      <c r="B264" s="1">
        <v>45918</v>
      </c>
      <c r="C264" t="s">
        <v>46</v>
      </c>
      <c r="D264" t="s">
        <v>19</v>
      </c>
      <c r="E264" t="s">
        <v>38</v>
      </c>
      <c r="F264" t="s">
        <v>35</v>
      </c>
      <c r="G264">
        <v>1</v>
      </c>
      <c r="H264">
        <v>18000</v>
      </c>
      <c r="I264">
        <v>0.03</v>
      </c>
      <c r="J264">
        <v>18000</v>
      </c>
      <c r="K264">
        <v>17460</v>
      </c>
      <c r="L264">
        <v>14400</v>
      </c>
      <c r="M264">
        <v>561</v>
      </c>
      <c r="N264">
        <v>2276</v>
      </c>
      <c r="O264">
        <v>223</v>
      </c>
      <c r="P264">
        <v>1.277205040091638E-2</v>
      </c>
      <c r="Q264" t="s">
        <v>32</v>
      </c>
    </row>
    <row r="265" spans="1:17">
      <c r="A265" t="s">
        <v>318</v>
      </c>
      <c r="B265" s="1">
        <v>45959</v>
      </c>
      <c r="C265" t="s">
        <v>46</v>
      </c>
      <c r="D265" t="s">
        <v>19</v>
      </c>
      <c r="E265" t="s">
        <v>20</v>
      </c>
      <c r="F265" t="s">
        <v>35</v>
      </c>
      <c r="G265">
        <v>2</v>
      </c>
      <c r="H265">
        <v>18000</v>
      </c>
      <c r="I265">
        <v>0.08</v>
      </c>
      <c r="J265">
        <v>36000</v>
      </c>
      <c r="K265">
        <v>33120</v>
      </c>
      <c r="L265">
        <v>28800</v>
      </c>
      <c r="M265">
        <v>672</v>
      </c>
      <c r="N265">
        <v>1528</v>
      </c>
      <c r="O265">
        <v>2120</v>
      </c>
      <c r="P265">
        <v>6.4009661835748799E-2</v>
      </c>
      <c r="Q265" t="s">
        <v>88</v>
      </c>
    </row>
    <row r="266" spans="1:17">
      <c r="A266" t="s">
        <v>319</v>
      </c>
      <c r="B266" s="1">
        <v>45971</v>
      </c>
      <c r="C266" t="s">
        <v>24</v>
      </c>
      <c r="D266" t="s">
        <v>34</v>
      </c>
      <c r="E266" t="s">
        <v>38</v>
      </c>
      <c r="F266" t="s">
        <v>35</v>
      </c>
      <c r="G266">
        <v>1</v>
      </c>
      <c r="H266">
        <v>3500</v>
      </c>
      <c r="I266">
        <v>0.08</v>
      </c>
      <c r="J266">
        <v>3500</v>
      </c>
      <c r="K266">
        <v>3220</v>
      </c>
      <c r="L266">
        <v>2380</v>
      </c>
      <c r="M266">
        <v>797</v>
      </c>
      <c r="N266">
        <v>2381</v>
      </c>
      <c r="O266">
        <v>-2338</v>
      </c>
      <c r="P266">
        <v>-0.72608695652173916</v>
      </c>
      <c r="Q266" t="s">
        <v>28</v>
      </c>
    </row>
    <row r="267" spans="1:17">
      <c r="A267" t="s">
        <v>320</v>
      </c>
      <c r="B267" s="1">
        <v>45727</v>
      </c>
      <c r="C267" t="s">
        <v>75</v>
      </c>
      <c r="D267" t="s">
        <v>19</v>
      </c>
      <c r="E267" t="s">
        <v>38</v>
      </c>
      <c r="F267" t="s">
        <v>35</v>
      </c>
      <c r="G267">
        <v>2</v>
      </c>
      <c r="H267">
        <v>65000</v>
      </c>
      <c r="I267">
        <v>0.1</v>
      </c>
      <c r="J267">
        <v>130000</v>
      </c>
      <c r="K267">
        <v>117000</v>
      </c>
      <c r="L267">
        <v>109200</v>
      </c>
      <c r="M267">
        <v>1243</v>
      </c>
      <c r="N267">
        <v>1878</v>
      </c>
      <c r="O267">
        <v>4679</v>
      </c>
      <c r="P267">
        <v>3.9991452991452993E-2</v>
      </c>
      <c r="Q267" t="s">
        <v>68</v>
      </c>
    </row>
    <row r="268" spans="1:17">
      <c r="A268" t="s">
        <v>321</v>
      </c>
      <c r="B268" s="1">
        <v>45884</v>
      </c>
      <c r="C268" t="s">
        <v>24</v>
      </c>
      <c r="D268" t="s">
        <v>25</v>
      </c>
      <c r="E268" t="s">
        <v>20</v>
      </c>
      <c r="F268" t="s">
        <v>35</v>
      </c>
      <c r="G268">
        <v>4</v>
      </c>
      <c r="H268">
        <v>3500</v>
      </c>
      <c r="I268">
        <v>0.1</v>
      </c>
      <c r="J268">
        <v>14000</v>
      </c>
      <c r="K268">
        <v>12600</v>
      </c>
      <c r="L268">
        <v>9520</v>
      </c>
      <c r="M268">
        <v>735</v>
      </c>
      <c r="N268">
        <v>1113</v>
      </c>
      <c r="O268">
        <v>1232</v>
      </c>
      <c r="P268">
        <v>9.7777777777777783E-2</v>
      </c>
      <c r="Q268" t="s">
        <v>58</v>
      </c>
    </row>
    <row r="269" spans="1:17">
      <c r="A269" t="s">
        <v>322</v>
      </c>
      <c r="B269" s="1">
        <v>45845</v>
      </c>
      <c r="C269" t="s">
        <v>46</v>
      </c>
      <c r="D269" t="s">
        <v>63</v>
      </c>
      <c r="E269" t="s">
        <v>20</v>
      </c>
      <c r="F269" t="s">
        <v>35</v>
      </c>
      <c r="G269">
        <v>3</v>
      </c>
      <c r="H269">
        <v>18000</v>
      </c>
      <c r="I269">
        <v>0</v>
      </c>
      <c r="J269">
        <v>54000</v>
      </c>
      <c r="K269">
        <v>54000</v>
      </c>
      <c r="L269">
        <v>43200</v>
      </c>
      <c r="M269">
        <v>237</v>
      </c>
      <c r="N269">
        <v>1895</v>
      </c>
      <c r="O269">
        <v>8668</v>
      </c>
      <c r="P269">
        <v>0.1605185185185185</v>
      </c>
      <c r="Q269" t="s">
        <v>36</v>
      </c>
    </row>
    <row r="270" spans="1:17">
      <c r="A270" t="s">
        <v>323</v>
      </c>
      <c r="B270" s="1">
        <v>46157</v>
      </c>
      <c r="C270" t="s">
        <v>18</v>
      </c>
      <c r="D270" t="s">
        <v>31</v>
      </c>
      <c r="E270" t="s">
        <v>20</v>
      </c>
      <c r="F270" t="s">
        <v>21</v>
      </c>
      <c r="G270">
        <v>1</v>
      </c>
      <c r="H270">
        <v>32000</v>
      </c>
      <c r="I270">
        <v>0.08</v>
      </c>
      <c r="J270">
        <v>32000</v>
      </c>
      <c r="K270">
        <v>29440</v>
      </c>
      <c r="L270">
        <v>26240</v>
      </c>
      <c r="M270">
        <v>535</v>
      </c>
      <c r="N270">
        <v>1178</v>
      </c>
      <c r="O270">
        <v>1487</v>
      </c>
      <c r="P270">
        <v>5.0509510869565219E-2</v>
      </c>
      <c r="Q270" t="s">
        <v>73</v>
      </c>
    </row>
    <row r="271" spans="1:17">
      <c r="A271" t="s">
        <v>324</v>
      </c>
      <c r="B271" s="1">
        <v>45976</v>
      </c>
      <c r="C271" t="s">
        <v>61</v>
      </c>
      <c r="D271" t="s">
        <v>34</v>
      </c>
      <c r="E271" t="s">
        <v>20</v>
      </c>
      <c r="F271" t="s">
        <v>21</v>
      </c>
      <c r="G271">
        <v>2</v>
      </c>
      <c r="H271">
        <v>4500</v>
      </c>
      <c r="I271">
        <v>0.08</v>
      </c>
      <c r="J271">
        <v>9000</v>
      </c>
      <c r="K271">
        <v>8280</v>
      </c>
      <c r="L271">
        <v>5850</v>
      </c>
      <c r="M271">
        <v>1411</v>
      </c>
      <c r="N271">
        <v>159</v>
      </c>
      <c r="O271">
        <v>860</v>
      </c>
      <c r="P271">
        <v>0.1038647342995169</v>
      </c>
      <c r="Q271" t="s">
        <v>28</v>
      </c>
    </row>
    <row r="272" spans="1:17">
      <c r="A272" t="s">
        <v>325</v>
      </c>
      <c r="B272" s="1">
        <v>45676</v>
      </c>
      <c r="C272" t="s">
        <v>53</v>
      </c>
      <c r="D272" t="s">
        <v>51</v>
      </c>
      <c r="E272" t="s">
        <v>20</v>
      </c>
      <c r="F272" t="s">
        <v>35</v>
      </c>
      <c r="G272">
        <v>6</v>
      </c>
      <c r="H272">
        <v>1500</v>
      </c>
      <c r="I272">
        <v>0.2</v>
      </c>
      <c r="J272">
        <v>9000</v>
      </c>
      <c r="K272">
        <v>7200</v>
      </c>
      <c r="L272">
        <v>4950</v>
      </c>
      <c r="M272">
        <v>1340</v>
      </c>
      <c r="N272">
        <v>967</v>
      </c>
      <c r="O272">
        <v>-57</v>
      </c>
      <c r="P272">
        <v>-7.9166666666666673E-3</v>
      </c>
      <c r="Q272" t="s">
        <v>56</v>
      </c>
    </row>
    <row r="273" spans="1:17">
      <c r="A273" t="s">
        <v>326</v>
      </c>
      <c r="B273" s="1">
        <v>45960</v>
      </c>
      <c r="C273" t="s">
        <v>18</v>
      </c>
      <c r="D273" t="s">
        <v>19</v>
      </c>
      <c r="E273" t="s">
        <v>26</v>
      </c>
      <c r="F273" t="s">
        <v>35</v>
      </c>
      <c r="G273">
        <v>1</v>
      </c>
      <c r="H273">
        <v>32000</v>
      </c>
      <c r="I273">
        <v>0</v>
      </c>
      <c r="J273">
        <v>32000</v>
      </c>
      <c r="K273">
        <v>32000</v>
      </c>
      <c r="L273">
        <v>26240</v>
      </c>
      <c r="M273">
        <v>1336</v>
      </c>
      <c r="N273">
        <v>575</v>
      </c>
      <c r="O273">
        <v>3849</v>
      </c>
      <c r="P273">
        <v>0.12028125000000001</v>
      </c>
      <c r="Q273" t="s">
        <v>88</v>
      </c>
    </row>
    <row r="274" spans="1:17">
      <c r="A274" t="s">
        <v>327</v>
      </c>
      <c r="B274" s="1">
        <v>45704</v>
      </c>
      <c r="C274" t="s">
        <v>75</v>
      </c>
      <c r="D274" t="s">
        <v>19</v>
      </c>
      <c r="E274" t="s">
        <v>26</v>
      </c>
      <c r="F274" t="s">
        <v>27</v>
      </c>
      <c r="G274">
        <v>1</v>
      </c>
      <c r="H274">
        <v>65000</v>
      </c>
      <c r="I274">
        <v>0.08</v>
      </c>
      <c r="J274">
        <v>65000</v>
      </c>
      <c r="K274">
        <v>59800</v>
      </c>
      <c r="L274">
        <v>54600</v>
      </c>
      <c r="M274">
        <v>859</v>
      </c>
      <c r="N274">
        <v>1875</v>
      </c>
      <c r="O274">
        <v>2466</v>
      </c>
      <c r="P274">
        <v>4.1237458193979927E-2</v>
      </c>
      <c r="Q274" t="s">
        <v>47</v>
      </c>
    </row>
    <row r="275" spans="1:17">
      <c r="A275" t="s">
        <v>328</v>
      </c>
      <c r="B275" s="1">
        <v>46162</v>
      </c>
      <c r="C275" t="s">
        <v>53</v>
      </c>
      <c r="D275" t="s">
        <v>31</v>
      </c>
      <c r="E275" t="s">
        <v>20</v>
      </c>
      <c r="F275" t="s">
        <v>35</v>
      </c>
      <c r="G275">
        <v>3</v>
      </c>
      <c r="H275">
        <v>1500</v>
      </c>
      <c r="I275">
        <v>0.1</v>
      </c>
      <c r="J275">
        <v>4500</v>
      </c>
      <c r="K275">
        <v>4050</v>
      </c>
      <c r="L275">
        <v>2475</v>
      </c>
      <c r="M275">
        <v>801</v>
      </c>
      <c r="N275">
        <v>936</v>
      </c>
      <c r="O275">
        <v>-162</v>
      </c>
      <c r="P275">
        <v>-0.04</v>
      </c>
      <c r="Q275" t="s">
        <v>73</v>
      </c>
    </row>
    <row r="276" spans="1:17">
      <c r="A276" t="s">
        <v>329</v>
      </c>
      <c r="B276" s="1">
        <v>46083</v>
      </c>
      <c r="C276" t="s">
        <v>24</v>
      </c>
      <c r="D276" t="s">
        <v>19</v>
      </c>
      <c r="E276" t="s">
        <v>20</v>
      </c>
      <c r="F276" t="s">
        <v>27</v>
      </c>
      <c r="G276">
        <v>3</v>
      </c>
      <c r="H276">
        <v>3500</v>
      </c>
      <c r="I276">
        <v>0</v>
      </c>
      <c r="J276">
        <v>10500</v>
      </c>
      <c r="K276">
        <v>10500</v>
      </c>
      <c r="L276">
        <v>7140.0000000000009</v>
      </c>
      <c r="M276">
        <v>453</v>
      </c>
      <c r="N276">
        <v>2128</v>
      </c>
      <c r="O276">
        <v>778.99999999999909</v>
      </c>
      <c r="P276">
        <v>7.4190476190476098E-2</v>
      </c>
      <c r="Q276" t="s">
        <v>98</v>
      </c>
    </row>
    <row r="277" spans="1:17">
      <c r="A277" t="s">
        <v>330</v>
      </c>
      <c r="B277" s="1">
        <v>45918</v>
      </c>
      <c r="C277" t="s">
        <v>24</v>
      </c>
      <c r="D277" t="s">
        <v>31</v>
      </c>
      <c r="E277" t="s">
        <v>20</v>
      </c>
      <c r="F277" t="s">
        <v>35</v>
      </c>
      <c r="G277">
        <v>5</v>
      </c>
      <c r="H277">
        <v>3500</v>
      </c>
      <c r="I277">
        <v>0.05</v>
      </c>
      <c r="J277">
        <v>17500</v>
      </c>
      <c r="K277">
        <v>16625</v>
      </c>
      <c r="L277">
        <v>11900</v>
      </c>
      <c r="M277">
        <v>1116</v>
      </c>
      <c r="N277">
        <v>803</v>
      </c>
      <c r="O277">
        <v>2806</v>
      </c>
      <c r="P277">
        <v>0.16878195488721801</v>
      </c>
      <c r="Q277" t="s">
        <v>32</v>
      </c>
    </row>
    <row r="278" spans="1:17">
      <c r="A278" t="s">
        <v>331</v>
      </c>
      <c r="B278" s="1">
        <v>45839</v>
      </c>
      <c r="C278" t="s">
        <v>18</v>
      </c>
      <c r="D278" t="s">
        <v>34</v>
      </c>
      <c r="E278" t="s">
        <v>26</v>
      </c>
      <c r="F278" t="s">
        <v>35</v>
      </c>
      <c r="G278">
        <v>3</v>
      </c>
      <c r="H278">
        <v>32000</v>
      </c>
      <c r="I278">
        <v>0.08</v>
      </c>
      <c r="J278">
        <v>96000</v>
      </c>
      <c r="K278">
        <v>88320</v>
      </c>
      <c r="L278">
        <v>78720</v>
      </c>
      <c r="M278">
        <v>840</v>
      </c>
      <c r="N278">
        <v>1961</v>
      </c>
      <c r="O278">
        <v>6799</v>
      </c>
      <c r="P278">
        <v>7.6981431159420285E-2</v>
      </c>
      <c r="Q278" t="s">
        <v>36</v>
      </c>
    </row>
    <row r="279" spans="1:17">
      <c r="A279" t="s">
        <v>332</v>
      </c>
      <c r="B279" s="1">
        <v>46071</v>
      </c>
      <c r="C279" t="s">
        <v>18</v>
      </c>
      <c r="D279" t="s">
        <v>34</v>
      </c>
      <c r="E279" t="s">
        <v>20</v>
      </c>
      <c r="F279" t="s">
        <v>35</v>
      </c>
      <c r="G279">
        <v>1</v>
      </c>
      <c r="H279">
        <v>32000</v>
      </c>
      <c r="I279">
        <v>0.2</v>
      </c>
      <c r="J279">
        <v>32000</v>
      </c>
      <c r="K279">
        <v>25600</v>
      </c>
      <c r="L279">
        <v>26240</v>
      </c>
      <c r="M279">
        <v>1125</v>
      </c>
      <c r="N279">
        <v>1531</v>
      </c>
      <c r="O279">
        <v>-3296</v>
      </c>
      <c r="P279">
        <v>-0.12875</v>
      </c>
      <c r="Q279" t="s">
        <v>54</v>
      </c>
    </row>
    <row r="280" spans="1:17">
      <c r="A280" t="s">
        <v>333</v>
      </c>
      <c r="B280" s="1">
        <v>45862</v>
      </c>
      <c r="C280" t="s">
        <v>53</v>
      </c>
      <c r="D280" t="s">
        <v>34</v>
      </c>
      <c r="E280" t="s">
        <v>20</v>
      </c>
      <c r="F280" t="s">
        <v>21</v>
      </c>
      <c r="G280">
        <v>6</v>
      </c>
      <c r="H280">
        <v>1500</v>
      </c>
      <c r="I280">
        <v>0.03</v>
      </c>
      <c r="J280">
        <v>9000</v>
      </c>
      <c r="K280">
        <v>8730</v>
      </c>
      <c r="L280">
        <v>4950</v>
      </c>
      <c r="M280">
        <v>1623</v>
      </c>
      <c r="N280">
        <v>2114</v>
      </c>
      <c r="O280">
        <v>43</v>
      </c>
      <c r="P280">
        <v>4.9255441008018326E-3</v>
      </c>
      <c r="Q280" t="s">
        <v>36</v>
      </c>
    </row>
    <row r="281" spans="1:17">
      <c r="A281" t="s">
        <v>334</v>
      </c>
      <c r="B281" s="1">
        <v>46098</v>
      </c>
      <c r="C281" t="s">
        <v>46</v>
      </c>
      <c r="D281" t="s">
        <v>51</v>
      </c>
      <c r="E281" t="s">
        <v>26</v>
      </c>
      <c r="F281" t="s">
        <v>35</v>
      </c>
      <c r="G281">
        <v>3</v>
      </c>
      <c r="H281">
        <v>18000</v>
      </c>
      <c r="I281">
        <v>0</v>
      </c>
      <c r="J281">
        <v>54000</v>
      </c>
      <c r="K281">
        <v>54000</v>
      </c>
      <c r="L281">
        <v>43200</v>
      </c>
      <c r="M281">
        <v>449</v>
      </c>
      <c r="N281">
        <v>974</v>
      </c>
      <c r="O281">
        <v>9377</v>
      </c>
      <c r="P281">
        <v>0.17364814814814811</v>
      </c>
      <c r="Q281" t="s">
        <v>98</v>
      </c>
    </row>
    <row r="282" spans="1:17">
      <c r="A282" t="s">
        <v>335</v>
      </c>
      <c r="B282" s="1">
        <v>46129</v>
      </c>
      <c r="C282" t="s">
        <v>18</v>
      </c>
      <c r="D282" t="s">
        <v>51</v>
      </c>
      <c r="E282" t="s">
        <v>20</v>
      </c>
      <c r="F282" t="s">
        <v>35</v>
      </c>
      <c r="G282">
        <v>2</v>
      </c>
      <c r="H282">
        <v>32000</v>
      </c>
      <c r="I282">
        <v>0.15</v>
      </c>
      <c r="J282">
        <v>64000</v>
      </c>
      <c r="K282">
        <v>54400</v>
      </c>
      <c r="L282">
        <v>52480</v>
      </c>
      <c r="M282">
        <v>871</v>
      </c>
      <c r="N282">
        <v>1271</v>
      </c>
      <c r="O282">
        <v>-222</v>
      </c>
      <c r="P282">
        <v>-4.0808823529411764E-3</v>
      </c>
      <c r="Q282" t="s">
        <v>65</v>
      </c>
    </row>
    <row r="283" spans="1:17">
      <c r="A283" t="s">
        <v>336</v>
      </c>
      <c r="B283" s="1">
        <v>45739</v>
      </c>
      <c r="C283" t="s">
        <v>46</v>
      </c>
      <c r="D283" t="s">
        <v>51</v>
      </c>
      <c r="E283" t="s">
        <v>26</v>
      </c>
      <c r="F283" t="s">
        <v>35</v>
      </c>
      <c r="G283">
        <v>2</v>
      </c>
      <c r="H283">
        <v>18000</v>
      </c>
      <c r="I283">
        <v>0.1</v>
      </c>
      <c r="J283">
        <v>36000</v>
      </c>
      <c r="K283">
        <v>32400</v>
      </c>
      <c r="L283">
        <v>28800</v>
      </c>
      <c r="M283">
        <v>513</v>
      </c>
      <c r="N283">
        <v>2168</v>
      </c>
      <c r="O283">
        <v>919</v>
      </c>
      <c r="P283">
        <v>2.8364197530864201E-2</v>
      </c>
      <c r="Q283" t="s">
        <v>68</v>
      </c>
    </row>
    <row r="284" spans="1:17">
      <c r="A284" t="s">
        <v>337</v>
      </c>
      <c r="B284" s="1">
        <v>46102</v>
      </c>
      <c r="C284" t="s">
        <v>46</v>
      </c>
      <c r="D284" t="s">
        <v>63</v>
      </c>
      <c r="E284" t="s">
        <v>20</v>
      </c>
      <c r="F284" t="s">
        <v>21</v>
      </c>
      <c r="G284">
        <v>1</v>
      </c>
      <c r="H284">
        <v>18000</v>
      </c>
      <c r="I284">
        <v>0.05</v>
      </c>
      <c r="J284">
        <v>18000</v>
      </c>
      <c r="K284">
        <v>17100</v>
      </c>
      <c r="L284">
        <v>14400</v>
      </c>
      <c r="M284">
        <v>1052</v>
      </c>
      <c r="N284">
        <v>483</v>
      </c>
      <c r="O284">
        <v>1165</v>
      </c>
      <c r="P284">
        <v>6.8128654970760233E-2</v>
      </c>
      <c r="Q284" t="s">
        <v>98</v>
      </c>
    </row>
    <row r="285" spans="1:17">
      <c r="A285" t="s">
        <v>338</v>
      </c>
      <c r="B285" s="1">
        <v>46011</v>
      </c>
      <c r="C285" t="s">
        <v>18</v>
      </c>
      <c r="D285" t="s">
        <v>31</v>
      </c>
      <c r="E285" t="s">
        <v>26</v>
      </c>
      <c r="F285" t="s">
        <v>35</v>
      </c>
      <c r="G285">
        <v>2</v>
      </c>
      <c r="H285">
        <v>32000</v>
      </c>
      <c r="I285">
        <v>0</v>
      </c>
      <c r="J285">
        <v>64000</v>
      </c>
      <c r="K285">
        <v>64000</v>
      </c>
      <c r="L285">
        <v>52480</v>
      </c>
      <c r="M285">
        <v>797</v>
      </c>
      <c r="N285">
        <v>2436</v>
      </c>
      <c r="O285">
        <v>8287</v>
      </c>
      <c r="P285">
        <v>0.12948437500000001</v>
      </c>
      <c r="Q285" t="s">
        <v>80</v>
      </c>
    </row>
    <row r="286" spans="1:17">
      <c r="A286" t="s">
        <v>339</v>
      </c>
      <c r="B286" s="1">
        <v>45855</v>
      </c>
      <c r="C286" t="s">
        <v>61</v>
      </c>
      <c r="D286" t="s">
        <v>25</v>
      </c>
      <c r="E286" t="s">
        <v>20</v>
      </c>
      <c r="F286" t="s">
        <v>35</v>
      </c>
      <c r="G286">
        <v>1</v>
      </c>
      <c r="H286">
        <v>4500</v>
      </c>
      <c r="I286">
        <v>0.08</v>
      </c>
      <c r="J286">
        <v>4500</v>
      </c>
      <c r="K286">
        <v>4140</v>
      </c>
      <c r="L286">
        <v>2925</v>
      </c>
      <c r="M286">
        <v>1165</v>
      </c>
      <c r="N286">
        <v>1617</v>
      </c>
      <c r="O286">
        <v>-1567</v>
      </c>
      <c r="P286">
        <v>-0.3785024154589372</v>
      </c>
      <c r="Q286" t="s">
        <v>36</v>
      </c>
    </row>
    <row r="287" spans="1:17">
      <c r="A287" t="s">
        <v>340</v>
      </c>
      <c r="B287" s="1">
        <v>45801</v>
      </c>
      <c r="C287" t="s">
        <v>30</v>
      </c>
      <c r="D287" t="s">
        <v>19</v>
      </c>
      <c r="E287" t="s">
        <v>26</v>
      </c>
      <c r="F287" t="s">
        <v>21</v>
      </c>
      <c r="G287">
        <v>2</v>
      </c>
      <c r="H287">
        <v>28000</v>
      </c>
      <c r="I287">
        <v>0.1</v>
      </c>
      <c r="J287">
        <v>56000</v>
      </c>
      <c r="K287">
        <v>50400</v>
      </c>
      <c r="L287">
        <v>43680</v>
      </c>
      <c r="M287">
        <v>1289</v>
      </c>
      <c r="N287">
        <v>197</v>
      </c>
      <c r="O287">
        <v>5234</v>
      </c>
      <c r="P287">
        <v>0.1038492063492063</v>
      </c>
      <c r="Q287" t="s">
        <v>22</v>
      </c>
    </row>
    <row r="288" spans="1:17">
      <c r="A288" t="s">
        <v>341</v>
      </c>
      <c r="B288" s="1">
        <v>45900</v>
      </c>
      <c r="C288" t="s">
        <v>46</v>
      </c>
      <c r="D288" t="s">
        <v>63</v>
      </c>
      <c r="E288" t="s">
        <v>20</v>
      </c>
      <c r="F288" t="s">
        <v>35</v>
      </c>
      <c r="G288">
        <v>3</v>
      </c>
      <c r="H288">
        <v>18000</v>
      </c>
      <c r="I288">
        <v>0.08</v>
      </c>
      <c r="J288">
        <v>54000</v>
      </c>
      <c r="K288">
        <v>49680</v>
      </c>
      <c r="L288">
        <v>43200</v>
      </c>
      <c r="M288">
        <v>770</v>
      </c>
      <c r="N288">
        <v>710</v>
      </c>
      <c r="O288">
        <v>5000</v>
      </c>
      <c r="P288">
        <v>0.10064412238325279</v>
      </c>
      <c r="Q288" t="s">
        <v>58</v>
      </c>
    </row>
    <row r="289" spans="1:17">
      <c r="A289" t="s">
        <v>342</v>
      </c>
      <c r="B289" s="1">
        <v>46033</v>
      </c>
      <c r="C289" t="s">
        <v>53</v>
      </c>
      <c r="D289" t="s">
        <v>51</v>
      </c>
      <c r="E289" t="s">
        <v>26</v>
      </c>
      <c r="F289" t="s">
        <v>35</v>
      </c>
      <c r="G289">
        <v>2</v>
      </c>
      <c r="H289">
        <v>1500</v>
      </c>
      <c r="I289">
        <v>0.05</v>
      </c>
      <c r="J289">
        <v>3000</v>
      </c>
      <c r="K289">
        <v>2850</v>
      </c>
      <c r="L289">
        <v>1650</v>
      </c>
      <c r="M289">
        <v>1083</v>
      </c>
      <c r="N289">
        <v>2361</v>
      </c>
      <c r="O289">
        <v>-2244</v>
      </c>
      <c r="P289">
        <v>-0.78736842105263161</v>
      </c>
      <c r="Q289" t="s">
        <v>43</v>
      </c>
    </row>
    <row r="290" spans="1:17">
      <c r="A290" t="s">
        <v>343</v>
      </c>
      <c r="B290" s="1">
        <v>45683</v>
      </c>
      <c r="C290" t="s">
        <v>61</v>
      </c>
      <c r="D290" t="s">
        <v>63</v>
      </c>
      <c r="E290" t="s">
        <v>20</v>
      </c>
      <c r="F290" t="s">
        <v>35</v>
      </c>
      <c r="G290">
        <v>3</v>
      </c>
      <c r="H290">
        <v>4500</v>
      </c>
      <c r="I290">
        <v>0.15</v>
      </c>
      <c r="J290">
        <v>13500</v>
      </c>
      <c r="K290">
        <v>11475</v>
      </c>
      <c r="L290">
        <v>8775</v>
      </c>
      <c r="M290">
        <v>879</v>
      </c>
      <c r="N290">
        <v>2205</v>
      </c>
      <c r="O290">
        <v>-384</v>
      </c>
      <c r="P290">
        <v>-3.3464052287581703E-2</v>
      </c>
      <c r="Q290" t="s">
        <v>56</v>
      </c>
    </row>
    <row r="291" spans="1:17">
      <c r="A291" t="s">
        <v>344</v>
      </c>
      <c r="B291" s="1">
        <v>45884</v>
      </c>
      <c r="C291" t="s">
        <v>61</v>
      </c>
      <c r="D291" t="s">
        <v>34</v>
      </c>
      <c r="E291" t="s">
        <v>20</v>
      </c>
      <c r="F291" t="s">
        <v>21</v>
      </c>
      <c r="G291">
        <v>3</v>
      </c>
      <c r="H291">
        <v>4500</v>
      </c>
      <c r="I291">
        <v>0.15</v>
      </c>
      <c r="J291">
        <v>13500</v>
      </c>
      <c r="K291">
        <v>11475</v>
      </c>
      <c r="L291">
        <v>8775</v>
      </c>
      <c r="M291">
        <v>1320</v>
      </c>
      <c r="N291">
        <v>1677</v>
      </c>
      <c r="O291">
        <v>-297</v>
      </c>
      <c r="P291">
        <v>-2.5882352941176471E-2</v>
      </c>
      <c r="Q291" t="s">
        <v>58</v>
      </c>
    </row>
    <row r="292" spans="1:17">
      <c r="A292" t="s">
        <v>345</v>
      </c>
      <c r="B292" s="1">
        <v>46161</v>
      </c>
      <c r="C292" t="s">
        <v>50</v>
      </c>
      <c r="D292" t="s">
        <v>31</v>
      </c>
      <c r="E292" t="s">
        <v>26</v>
      </c>
      <c r="F292" t="s">
        <v>35</v>
      </c>
      <c r="G292">
        <v>2</v>
      </c>
      <c r="H292">
        <v>2500</v>
      </c>
      <c r="I292">
        <v>0</v>
      </c>
      <c r="J292">
        <v>5000</v>
      </c>
      <c r="K292">
        <v>5000</v>
      </c>
      <c r="L292">
        <v>3100</v>
      </c>
      <c r="M292">
        <v>908</v>
      </c>
      <c r="N292">
        <v>406</v>
      </c>
      <c r="O292">
        <v>586</v>
      </c>
      <c r="P292">
        <v>0.1172</v>
      </c>
      <c r="Q292" t="s">
        <v>73</v>
      </c>
    </row>
    <row r="293" spans="1:17">
      <c r="A293" t="s">
        <v>346</v>
      </c>
      <c r="B293" s="1">
        <v>45895</v>
      </c>
      <c r="C293" t="s">
        <v>53</v>
      </c>
      <c r="D293" t="s">
        <v>25</v>
      </c>
      <c r="E293" t="s">
        <v>20</v>
      </c>
      <c r="F293" t="s">
        <v>21</v>
      </c>
      <c r="G293">
        <v>1</v>
      </c>
      <c r="H293">
        <v>1500</v>
      </c>
      <c r="I293">
        <v>0.08</v>
      </c>
      <c r="J293">
        <v>1500</v>
      </c>
      <c r="K293">
        <v>1380</v>
      </c>
      <c r="L293">
        <v>825.00000000000011</v>
      </c>
      <c r="M293">
        <v>1295</v>
      </c>
      <c r="N293">
        <v>1004</v>
      </c>
      <c r="O293">
        <v>-1744</v>
      </c>
      <c r="P293">
        <v>-1.2637681159420291</v>
      </c>
      <c r="Q293" t="s">
        <v>58</v>
      </c>
    </row>
    <row r="294" spans="1:17">
      <c r="A294" t="s">
        <v>347</v>
      </c>
      <c r="B294" s="1">
        <v>45940</v>
      </c>
      <c r="C294" t="s">
        <v>53</v>
      </c>
      <c r="D294" t="s">
        <v>25</v>
      </c>
      <c r="E294" t="s">
        <v>20</v>
      </c>
      <c r="F294" t="s">
        <v>21</v>
      </c>
      <c r="G294">
        <v>2</v>
      </c>
      <c r="H294">
        <v>1500</v>
      </c>
      <c r="I294">
        <v>0.05</v>
      </c>
      <c r="J294">
        <v>3000</v>
      </c>
      <c r="K294">
        <v>2850</v>
      </c>
      <c r="L294">
        <v>1650</v>
      </c>
      <c r="M294">
        <v>586</v>
      </c>
      <c r="N294">
        <v>358</v>
      </c>
      <c r="O294">
        <v>255.9999999999998</v>
      </c>
      <c r="P294">
        <v>8.9824561403508696E-2</v>
      </c>
      <c r="Q294" t="s">
        <v>88</v>
      </c>
    </row>
    <row r="295" spans="1:17">
      <c r="A295" t="s">
        <v>348</v>
      </c>
      <c r="B295" s="1">
        <v>45917</v>
      </c>
      <c r="C295" t="s">
        <v>53</v>
      </c>
      <c r="D295" t="s">
        <v>34</v>
      </c>
      <c r="E295" t="s">
        <v>26</v>
      </c>
      <c r="F295" t="s">
        <v>35</v>
      </c>
      <c r="G295">
        <v>1</v>
      </c>
      <c r="H295">
        <v>1500</v>
      </c>
      <c r="I295">
        <v>0</v>
      </c>
      <c r="J295">
        <v>1500</v>
      </c>
      <c r="K295">
        <v>1500</v>
      </c>
      <c r="L295">
        <v>825.00000000000011</v>
      </c>
      <c r="M295">
        <v>1743</v>
      </c>
      <c r="N295">
        <v>712</v>
      </c>
      <c r="O295">
        <v>-1780</v>
      </c>
      <c r="P295">
        <v>-1.186666666666667</v>
      </c>
      <c r="Q295" t="s">
        <v>32</v>
      </c>
    </row>
    <row r="296" spans="1:17">
      <c r="A296" t="s">
        <v>349</v>
      </c>
      <c r="B296" s="1">
        <v>45766</v>
      </c>
      <c r="C296" t="s">
        <v>46</v>
      </c>
      <c r="D296" t="s">
        <v>51</v>
      </c>
      <c r="E296" t="s">
        <v>26</v>
      </c>
      <c r="F296" t="s">
        <v>21</v>
      </c>
      <c r="G296">
        <v>1</v>
      </c>
      <c r="H296">
        <v>18000</v>
      </c>
      <c r="I296">
        <v>0.1</v>
      </c>
      <c r="J296">
        <v>18000</v>
      </c>
      <c r="K296">
        <v>16200</v>
      </c>
      <c r="L296">
        <v>14400</v>
      </c>
      <c r="M296">
        <v>1013</v>
      </c>
      <c r="N296">
        <v>1252</v>
      </c>
      <c r="O296">
        <v>-465</v>
      </c>
      <c r="P296">
        <v>-2.87037037037037E-2</v>
      </c>
      <c r="Q296" t="s">
        <v>41</v>
      </c>
    </row>
    <row r="297" spans="1:17">
      <c r="A297" t="s">
        <v>350</v>
      </c>
      <c r="B297" s="1">
        <v>46194</v>
      </c>
      <c r="C297" t="s">
        <v>53</v>
      </c>
      <c r="D297" t="s">
        <v>19</v>
      </c>
      <c r="E297" t="s">
        <v>26</v>
      </c>
      <c r="F297" t="s">
        <v>21</v>
      </c>
      <c r="G297">
        <v>4</v>
      </c>
      <c r="H297">
        <v>1500</v>
      </c>
      <c r="I297">
        <v>0.15</v>
      </c>
      <c r="J297">
        <v>6000</v>
      </c>
      <c r="K297">
        <v>5100</v>
      </c>
      <c r="L297">
        <v>3300</v>
      </c>
      <c r="M297">
        <v>1794</v>
      </c>
      <c r="N297">
        <v>346</v>
      </c>
      <c r="O297">
        <v>-340.00000000000051</v>
      </c>
      <c r="P297">
        <v>-6.6666666666666749E-2</v>
      </c>
      <c r="Q297" t="s">
        <v>135</v>
      </c>
    </row>
    <row r="298" spans="1:17">
      <c r="A298" t="s">
        <v>351</v>
      </c>
      <c r="B298" s="1">
        <v>46133</v>
      </c>
      <c r="C298" t="s">
        <v>30</v>
      </c>
      <c r="D298" t="s">
        <v>51</v>
      </c>
      <c r="E298" t="s">
        <v>20</v>
      </c>
      <c r="F298" t="s">
        <v>27</v>
      </c>
      <c r="G298">
        <v>2</v>
      </c>
      <c r="H298">
        <v>28000</v>
      </c>
      <c r="I298">
        <v>0</v>
      </c>
      <c r="J298">
        <v>56000</v>
      </c>
      <c r="K298">
        <v>56000</v>
      </c>
      <c r="L298">
        <v>43680</v>
      </c>
      <c r="M298">
        <v>844</v>
      </c>
      <c r="N298">
        <v>326</v>
      </c>
      <c r="O298">
        <v>11150</v>
      </c>
      <c r="P298">
        <v>0.19910714285714279</v>
      </c>
      <c r="Q298" t="s">
        <v>65</v>
      </c>
    </row>
    <row r="299" spans="1:17">
      <c r="A299" t="s">
        <v>352</v>
      </c>
      <c r="B299" s="1">
        <v>46107</v>
      </c>
      <c r="C299" t="s">
        <v>61</v>
      </c>
      <c r="D299" t="s">
        <v>31</v>
      </c>
      <c r="E299" t="s">
        <v>20</v>
      </c>
      <c r="F299" t="s">
        <v>35</v>
      </c>
      <c r="G299">
        <v>3</v>
      </c>
      <c r="H299">
        <v>4500</v>
      </c>
      <c r="I299">
        <v>0.1</v>
      </c>
      <c r="J299">
        <v>13500</v>
      </c>
      <c r="K299">
        <v>12150</v>
      </c>
      <c r="L299">
        <v>8775</v>
      </c>
      <c r="M299">
        <v>1600</v>
      </c>
      <c r="N299">
        <v>1518</v>
      </c>
      <c r="O299">
        <v>257</v>
      </c>
      <c r="P299">
        <v>2.11522633744856E-2</v>
      </c>
      <c r="Q299" t="s">
        <v>98</v>
      </c>
    </row>
    <row r="300" spans="1:17">
      <c r="A300" t="s">
        <v>353</v>
      </c>
      <c r="B300" s="1">
        <v>45934</v>
      </c>
      <c r="C300" t="s">
        <v>30</v>
      </c>
      <c r="D300" t="s">
        <v>31</v>
      </c>
      <c r="E300" t="s">
        <v>38</v>
      </c>
      <c r="F300" t="s">
        <v>35</v>
      </c>
      <c r="G300">
        <v>2</v>
      </c>
      <c r="H300">
        <v>28000</v>
      </c>
      <c r="I300">
        <v>0.1</v>
      </c>
      <c r="J300">
        <v>56000</v>
      </c>
      <c r="K300">
        <v>50400</v>
      </c>
      <c r="L300">
        <v>43680</v>
      </c>
      <c r="M300">
        <v>675</v>
      </c>
      <c r="N300">
        <v>1921</v>
      </c>
      <c r="O300">
        <v>4124</v>
      </c>
      <c r="P300">
        <v>8.1825396825396829E-2</v>
      </c>
      <c r="Q300" t="s">
        <v>88</v>
      </c>
    </row>
    <row r="301" spans="1:17">
      <c r="A301" t="s">
        <v>354</v>
      </c>
      <c r="B301" s="1">
        <v>45995</v>
      </c>
      <c r="C301" t="s">
        <v>24</v>
      </c>
      <c r="D301" t="s">
        <v>25</v>
      </c>
      <c r="E301" t="s">
        <v>26</v>
      </c>
      <c r="F301" t="s">
        <v>35</v>
      </c>
      <c r="G301">
        <v>3</v>
      </c>
      <c r="H301">
        <v>3500</v>
      </c>
      <c r="I301">
        <v>0</v>
      </c>
      <c r="J301">
        <v>10500</v>
      </c>
      <c r="K301">
        <v>10500</v>
      </c>
      <c r="L301">
        <v>7140.0000000000009</v>
      </c>
      <c r="M301">
        <v>240</v>
      </c>
      <c r="N301">
        <v>2454</v>
      </c>
      <c r="O301">
        <v>665.99999999999909</v>
      </c>
      <c r="P301">
        <v>6.3428571428571348E-2</v>
      </c>
      <c r="Q301" t="s">
        <v>80</v>
      </c>
    </row>
    <row r="302" spans="1:17">
      <c r="A302" t="s">
        <v>355</v>
      </c>
      <c r="B302" s="1">
        <v>45946</v>
      </c>
      <c r="C302" t="s">
        <v>46</v>
      </c>
      <c r="D302" t="s">
        <v>31</v>
      </c>
      <c r="E302" t="s">
        <v>26</v>
      </c>
      <c r="F302" t="s">
        <v>35</v>
      </c>
      <c r="G302">
        <v>2</v>
      </c>
      <c r="H302">
        <v>18000</v>
      </c>
      <c r="I302">
        <v>0.1</v>
      </c>
      <c r="J302">
        <v>36000</v>
      </c>
      <c r="K302">
        <v>32400</v>
      </c>
      <c r="L302">
        <v>28800</v>
      </c>
      <c r="M302">
        <v>819</v>
      </c>
      <c r="N302">
        <v>1774</v>
      </c>
      <c r="O302">
        <v>1007</v>
      </c>
      <c r="P302">
        <v>3.1080246913580249E-2</v>
      </c>
      <c r="Q302" t="s">
        <v>88</v>
      </c>
    </row>
    <row r="303" spans="1:17">
      <c r="A303" t="s">
        <v>356</v>
      </c>
      <c r="B303" s="1">
        <v>45781</v>
      </c>
      <c r="C303" t="s">
        <v>50</v>
      </c>
      <c r="D303" t="s">
        <v>63</v>
      </c>
      <c r="E303" t="s">
        <v>38</v>
      </c>
      <c r="F303" t="s">
        <v>35</v>
      </c>
      <c r="G303">
        <v>4</v>
      </c>
      <c r="H303">
        <v>2500</v>
      </c>
      <c r="I303">
        <v>0.08</v>
      </c>
      <c r="J303">
        <v>10000</v>
      </c>
      <c r="K303">
        <v>9200</v>
      </c>
      <c r="L303">
        <v>6200</v>
      </c>
      <c r="M303">
        <v>653</v>
      </c>
      <c r="N303">
        <v>2348</v>
      </c>
      <c r="O303">
        <v>-1</v>
      </c>
      <c r="P303">
        <v>-1.0869565217391299E-4</v>
      </c>
      <c r="Q303" t="s">
        <v>22</v>
      </c>
    </row>
    <row r="304" spans="1:17">
      <c r="A304" t="s">
        <v>357</v>
      </c>
      <c r="B304" s="1">
        <v>45884</v>
      </c>
      <c r="C304" t="s">
        <v>18</v>
      </c>
      <c r="D304" t="s">
        <v>63</v>
      </c>
      <c r="E304" t="s">
        <v>20</v>
      </c>
      <c r="F304" t="s">
        <v>21</v>
      </c>
      <c r="G304">
        <v>3</v>
      </c>
      <c r="H304">
        <v>32000</v>
      </c>
      <c r="I304">
        <v>0.1</v>
      </c>
      <c r="J304">
        <v>96000</v>
      </c>
      <c r="K304">
        <v>86400</v>
      </c>
      <c r="L304">
        <v>78720</v>
      </c>
      <c r="M304">
        <v>342</v>
      </c>
      <c r="N304">
        <v>632</v>
      </c>
      <c r="O304">
        <v>6706</v>
      </c>
      <c r="P304">
        <v>7.7615740740740735E-2</v>
      </c>
      <c r="Q304" t="s">
        <v>58</v>
      </c>
    </row>
    <row r="305" spans="1:17">
      <c r="A305" t="s">
        <v>358</v>
      </c>
      <c r="B305" s="1">
        <v>45864</v>
      </c>
      <c r="C305" t="s">
        <v>61</v>
      </c>
      <c r="D305" t="s">
        <v>25</v>
      </c>
      <c r="E305" t="s">
        <v>26</v>
      </c>
      <c r="F305" t="s">
        <v>27</v>
      </c>
      <c r="G305">
        <v>4</v>
      </c>
      <c r="H305">
        <v>4500</v>
      </c>
      <c r="I305">
        <v>0.15</v>
      </c>
      <c r="J305">
        <v>18000</v>
      </c>
      <c r="K305">
        <v>15300</v>
      </c>
      <c r="L305">
        <v>11700</v>
      </c>
      <c r="M305">
        <v>750</v>
      </c>
      <c r="N305">
        <v>492</v>
      </c>
      <c r="O305">
        <v>2358</v>
      </c>
      <c r="P305">
        <v>0.1541176470588235</v>
      </c>
      <c r="Q305" t="s">
        <v>36</v>
      </c>
    </row>
    <row r="306" spans="1:17">
      <c r="A306" t="s">
        <v>359</v>
      </c>
      <c r="B306" s="1">
        <v>46158</v>
      </c>
      <c r="C306" t="s">
        <v>50</v>
      </c>
      <c r="D306" t="s">
        <v>34</v>
      </c>
      <c r="E306" t="s">
        <v>20</v>
      </c>
      <c r="F306" t="s">
        <v>27</v>
      </c>
      <c r="G306">
        <v>7</v>
      </c>
      <c r="H306">
        <v>2500</v>
      </c>
      <c r="I306">
        <v>0.03</v>
      </c>
      <c r="J306">
        <v>17500</v>
      </c>
      <c r="K306">
        <v>16975</v>
      </c>
      <c r="L306">
        <v>10850</v>
      </c>
      <c r="M306">
        <v>1577</v>
      </c>
      <c r="N306">
        <v>241</v>
      </c>
      <c r="O306">
        <v>4307</v>
      </c>
      <c r="P306">
        <v>0.25372606774668632</v>
      </c>
      <c r="Q306" t="s">
        <v>73</v>
      </c>
    </row>
    <row r="307" spans="1:17">
      <c r="A307" t="s">
        <v>360</v>
      </c>
      <c r="B307" s="1">
        <v>45927</v>
      </c>
      <c r="C307" t="s">
        <v>61</v>
      </c>
      <c r="D307" t="s">
        <v>25</v>
      </c>
      <c r="E307" t="s">
        <v>38</v>
      </c>
      <c r="F307" t="s">
        <v>35</v>
      </c>
      <c r="G307">
        <v>3</v>
      </c>
      <c r="H307">
        <v>4500</v>
      </c>
      <c r="I307">
        <v>0.05</v>
      </c>
      <c r="J307">
        <v>13500</v>
      </c>
      <c r="K307">
        <v>12825</v>
      </c>
      <c r="L307">
        <v>8775</v>
      </c>
      <c r="M307">
        <v>480</v>
      </c>
      <c r="N307">
        <v>523</v>
      </c>
      <c r="O307">
        <v>3047</v>
      </c>
      <c r="P307">
        <v>0.23758284600389859</v>
      </c>
      <c r="Q307" t="s">
        <v>32</v>
      </c>
    </row>
    <row r="308" spans="1:17">
      <c r="A308" t="s">
        <v>361</v>
      </c>
      <c r="B308" s="1">
        <v>45932</v>
      </c>
      <c r="C308" t="s">
        <v>75</v>
      </c>
      <c r="D308" t="s">
        <v>63</v>
      </c>
      <c r="E308" t="s">
        <v>38</v>
      </c>
      <c r="F308" t="s">
        <v>27</v>
      </c>
      <c r="G308">
        <v>3</v>
      </c>
      <c r="H308">
        <v>65000</v>
      </c>
      <c r="I308">
        <v>0.2</v>
      </c>
      <c r="J308">
        <v>195000</v>
      </c>
      <c r="K308">
        <v>156000</v>
      </c>
      <c r="L308">
        <v>163800</v>
      </c>
      <c r="M308">
        <v>1098</v>
      </c>
      <c r="N308">
        <v>1549</v>
      </c>
      <c r="O308">
        <v>-10447</v>
      </c>
      <c r="P308">
        <v>-6.6967948717948714E-2</v>
      </c>
      <c r="Q308" t="s">
        <v>88</v>
      </c>
    </row>
    <row r="309" spans="1:17">
      <c r="A309" t="s">
        <v>362</v>
      </c>
      <c r="B309" s="1">
        <v>46165</v>
      </c>
      <c r="C309" t="s">
        <v>61</v>
      </c>
      <c r="D309" t="s">
        <v>19</v>
      </c>
      <c r="E309" t="s">
        <v>38</v>
      </c>
      <c r="F309" t="s">
        <v>35</v>
      </c>
      <c r="G309">
        <v>7</v>
      </c>
      <c r="H309">
        <v>4500</v>
      </c>
      <c r="I309">
        <v>0.08</v>
      </c>
      <c r="J309">
        <v>31500</v>
      </c>
      <c r="K309">
        <v>28980</v>
      </c>
      <c r="L309">
        <v>20475</v>
      </c>
      <c r="M309">
        <v>1598</v>
      </c>
      <c r="N309">
        <v>732</v>
      </c>
      <c r="O309">
        <v>6175</v>
      </c>
      <c r="P309">
        <v>0.21307798481711529</v>
      </c>
      <c r="Q309" t="s">
        <v>73</v>
      </c>
    </row>
    <row r="310" spans="1:17">
      <c r="A310" t="s">
        <v>363</v>
      </c>
      <c r="B310" s="1">
        <v>45922</v>
      </c>
      <c r="C310" t="s">
        <v>61</v>
      </c>
      <c r="D310" t="s">
        <v>63</v>
      </c>
      <c r="E310" t="s">
        <v>20</v>
      </c>
      <c r="F310" t="s">
        <v>35</v>
      </c>
      <c r="G310">
        <v>5</v>
      </c>
      <c r="H310">
        <v>4500</v>
      </c>
      <c r="I310">
        <v>0.08</v>
      </c>
      <c r="J310">
        <v>22500</v>
      </c>
      <c r="K310">
        <v>20700</v>
      </c>
      <c r="L310">
        <v>14625</v>
      </c>
      <c r="M310">
        <v>1135</v>
      </c>
      <c r="N310">
        <v>385</v>
      </c>
      <c r="O310">
        <v>4555</v>
      </c>
      <c r="P310">
        <v>0.22004830917874399</v>
      </c>
      <c r="Q310" t="s">
        <v>32</v>
      </c>
    </row>
    <row r="311" spans="1:17">
      <c r="A311" t="s">
        <v>364</v>
      </c>
      <c r="B311" s="1">
        <v>45698</v>
      </c>
      <c r="C311" t="s">
        <v>50</v>
      </c>
      <c r="D311" t="s">
        <v>31</v>
      </c>
      <c r="E311" t="s">
        <v>20</v>
      </c>
      <c r="F311" t="s">
        <v>27</v>
      </c>
      <c r="G311">
        <v>5</v>
      </c>
      <c r="H311">
        <v>2500</v>
      </c>
      <c r="I311">
        <v>0.05</v>
      </c>
      <c r="J311">
        <v>12500</v>
      </c>
      <c r="K311">
        <v>11875</v>
      </c>
      <c r="L311">
        <v>7750</v>
      </c>
      <c r="M311">
        <v>533</v>
      </c>
      <c r="N311">
        <v>2369</v>
      </c>
      <c r="O311">
        <v>1223</v>
      </c>
      <c r="P311">
        <v>0.10298947368421051</v>
      </c>
      <c r="Q311" t="s">
        <v>47</v>
      </c>
    </row>
    <row r="312" spans="1:17">
      <c r="A312" t="s">
        <v>365</v>
      </c>
      <c r="B312" s="1">
        <v>45673</v>
      </c>
      <c r="C312" t="s">
        <v>30</v>
      </c>
      <c r="D312" t="s">
        <v>51</v>
      </c>
      <c r="E312" t="s">
        <v>38</v>
      </c>
      <c r="F312" t="s">
        <v>35</v>
      </c>
      <c r="G312">
        <v>1</v>
      </c>
      <c r="H312">
        <v>28000</v>
      </c>
      <c r="I312">
        <v>0.05</v>
      </c>
      <c r="J312">
        <v>28000</v>
      </c>
      <c r="K312">
        <v>26600</v>
      </c>
      <c r="L312">
        <v>21840</v>
      </c>
      <c r="M312">
        <v>1350</v>
      </c>
      <c r="N312">
        <v>1378</v>
      </c>
      <c r="O312">
        <v>2032</v>
      </c>
      <c r="P312">
        <v>7.6390977443609023E-2</v>
      </c>
      <c r="Q312" t="s">
        <v>56</v>
      </c>
    </row>
    <row r="313" spans="1:17">
      <c r="A313" t="s">
        <v>366</v>
      </c>
      <c r="B313" s="1">
        <v>46126</v>
      </c>
      <c r="C313" t="s">
        <v>53</v>
      </c>
      <c r="D313" t="s">
        <v>51</v>
      </c>
      <c r="E313" t="s">
        <v>20</v>
      </c>
      <c r="F313" t="s">
        <v>21</v>
      </c>
      <c r="G313">
        <v>3</v>
      </c>
      <c r="H313">
        <v>1500</v>
      </c>
      <c r="I313">
        <v>0.03</v>
      </c>
      <c r="J313">
        <v>4500</v>
      </c>
      <c r="K313">
        <v>4365</v>
      </c>
      <c r="L313">
        <v>2475</v>
      </c>
      <c r="M313">
        <v>693</v>
      </c>
      <c r="N313">
        <v>1685</v>
      </c>
      <c r="O313">
        <v>-488</v>
      </c>
      <c r="P313">
        <v>-0.1117983963344788</v>
      </c>
      <c r="Q313" t="s">
        <v>65</v>
      </c>
    </row>
    <row r="314" spans="1:17">
      <c r="A314" t="s">
        <v>367</v>
      </c>
      <c r="B314" s="1">
        <v>45981</v>
      </c>
      <c r="C314" t="s">
        <v>50</v>
      </c>
      <c r="D314" t="s">
        <v>19</v>
      </c>
      <c r="E314" t="s">
        <v>38</v>
      </c>
      <c r="F314" t="s">
        <v>27</v>
      </c>
      <c r="G314">
        <v>4</v>
      </c>
      <c r="H314">
        <v>2500</v>
      </c>
      <c r="I314">
        <v>0</v>
      </c>
      <c r="J314">
        <v>10000</v>
      </c>
      <c r="K314">
        <v>10000</v>
      </c>
      <c r="L314">
        <v>6200</v>
      </c>
      <c r="M314">
        <v>1424</v>
      </c>
      <c r="N314">
        <v>2028</v>
      </c>
      <c r="O314">
        <v>348</v>
      </c>
      <c r="P314">
        <v>3.4799999999999998E-2</v>
      </c>
      <c r="Q314" t="s">
        <v>28</v>
      </c>
    </row>
    <row r="315" spans="1:17">
      <c r="A315" t="s">
        <v>368</v>
      </c>
      <c r="B315" s="1">
        <v>46095</v>
      </c>
      <c r="C315" t="s">
        <v>75</v>
      </c>
      <c r="D315" t="s">
        <v>31</v>
      </c>
      <c r="E315" t="s">
        <v>20</v>
      </c>
      <c r="F315" t="s">
        <v>35</v>
      </c>
      <c r="G315">
        <v>1</v>
      </c>
      <c r="H315">
        <v>65000</v>
      </c>
      <c r="I315">
        <v>0.1</v>
      </c>
      <c r="J315">
        <v>65000</v>
      </c>
      <c r="K315">
        <v>58500</v>
      </c>
      <c r="L315">
        <v>54600</v>
      </c>
      <c r="M315">
        <v>1647</v>
      </c>
      <c r="N315">
        <v>2479</v>
      </c>
      <c r="O315">
        <v>-226</v>
      </c>
      <c r="P315">
        <v>-3.8632478632478632E-3</v>
      </c>
      <c r="Q315" t="s">
        <v>98</v>
      </c>
    </row>
    <row r="316" spans="1:17">
      <c r="A316" t="s">
        <v>369</v>
      </c>
      <c r="B316" s="1">
        <v>46190</v>
      </c>
      <c r="C316" t="s">
        <v>50</v>
      </c>
      <c r="D316" t="s">
        <v>19</v>
      </c>
      <c r="E316" t="s">
        <v>20</v>
      </c>
      <c r="F316" t="s">
        <v>21</v>
      </c>
      <c r="G316">
        <v>2</v>
      </c>
      <c r="H316">
        <v>2500</v>
      </c>
      <c r="I316">
        <v>0.03</v>
      </c>
      <c r="J316">
        <v>5000</v>
      </c>
      <c r="K316">
        <v>4850</v>
      </c>
      <c r="L316">
        <v>3100</v>
      </c>
      <c r="M316">
        <v>605</v>
      </c>
      <c r="N316">
        <v>2379</v>
      </c>
      <c r="O316">
        <v>-1234</v>
      </c>
      <c r="P316">
        <v>-0.25443298969072159</v>
      </c>
      <c r="Q316" t="s">
        <v>135</v>
      </c>
    </row>
    <row r="317" spans="1:17">
      <c r="A317" t="s">
        <v>370</v>
      </c>
      <c r="B317" s="1">
        <v>46063</v>
      </c>
      <c r="C317" t="s">
        <v>50</v>
      </c>
      <c r="D317" t="s">
        <v>31</v>
      </c>
      <c r="E317" t="s">
        <v>20</v>
      </c>
      <c r="F317" t="s">
        <v>21</v>
      </c>
      <c r="G317">
        <v>4</v>
      </c>
      <c r="H317">
        <v>2500</v>
      </c>
      <c r="I317">
        <v>0.08</v>
      </c>
      <c r="J317">
        <v>10000</v>
      </c>
      <c r="K317">
        <v>9200</v>
      </c>
      <c r="L317">
        <v>6200</v>
      </c>
      <c r="M317">
        <v>547</v>
      </c>
      <c r="N317">
        <v>871</v>
      </c>
      <c r="O317">
        <v>1582</v>
      </c>
      <c r="P317">
        <v>0.1719565217391304</v>
      </c>
      <c r="Q317" t="s">
        <v>54</v>
      </c>
    </row>
    <row r="318" spans="1:17">
      <c r="A318" t="s">
        <v>371</v>
      </c>
      <c r="B318" s="1">
        <v>45744</v>
      </c>
      <c r="C318" t="s">
        <v>30</v>
      </c>
      <c r="D318" t="s">
        <v>34</v>
      </c>
      <c r="E318" t="s">
        <v>20</v>
      </c>
      <c r="F318" t="s">
        <v>35</v>
      </c>
      <c r="G318">
        <v>2</v>
      </c>
      <c r="H318">
        <v>28000</v>
      </c>
      <c r="I318">
        <v>0.05</v>
      </c>
      <c r="J318">
        <v>56000</v>
      </c>
      <c r="K318">
        <v>53200</v>
      </c>
      <c r="L318">
        <v>43680</v>
      </c>
      <c r="M318">
        <v>1584</v>
      </c>
      <c r="N318">
        <v>1892</v>
      </c>
      <c r="O318">
        <v>6044</v>
      </c>
      <c r="P318">
        <v>0.11360902255639101</v>
      </c>
      <c r="Q318" t="s">
        <v>68</v>
      </c>
    </row>
    <row r="319" spans="1:17">
      <c r="A319" t="s">
        <v>372</v>
      </c>
      <c r="B319" s="1">
        <v>46124</v>
      </c>
      <c r="C319" t="s">
        <v>75</v>
      </c>
      <c r="D319" t="s">
        <v>31</v>
      </c>
      <c r="E319" t="s">
        <v>20</v>
      </c>
      <c r="F319" t="s">
        <v>21</v>
      </c>
      <c r="G319">
        <v>1</v>
      </c>
      <c r="H319">
        <v>65000</v>
      </c>
      <c r="I319">
        <v>0.05</v>
      </c>
      <c r="J319">
        <v>65000</v>
      </c>
      <c r="K319">
        <v>61750</v>
      </c>
      <c r="L319">
        <v>54600</v>
      </c>
      <c r="M319">
        <v>929</v>
      </c>
      <c r="N319">
        <v>382</v>
      </c>
      <c r="O319">
        <v>5839</v>
      </c>
      <c r="P319">
        <v>9.4558704453441292E-2</v>
      </c>
      <c r="Q319" t="s">
        <v>65</v>
      </c>
    </row>
    <row r="320" spans="1:17">
      <c r="A320" t="s">
        <v>373</v>
      </c>
      <c r="B320" s="1">
        <v>46089</v>
      </c>
      <c r="C320" t="s">
        <v>24</v>
      </c>
      <c r="D320" t="s">
        <v>51</v>
      </c>
      <c r="E320" t="s">
        <v>20</v>
      </c>
      <c r="F320" t="s">
        <v>21</v>
      </c>
      <c r="G320">
        <v>1</v>
      </c>
      <c r="H320">
        <v>3500</v>
      </c>
      <c r="I320">
        <v>0.08</v>
      </c>
      <c r="J320">
        <v>3500</v>
      </c>
      <c r="K320">
        <v>3220</v>
      </c>
      <c r="L320">
        <v>2380</v>
      </c>
      <c r="M320">
        <v>341</v>
      </c>
      <c r="N320">
        <v>1414</v>
      </c>
      <c r="O320">
        <v>-915</v>
      </c>
      <c r="P320">
        <v>-0.28416149068322982</v>
      </c>
      <c r="Q320" t="s">
        <v>98</v>
      </c>
    </row>
    <row r="321" spans="1:17">
      <c r="A321" t="s">
        <v>374</v>
      </c>
      <c r="B321" s="1">
        <v>45793</v>
      </c>
      <c r="C321" t="s">
        <v>24</v>
      </c>
      <c r="D321" t="s">
        <v>19</v>
      </c>
      <c r="E321" t="s">
        <v>38</v>
      </c>
      <c r="F321" t="s">
        <v>35</v>
      </c>
      <c r="G321">
        <v>6</v>
      </c>
      <c r="H321">
        <v>3500</v>
      </c>
      <c r="I321">
        <v>0.15</v>
      </c>
      <c r="J321">
        <v>21000</v>
      </c>
      <c r="K321">
        <v>17850</v>
      </c>
      <c r="L321">
        <v>14280</v>
      </c>
      <c r="M321">
        <v>1080</v>
      </c>
      <c r="N321">
        <v>1313</v>
      </c>
      <c r="O321">
        <v>1176.999999999998</v>
      </c>
      <c r="P321">
        <v>6.5938375350139952E-2</v>
      </c>
      <c r="Q321" t="s">
        <v>22</v>
      </c>
    </row>
    <row r="322" spans="1:17">
      <c r="A322" t="s">
        <v>375</v>
      </c>
      <c r="B322" s="1">
        <v>46020</v>
      </c>
      <c r="C322" t="s">
        <v>18</v>
      </c>
      <c r="D322" t="s">
        <v>34</v>
      </c>
      <c r="E322" t="s">
        <v>38</v>
      </c>
      <c r="F322" t="s">
        <v>35</v>
      </c>
      <c r="G322">
        <v>1</v>
      </c>
      <c r="H322">
        <v>32000</v>
      </c>
      <c r="I322">
        <v>0.05</v>
      </c>
      <c r="J322">
        <v>32000</v>
      </c>
      <c r="K322">
        <v>30400</v>
      </c>
      <c r="L322">
        <v>26240</v>
      </c>
      <c r="M322">
        <v>903</v>
      </c>
      <c r="N322">
        <v>417</v>
      </c>
      <c r="O322">
        <v>2840</v>
      </c>
      <c r="P322">
        <v>9.3421052631578946E-2</v>
      </c>
      <c r="Q322" t="s">
        <v>80</v>
      </c>
    </row>
    <row r="323" spans="1:17">
      <c r="A323" t="s">
        <v>376</v>
      </c>
      <c r="B323" s="1">
        <v>45840</v>
      </c>
      <c r="C323" t="s">
        <v>24</v>
      </c>
      <c r="D323" t="s">
        <v>63</v>
      </c>
      <c r="E323" t="s">
        <v>20</v>
      </c>
      <c r="F323" t="s">
        <v>21</v>
      </c>
      <c r="G323">
        <v>1</v>
      </c>
      <c r="H323">
        <v>3500</v>
      </c>
      <c r="I323">
        <v>0.08</v>
      </c>
      <c r="J323">
        <v>3500</v>
      </c>
      <c r="K323">
        <v>3220</v>
      </c>
      <c r="L323">
        <v>2380</v>
      </c>
      <c r="M323">
        <v>1055</v>
      </c>
      <c r="N323">
        <v>1912</v>
      </c>
      <c r="O323">
        <v>-2127</v>
      </c>
      <c r="P323">
        <v>-0.66055900621118013</v>
      </c>
      <c r="Q323" t="s">
        <v>36</v>
      </c>
    </row>
    <row r="324" spans="1:17">
      <c r="A324" t="s">
        <v>377</v>
      </c>
      <c r="B324" s="1">
        <v>45825</v>
      </c>
      <c r="C324" t="s">
        <v>61</v>
      </c>
      <c r="D324" t="s">
        <v>31</v>
      </c>
      <c r="E324" t="s">
        <v>26</v>
      </c>
      <c r="F324" t="s">
        <v>27</v>
      </c>
      <c r="G324">
        <v>3</v>
      </c>
      <c r="H324">
        <v>4500</v>
      </c>
      <c r="I324">
        <v>0.05</v>
      </c>
      <c r="J324">
        <v>13500</v>
      </c>
      <c r="K324">
        <v>12825</v>
      </c>
      <c r="L324">
        <v>8775</v>
      </c>
      <c r="M324">
        <v>326</v>
      </c>
      <c r="N324">
        <v>100</v>
      </c>
      <c r="O324">
        <v>3624</v>
      </c>
      <c r="P324">
        <v>0.2825730994152047</v>
      </c>
      <c r="Q324" t="s">
        <v>39</v>
      </c>
    </row>
    <row r="325" spans="1:17">
      <c r="A325" t="s">
        <v>378</v>
      </c>
      <c r="B325" s="1">
        <v>45958</v>
      </c>
      <c r="C325" t="s">
        <v>24</v>
      </c>
      <c r="D325" t="s">
        <v>25</v>
      </c>
      <c r="E325" t="s">
        <v>38</v>
      </c>
      <c r="F325" t="s">
        <v>21</v>
      </c>
      <c r="G325">
        <v>5</v>
      </c>
      <c r="H325">
        <v>3500</v>
      </c>
      <c r="I325">
        <v>0.03</v>
      </c>
      <c r="J325">
        <v>17500</v>
      </c>
      <c r="K325">
        <v>16975</v>
      </c>
      <c r="L325">
        <v>11900</v>
      </c>
      <c r="M325">
        <v>644</v>
      </c>
      <c r="N325">
        <v>2052</v>
      </c>
      <c r="O325">
        <v>2379</v>
      </c>
      <c r="P325">
        <v>0.1401472754050074</v>
      </c>
      <c r="Q325" t="s">
        <v>88</v>
      </c>
    </row>
    <row r="326" spans="1:17">
      <c r="A326" t="s">
        <v>379</v>
      </c>
      <c r="B326" s="1">
        <v>45981</v>
      </c>
      <c r="C326" t="s">
        <v>46</v>
      </c>
      <c r="D326" t="s">
        <v>34</v>
      </c>
      <c r="E326" t="s">
        <v>38</v>
      </c>
      <c r="F326" t="s">
        <v>21</v>
      </c>
      <c r="G326">
        <v>1</v>
      </c>
      <c r="H326">
        <v>18000</v>
      </c>
      <c r="I326">
        <v>0.08</v>
      </c>
      <c r="J326">
        <v>18000</v>
      </c>
      <c r="K326">
        <v>16560</v>
      </c>
      <c r="L326">
        <v>14400</v>
      </c>
      <c r="M326">
        <v>1566</v>
      </c>
      <c r="N326">
        <v>826</v>
      </c>
      <c r="O326">
        <v>-232</v>
      </c>
      <c r="P326">
        <v>-1.4009661835748789E-2</v>
      </c>
      <c r="Q326" t="s">
        <v>28</v>
      </c>
    </row>
    <row r="327" spans="1:17">
      <c r="A327" t="s">
        <v>380</v>
      </c>
      <c r="B327" s="1">
        <v>45770</v>
      </c>
      <c r="C327" t="s">
        <v>24</v>
      </c>
      <c r="D327" t="s">
        <v>63</v>
      </c>
      <c r="E327" t="s">
        <v>20</v>
      </c>
      <c r="F327" t="s">
        <v>35</v>
      </c>
      <c r="G327">
        <v>3</v>
      </c>
      <c r="H327">
        <v>3500</v>
      </c>
      <c r="I327">
        <v>0.08</v>
      </c>
      <c r="J327">
        <v>10500</v>
      </c>
      <c r="K327">
        <v>9660</v>
      </c>
      <c r="L327">
        <v>7140.0000000000009</v>
      </c>
      <c r="M327">
        <v>1135</v>
      </c>
      <c r="N327">
        <v>1207</v>
      </c>
      <c r="O327">
        <v>177.99999999999909</v>
      </c>
      <c r="P327">
        <v>1.842650103519659E-2</v>
      </c>
      <c r="Q327" t="s">
        <v>41</v>
      </c>
    </row>
    <row r="328" spans="1:17">
      <c r="A328" t="s">
        <v>381</v>
      </c>
      <c r="B328" s="1">
        <v>46107</v>
      </c>
      <c r="C328" t="s">
        <v>75</v>
      </c>
      <c r="D328" t="s">
        <v>19</v>
      </c>
      <c r="E328" t="s">
        <v>26</v>
      </c>
      <c r="F328" t="s">
        <v>35</v>
      </c>
      <c r="G328">
        <v>3</v>
      </c>
      <c r="H328">
        <v>65000</v>
      </c>
      <c r="I328">
        <v>0.05</v>
      </c>
      <c r="J328">
        <v>195000</v>
      </c>
      <c r="K328">
        <v>185250</v>
      </c>
      <c r="L328">
        <v>163800</v>
      </c>
      <c r="M328">
        <v>304</v>
      </c>
      <c r="N328">
        <v>301</v>
      </c>
      <c r="O328">
        <v>20845</v>
      </c>
      <c r="P328">
        <v>0.112523616734143</v>
      </c>
      <c r="Q328" t="s">
        <v>98</v>
      </c>
    </row>
    <row r="329" spans="1:17">
      <c r="A329" t="s">
        <v>382</v>
      </c>
      <c r="B329" s="1">
        <v>45741</v>
      </c>
      <c r="C329" t="s">
        <v>30</v>
      </c>
      <c r="D329" t="s">
        <v>34</v>
      </c>
      <c r="E329" t="s">
        <v>20</v>
      </c>
      <c r="F329" t="s">
        <v>27</v>
      </c>
      <c r="G329">
        <v>3</v>
      </c>
      <c r="H329">
        <v>28000</v>
      </c>
      <c r="I329">
        <v>0.15</v>
      </c>
      <c r="J329">
        <v>84000</v>
      </c>
      <c r="K329">
        <v>71400</v>
      </c>
      <c r="L329">
        <v>65520</v>
      </c>
      <c r="M329">
        <v>1600</v>
      </c>
      <c r="N329">
        <v>1663</v>
      </c>
      <c r="O329">
        <v>2617</v>
      </c>
      <c r="P329">
        <v>3.6652661064425773E-2</v>
      </c>
      <c r="Q329" t="s">
        <v>68</v>
      </c>
    </row>
    <row r="330" spans="1:17">
      <c r="A330" t="s">
        <v>383</v>
      </c>
      <c r="B330" s="1">
        <v>45738</v>
      </c>
      <c r="C330" t="s">
        <v>61</v>
      </c>
      <c r="D330" t="s">
        <v>63</v>
      </c>
      <c r="E330" t="s">
        <v>20</v>
      </c>
      <c r="F330" t="s">
        <v>35</v>
      </c>
      <c r="G330">
        <v>3</v>
      </c>
      <c r="H330">
        <v>4500</v>
      </c>
      <c r="I330">
        <v>0.08</v>
      </c>
      <c r="J330">
        <v>13500</v>
      </c>
      <c r="K330">
        <v>12420</v>
      </c>
      <c r="L330">
        <v>8775</v>
      </c>
      <c r="M330">
        <v>495</v>
      </c>
      <c r="N330">
        <v>2405</v>
      </c>
      <c r="O330">
        <v>745</v>
      </c>
      <c r="P330">
        <v>5.9983896940418682E-2</v>
      </c>
      <c r="Q330" t="s">
        <v>68</v>
      </c>
    </row>
    <row r="331" spans="1:17">
      <c r="A331" t="s">
        <v>384</v>
      </c>
      <c r="B331" s="1">
        <v>45870</v>
      </c>
      <c r="C331" t="s">
        <v>75</v>
      </c>
      <c r="D331" t="s">
        <v>34</v>
      </c>
      <c r="E331" t="s">
        <v>26</v>
      </c>
      <c r="F331" t="s">
        <v>35</v>
      </c>
      <c r="G331">
        <v>3</v>
      </c>
      <c r="H331">
        <v>65000</v>
      </c>
      <c r="I331">
        <v>0.08</v>
      </c>
      <c r="J331">
        <v>195000</v>
      </c>
      <c r="K331">
        <v>179400</v>
      </c>
      <c r="L331">
        <v>163800</v>
      </c>
      <c r="M331">
        <v>1185</v>
      </c>
      <c r="N331">
        <v>1480</v>
      </c>
      <c r="O331">
        <v>12935</v>
      </c>
      <c r="P331">
        <v>7.2101449275362314E-2</v>
      </c>
      <c r="Q331" t="s">
        <v>58</v>
      </c>
    </row>
    <row r="332" spans="1:17">
      <c r="A332" t="s">
        <v>385</v>
      </c>
      <c r="B332" s="1">
        <v>45764</v>
      </c>
      <c r="C332" t="s">
        <v>18</v>
      </c>
      <c r="D332" t="s">
        <v>25</v>
      </c>
      <c r="E332" t="s">
        <v>20</v>
      </c>
      <c r="F332" t="s">
        <v>35</v>
      </c>
      <c r="G332">
        <v>1</v>
      </c>
      <c r="H332">
        <v>32000</v>
      </c>
      <c r="I332">
        <v>0</v>
      </c>
      <c r="J332">
        <v>32000</v>
      </c>
      <c r="K332">
        <v>32000</v>
      </c>
      <c r="L332">
        <v>26240</v>
      </c>
      <c r="M332">
        <v>476</v>
      </c>
      <c r="N332">
        <v>1561</v>
      </c>
      <c r="O332">
        <v>3723</v>
      </c>
      <c r="P332">
        <v>0.11634375</v>
      </c>
      <c r="Q332" t="s">
        <v>41</v>
      </c>
    </row>
    <row r="333" spans="1:17">
      <c r="A333" t="s">
        <v>386</v>
      </c>
      <c r="B333" s="1">
        <v>46108</v>
      </c>
      <c r="C333" t="s">
        <v>75</v>
      </c>
      <c r="D333" t="s">
        <v>19</v>
      </c>
      <c r="E333" t="s">
        <v>38</v>
      </c>
      <c r="F333" t="s">
        <v>27</v>
      </c>
      <c r="G333">
        <v>1</v>
      </c>
      <c r="H333">
        <v>65000</v>
      </c>
      <c r="I333">
        <v>0.15</v>
      </c>
      <c r="J333">
        <v>65000</v>
      </c>
      <c r="K333">
        <v>55250</v>
      </c>
      <c r="L333">
        <v>54600</v>
      </c>
      <c r="M333">
        <v>1253</v>
      </c>
      <c r="N333">
        <v>1989</v>
      </c>
      <c r="O333">
        <v>-2592</v>
      </c>
      <c r="P333">
        <v>-4.6914027149321268E-2</v>
      </c>
      <c r="Q333" t="s">
        <v>98</v>
      </c>
    </row>
    <row r="334" spans="1:17">
      <c r="A334" t="s">
        <v>387</v>
      </c>
      <c r="B334" s="1">
        <v>45775</v>
      </c>
      <c r="C334" t="s">
        <v>18</v>
      </c>
      <c r="D334" t="s">
        <v>31</v>
      </c>
      <c r="E334" t="s">
        <v>20</v>
      </c>
      <c r="F334" t="s">
        <v>21</v>
      </c>
      <c r="G334">
        <v>3</v>
      </c>
      <c r="H334">
        <v>32000</v>
      </c>
      <c r="I334">
        <v>0.05</v>
      </c>
      <c r="J334">
        <v>96000</v>
      </c>
      <c r="K334">
        <v>91200</v>
      </c>
      <c r="L334">
        <v>78720</v>
      </c>
      <c r="M334">
        <v>759</v>
      </c>
      <c r="N334">
        <v>2141</v>
      </c>
      <c r="O334">
        <v>9580</v>
      </c>
      <c r="P334">
        <v>0.1050438596491228</v>
      </c>
      <c r="Q334" t="s">
        <v>41</v>
      </c>
    </row>
    <row r="335" spans="1:17">
      <c r="A335" t="s">
        <v>388</v>
      </c>
      <c r="B335" s="1">
        <v>45850</v>
      </c>
      <c r="C335" t="s">
        <v>30</v>
      </c>
      <c r="D335" t="s">
        <v>31</v>
      </c>
      <c r="E335" t="s">
        <v>20</v>
      </c>
      <c r="F335" t="s">
        <v>21</v>
      </c>
      <c r="G335">
        <v>1</v>
      </c>
      <c r="H335">
        <v>28000</v>
      </c>
      <c r="I335">
        <v>0.08</v>
      </c>
      <c r="J335">
        <v>28000</v>
      </c>
      <c r="K335">
        <v>25760</v>
      </c>
      <c r="L335">
        <v>21840</v>
      </c>
      <c r="M335">
        <v>620</v>
      </c>
      <c r="N335">
        <v>1691</v>
      </c>
      <c r="O335">
        <v>1609</v>
      </c>
      <c r="P335">
        <v>6.2461180124223602E-2</v>
      </c>
      <c r="Q335" t="s">
        <v>36</v>
      </c>
    </row>
    <row r="336" spans="1:17">
      <c r="A336" t="s">
        <v>389</v>
      </c>
      <c r="B336" s="1">
        <v>46052</v>
      </c>
      <c r="C336" t="s">
        <v>30</v>
      </c>
      <c r="D336" t="s">
        <v>63</v>
      </c>
      <c r="E336" t="s">
        <v>20</v>
      </c>
      <c r="F336" t="s">
        <v>21</v>
      </c>
      <c r="G336">
        <v>3</v>
      </c>
      <c r="H336">
        <v>28000</v>
      </c>
      <c r="I336">
        <v>0.05</v>
      </c>
      <c r="J336">
        <v>84000</v>
      </c>
      <c r="K336">
        <v>79800</v>
      </c>
      <c r="L336">
        <v>65520</v>
      </c>
      <c r="M336">
        <v>1702</v>
      </c>
      <c r="N336">
        <v>225</v>
      </c>
      <c r="O336">
        <v>12353</v>
      </c>
      <c r="P336">
        <v>0.15479949874686719</v>
      </c>
      <c r="Q336" t="s">
        <v>43</v>
      </c>
    </row>
    <row r="337" spans="1:17">
      <c r="A337" t="s">
        <v>390</v>
      </c>
      <c r="B337" s="1">
        <v>45688</v>
      </c>
      <c r="C337" t="s">
        <v>46</v>
      </c>
      <c r="D337" t="s">
        <v>31</v>
      </c>
      <c r="E337" t="s">
        <v>20</v>
      </c>
      <c r="F337" t="s">
        <v>27</v>
      </c>
      <c r="G337">
        <v>2</v>
      </c>
      <c r="H337">
        <v>18000</v>
      </c>
      <c r="I337">
        <v>0.1</v>
      </c>
      <c r="J337">
        <v>36000</v>
      </c>
      <c r="K337">
        <v>32400</v>
      </c>
      <c r="L337">
        <v>28800</v>
      </c>
      <c r="M337">
        <v>1663</v>
      </c>
      <c r="N337">
        <v>932</v>
      </c>
      <c r="O337">
        <v>1005</v>
      </c>
      <c r="P337">
        <v>3.1018518518518522E-2</v>
      </c>
      <c r="Q337" t="s">
        <v>56</v>
      </c>
    </row>
    <row r="338" spans="1:17">
      <c r="A338" t="s">
        <v>391</v>
      </c>
      <c r="B338" s="1">
        <v>46087</v>
      </c>
      <c r="C338" t="s">
        <v>61</v>
      </c>
      <c r="D338" t="s">
        <v>34</v>
      </c>
      <c r="E338" t="s">
        <v>38</v>
      </c>
      <c r="F338" t="s">
        <v>35</v>
      </c>
      <c r="G338">
        <v>3</v>
      </c>
      <c r="H338">
        <v>4500</v>
      </c>
      <c r="I338">
        <v>0.08</v>
      </c>
      <c r="J338">
        <v>13500</v>
      </c>
      <c r="K338">
        <v>12420</v>
      </c>
      <c r="L338">
        <v>8775</v>
      </c>
      <c r="M338">
        <v>756</v>
      </c>
      <c r="N338">
        <v>1278</v>
      </c>
      <c r="O338">
        <v>1611</v>
      </c>
      <c r="P338">
        <v>0.12971014492753619</v>
      </c>
      <c r="Q338" t="s">
        <v>98</v>
      </c>
    </row>
    <row r="339" spans="1:17">
      <c r="A339" t="s">
        <v>392</v>
      </c>
      <c r="B339" s="1">
        <v>45902</v>
      </c>
      <c r="C339" t="s">
        <v>50</v>
      </c>
      <c r="D339" t="s">
        <v>34</v>
      </c>
      <c r="E339" t="s">
        <v>20</v>
      </c>
      <c r="F339" t="s">
        <v>21</v>
      </c>
      <c r="G339">
        <v>2</v>
      </c>
      <c r="H339">
        <v>2500</v>
      </c>
      <c r="I339">
        <v>0.05</v>
      </c>
      <c r="J339">
        <v>5000</v>
      </c>
      <c r="K339">
        <v>4750</v>
      </c>
      <c r="L339">
        <v>3100</v>
      </c>
      <c r="M339">
        <v>324</v>
      </c>
      <c r="N339">
        <v>1010</v>
      </c>
      <c r="O339">
        <v>316</v>
      </c>
      <c r="P339">
        <v>6.6526315789473683E-2</v>
      </c>
      <c r="Q339" t="s">
        <v>32</v>
      </c>
    </row>
    <row r="340" spans="1:17">
      <c r="A340" t="s">
        <v>393</v>
      </c>
      <c r="B340" s="1">
        <v>45858</v>
      </c>
      <c r="C340" t="s">
        <v>24</v>
      </c>
      <c r="D340" t="s">
        <v>63</v>
      </c>
      <c r="E340" t="s">
        <v>20</v>
      </c>
      <c r="F340" t="s">
        <v>21</v>
      </c>
      <c r="G340">
        <v>2</v>
      </c>
      <c r="H340">
        <v>3500</v>
      </c>
      <c r="I340">
        <v>0.05</v>
      </c>
      <c r="J340">
        <v>7000</v>
      </c>
      <c r="K340">
        <v>6650</v>
      </c>
      <c r="L340">
        <v>4760</v>
      </c>
      <c r="M340">
        <v>1258</v>
      </c>
      <c r="N340">
        <v>1831</v>
      </c>
      <c r="O340">
        <v>-1199</v>
      </c>
      <c r="P340">
        <v>-0.18030075187969921</v>
      </c>
      <c r="Q340" t="s">
        <v>36</v>
      </c>
    </row>
    <row r="341" spans="1:17">
      <c r="A341" t="s">
        <v>394</v>
      </c>
      <c r="B341" s="1">
        <v>45725</v>
      </c>
      <c r="C341" t="s">
        <v>61</v>
      </c>
      <c r="D341" t="s">
        <v>51</v>
      </c>
      <c r="E341" t="s">
        <v>20</v>
      </c>
      <c r="F341" t="s">
        <v>21</v>
      </c>
      <c r="G341">
        <v>4</v>
      </c>
      <c r="H341">
        <v>4500</v>
      </c>
      <c r="I341">
        <v>0</v>
      </c>
      <c r="J341">
        <v>18000</v>
      </c>
      <c r="K341">
        <v>18000</v>
      </c>
      <c r="L341">
        <v>11700</v>
      </c>
      <c r="M341">
        <v>1207</v>
      </c>
      <c r="N341">
        <v>1401</v>
      </c>
      <c r="O341">
        <v>3692</v>
      </c>
      <c r="P341">
        <v>0.20511111111111111</v>
      </c>
      <c r="Q341" t="s">
        <v>68</v>
      </c>
    </row>
    <row r="342" spans="1:17">
      <c r="A342" t="s">
        <v>395</v>
      </c>
      <c r="B342" s="1">
        <v>46011</v>
      </c>
      <c r="C342" t="s">
        <v>30</v>
      </c>
      <c r="D342" t="s">
        <v>51</v>
      </c>
      <c r="E342" t="s">
        <v>20</v>
      </c>
      <c r="F342" t="s">
        <v>35</v>
      </c>
      <c r="G342">
        <v>1</v>
      </c>
      <c r="H342">
        <v>28000</v>
      </c>
      <c r="I342">
        <v>0.1</v>
      </c>
      <c r="J342">
        <v>28000</v>
      </c>
      <c r="K342">
        <v>25200</v>
      </c>
      <c r="L342">
        <v>21840</v>
      </c>
      <c r="M342">
        <v>1602</v>
      </c>
      <c r="N342">
        <v>2490</v>
      </c>
      <c r="O342">
        <v>-732</v>
      </c>
      <c r="P342">
        <v>-2.9047619047619051E-2</v>
      </c>
      <c r="Q342" t="s">
        <v>80</v>
      </c>
    </row>
    <row r="343" spans="1:17">
      <c r="A343" t="s">
        <v>396</v>
      </c>
      <c r="B343" s="1">
        <v>46016</v>
      </c>
      <c r="C343" t="s">
        <v>61</v>
      </c>
      <c r="D343" t="s">
        <v>31</v>
      </c>
      <c r="E343" t="s">
        <v>20</v>
      </c>
      <c r="F343" t="s">
        <v>21</v>
      </c>
      <c r="G343">
        <v>7</v>
      </c>
      <c r="H343">
        <v>4500</v>
      </c>
      <c r="I343">
        <v>0.05</v>
      </c>
      <c r="J343">
        <v>31500</v>
      </c>
      <c r="K343">
        <v>29925</v>
      </c>
      <c r="L343">
        <v>20475</v>
      </c>
      <c r="M343">
        <v>499</v>
      </c>
      <c r="N343">
        <v>238</v>
      </c>
      <c r="O343">
        <v>8713</v>
      </c>
      <c r="P343">
        <v>0.29116123642439429</v>
      </c>
      <c r="Q343" t="s">
        <v>80</v>
      </c>
    </row>
    <row r="344" spans="1:17">
      <c r="A344" t="s">
        <v>397</v>
      </c>
      <c r="B344" s="1">
        <v>46092</v>
      </c>
      <c r="C344" t="s">
        <v>46</v>
      </c>
      <c r="D344" t="s">
        <v>51</v>
      </c>
      <c r="E344" t="s">
        <v>38</v>
      </c>
      <c r="F344" t="s">
        <v>27</v>
      </c>
      <c r="G344">
        <v>1</v>
      </c>
      <c r="H344">
        <v>18000</v>
      </c>
      <c r="I344">
        <v>0.05</v>
      </c>
      <c r="J344">
        <v>18000</v>
      </c>
      <c r="K344">
        <v>17100</v>
      </c>
      <c r="L344">
        <v>14400</v>
      </c>
      <c r="M344">
        <v>1334</v>
      </c>
      <c r="N344">
        <v>2286</v>
      </c>
      <c r="O344">
        <v>-920</v>
      </c>
      <c r="P344">
        <v>-5.3801169590643273E-2</v>
      </c>
      <c r="Q344" t="s">
        <v>98</v>
      </c>
    </row>
    <row r="345" spans="1:17">
      <c r="A345" t="s">
        <v>398</v>
      </c>
      <c r="B345" s="1">
        <v>46177</v>
      </c>
      <c r="C345" t="s">
        <v>46</v>
      </c>
      <c r="D345" t="s">
        <v>31</v>
      </c>
      <c r="E345" t="s">
        <v>38</v>
      </c>
      <c r="F345" t="s">
        <v>21</v>
      </c>
      <c r="G345">
        <v>2</v>
      </c>
      <c r="H345">
        <v>18000</v>
      </c>
      <c r="I345">
        <v>0.08</v>
      </c>
      <c r="J345">
        <v>36000</v>
      </c>
      <c r="K345">
        <v>33120</v>
      </c>
      <c r="L345">
        <v>28800</v>
      </c>
      <c r="M345">
        <v>961</v>
      </c>
      <c r="N345">
        <v>264</v>
      </c>
      <c r="O345">
        <v>3095</v>
      </c>
      <c r="P345">
        <v>9.344806763285024E-2</v>
      </c>
      <c r="Q345" t="s">
        <v>135</v>
      </c>
    </row>
    <row r="346" spans="1:17">
      <c r="A346" t="s">
        <v>399</v>
      </c>
      <c r="B346" s="1">
        <v>45924</v>
      </c>
      <c r="C346" t="s">
        <v>61</v>
      </c>
      <c r="D346" t="s">
        <v>34</v>
      </c>
      <c r="E346" t="s">
        <v>26</v>
      </c>
      <c r="F346" t="s">
        <v>27</v>
      </c>
      <c r="G346">
        <v>3</v>
      </c>
      <c r="H346">
        <v>4500</v>
      </c>
      <c r="I346">
        <v>0</v>
      </c>
      <c r="J346">
        <v>13500</v>
      </c>
      <c r="K346">
        <v>13500</v>
      </c>
      <c r="L346">
        <v>8775</v>
      </c>
      <c r="M346">
        <v>1314</v>
      </c>
      <c r="N346">
        <v>1240</v>
      </c>
      <c r="O346">
        <v>2171</v>
      </c>
      <c r="P346">
        <v>0.1608148148148148</v>
      </c>
      <c r="Q346" t="s">
        <v>32</v>
      </c>
    </row>
    <row r="347" spans="1:17">
      <c r="A347" t="s">
        <v>400</v>
      </c>
      <c r="B347" s="1">
        <v>45841</v>
      </c>
      <c r="C347" t="s">
        <v>24</v>
      </c>
      <c r="D347" t="s">
        <v>31</v>
      </c>
      <c r="E347" t="s">
        <v>20</v>
      </c>
      <c r="F347" t="s">
        <v>35</v>
      </c>
      <c r="G347">
        <v>6</v>
      </c>
      <c r="H347">
        <v>3500</v>
      </c>
      <c r="I347">
        <v>0.1</v>
      </c>
      <c r="J347">
        <v>21000</v>
      </c>
      <c r="K347">
        <v>18900</v>
      </c>
      <c r="L347">
        <v>14280</v>
      </c>
      <c r="M347">
        <v>675</v>
      </c>
      <c r="N347">
        <v>1076</v>
      </c>
      <c r="O347">
        <v>2868.9999999999982</v>
      </c>
      <c r="P347">
        <v>0.15179894179894171</v>
      </c>
      <c r="Q347" t="s">
        <v>36</v>
      </c>
    </row>
    <row r="348" spans="1:17">
      <c r="A348" t="s">
        <v>401</v>
      </c>
      <c r="B348" s="1">
        <v>45885</v>
      </c>
      <c r="C348" t="s">
        <v>61</v>
      </c>
      <c r="D348" t="s">
        <v>34</v>
      </c>
      <c r="E348" t="s">
        <v>26</v>
      </c>
      <c r="F348" t="s">
        <v>21</v>
      </c>
      <c r="G348">
        <v>1</v>
      </c>
      <c r="H348">
        <v>4500</v>
      </c>
      <c r="I348">
        <v>0.15</v>
      </c>
      <c r="J348">
        <v>4500</v>
      </c>
      <c r="K348">
        <v>3825</v>
      </c>
      <c r="L348">
        <v>2925</v>
      </c>
      <c r="M348">
        <v>865</v>
      </c>
      <c r="N348">
        <v>1871</v>
      </c>
      <c r="O348">
        <v>-1836</v>
      </c>
      <c r="P348">
        <v>-0.48</v>
      </c>
      <c r="Q348" t="s">
        <v>58</v>
      </c>
    </row>
    <row r="349" spans="1:17">
      <c r="A349" t="s">
        <v>402</v>
      </c>
      <c r="B349" s="1">
        <v>45739</v>
      </c>
      <c r="C349" t="s">
        <v>18</v>
      </c>
      <c r="D349" t="s">
        <v>31</v>
      </c>
      <c r="E349" t="s">
        <v>38</v>
      </c>
      <c r="F349" t="s">
        <v>21</v>
      </c>
      <c r="G349">
        <v>3</v>
      </c>
      <c r="H349">
        <v>32000</v>
      </c>
      <c r="I349">
        <v>0.08</v>
      </c>
      <c r="J349">
        <v>96000</v>
      </c>
      <c r="K349">
        <v>88320</v>
      </c>
      <c r="L349">
        <v>78720</v>
      </c>
      <c r="M349">
        <v>903</v>
      </c>
      <c r="N349">
        <v>1814</v>
      </c>
      <c r="O349">
        <v>6883</v>
      </c>
      <c r="P349">
        <v>7.7932518115942026E-2</v>
      </c>
      <c r="Q349" t="s">
        <v>68</v>
      </c>
    </row>
    <row r="350" spans="1:17">
      <c r="A350" t="s">
        <v>403</v>
      </c>
      <c r="B350" s="1">
        <v>45773</v>
      </c>
      <c r="C350" t="s">
        <v>53</v>
      </c>
      <c r="D350" t="s">
        <v>51</v>
      </c>
      <c r="E350" t="s">
        <v>20</v>
      </c>
      <c r="F350" t="s">
        <v>21</v>
      </c>
      <c r="G350">
        <v>7</v>
      </c>
      <c r="H350">
        <v>1500</v>
      </c>
      <c r="I350">
        <v>0.2</v>
      </c>
      <c r="J350">
        <v>10500</v>
      </c>
      <c r="K350">
        <v>8400</v>
      </c>
      <c r="L350">
        <v>5775.0000000000009</v>
      </c>
      <c r="M350">
        <v>1271</v>
      </c>
      <c r="N350">
        <v>1963</v>
      </c>
      <c r="O350">
        <v>-609.00000000000091</v>
      </c>
      <c r="P350">
        <v>-7.2500000000000106E-2</v>
      </c>
      <c r="Q350" t="s">
        <v>41</v>
      </c>
    </row>
    <row r="351" spans="1:17">
      <c r="A351" t="s">
        <v>404</v>
      </c>
      <c r="B351" s="1">
        <v>46151</v>
      </c>
      <c r="C351" t="s">
        <v>46</v>
      </c>
      <c r="D351" t="s">
        <v>51</v>
      </c>
      <c r="E351" t="s">
        <v>38</v>
      </c>
      <c r="F351" t="s">
        <v>35</v>
      </c>
      <c r="G351">
        <v>3</v>
      </c>
      <c r="H351">
        <v>18000</v>
      </c>
      <c r="I351">
        <v>0.05</v>
      </c>
      <c r="J351">
        <v>54000</v>
      </c>
      <c r="K351">
        <v>51300</v>
      </c>
      <c r="L351">
        <v>43200</v>
      </c>
      <c r="M351">
        <v>1546</v>
      </c>
      <c r="N351">
        <v>1136</v>
      </c>
      <c r="O351">
        <v>5418</v>
      </c>
      <c r="P351">
        <v>0.1056140350877193</v>
      </c>
      <c r="Q351" t="s">
        <v>73</v>
      </c>
    </row>
    <row r="352" spans="1:17">
      <c r="A352" t="s">
        <v>405</v>
      </c>
      <c r="B352" s="1">
        <v>45977</v>
      </c>
      <c r="C352" t="s">
        <v>46</v>
      </c>
      <c r="D352" t="s">
        <v>34</v>
      </c>
      <c r="E352" t="s">
        <v>26</v>
      </c>
      <c r="F352" t="s">
        <v>21</v>
      </c>
      <c r="G352">
        <v>2</v>
      </c>
      <c r="H352">
        <v>18000</v>
      </c>
      <c r="I352">
        <v>0.08</v>
      </c>
      <c r="J352">
        <v>36000</v>
      </c>
      <c r="K352">
        <v>33120</v>
      </c>
      <c r="L352">
        <v>28800</v>
      </c>
      <c r="M352">
        <v>882</v>
      </c>
      <c r="N352">
        <v>1933</v>
      </c>
      <c r="O352">
        <v>1505</v>
      </c>
      <c r="P352">
        <v>4.5440821256038648E-2</v>
      </c>
      <c r="Q352" t="s">
        <v>28</v>
      </c>
    </row>
    <row r="353" spans="1:17">
      <c r="A353" t="s">
        <v>406</v>
      </c>
      <c r="B353" s="1">
        <v>46027</v>
      </c>
      <c r="C353" t="s">
        <v>75</v>
      </c>
      <c r="D353" t="s">
        <v>25</v>
      </c>
      <c r="E353" t="s">
        <v>38</v>
      </c>
      <c r="F353" t="s">
        <v>35</v>
      </c>
      <c r="G353">
        <v>3</v>
      </c>
      <c r="H353">
        <v>65000</v>
      </c>
      <c r="I353">
        <v>0.03</v>
      </c>
      <c r="J353">
        <v>195000</v>
      </c>
      <c r="K353">
        <v>189150</v>
      </c>
      <c r="L353">
        <v>163800</v>
      </c>
      <c r="M353">
        <v>256</v>
      </c>
      <c r="N353">
        <v>118</v>
      </c>
      <c r="O353">
        <v>24976</v>
      </c>
      <c r="P353">
        <v>0.13204335183716631</v>
      </c>
      <c r="Q353" t="s">
        <v>43</v>
      </c>
    </row>
    <row r="354" spans="1:17">
      <c r="A354" t="s">
        <v>407</v>
      </c>
      <c r="B354" s="1">
        <v>45658</v>
      </c>
      <c r="C354" t="s">
        <v>18</v>
      </c>
      <c r="D354" t="s">
        <v>51</v>
      </c>
      <c r="E354" t="s">
        <v>20</v>
      </c>
      <c r="F354" t="s">
        <v>27</v>
      </c>
      <c r="G354">
        <v>3</v>
      </c>
      <c r="H354">
        <v>32000</v>
      </c>
      <c r="I354">
        <v>0.1</v>
      </c>
      <c r="J354">
        <v>96000</v>
      </c>
      <c r="K354">
        <v>86400</v>
      </c>
      <c r="L354">
        <v>78720</v>
      </c>
      <c r="M354">
        <v>224</v>
      </c>
      <c r="N354">
        <v>1672</v>
      </c>
      <c r="O354">
        <v>5784</v>
      </c>
      <c r="P354">
        <v>6.6944444444444445E-2</v>
      </c>
      <c r="Q354" t="s">
        <v>56</v>
      </c>
    </row>
    <row r="355" spans="1:17">
      <c r="A355" t="s">
        <v>408</v>
      </c>
      <c r="B355" s="1">
        <v>45761</v>
      </c>
      <c r="C355" t="s">
        <v>53</v>
      </c>
      <c r="D355" t="s">
        <v>63</v>
      </c>
      <c r="E355" t="s">
        <v>26</v>
      </c>
      <c r="F355" t="s">
        <v>35</v>
      </c>
      <c r="G355">
        <v>1</v>
      </c>
      <c r="H355">
        <v>1500</v>
      </c>
      <c r="I355">
        <v>0.1</v>
      </c>
      <c r="J355">
        <v>1500</v>
      </c>
      <c r="K355">
        <v>1350</v>
      </c>
      <c r="L355">
        <v>825.00000000000011</v>
      </c>
      <c r="M355">
        <v>746</v>
      </c>
      <c r="N355">
        <v>2341</v>
      </c>
      <c r="O355">
        <v>-2562</v>
      </c>
      <c r="P355">
        <v>-1.897777777777778</v>
      </c>
      <c r="Q355" t="s">
        <v>41</v>
      </c>
    </row>
    <row r="356" spans="1:17">
      <c r="A356" t="s">
        <v>409</v>
      </c>
      <c r="B356" s="1">
        <v>45845</v>
      </c>
      <c r="C356" t="s">
        <v>53</v>
      </c>
      <c r="D356" t="s">
        <v>51</v>
      </c>
      <c r="E356" t="s">
        <v>38</v>
      </c>
      <c r="F356" t="s">
        <v>35</v>
      </c>
      <c r="G356">
        <v>6</v>
      </c>
      <c r="H356">
        <v>1500</v>
      </c>
      <c r="I356">
        <v>0</v>
      </c>
      <c r="J356">
        <v>9000</v>
      </c>
      <c r="K356">
        <v>9000</v>
      </c>
      <c r="L356">
        <v>4950</v>
      </c>
      <c r="M356">
        <v>1298</v>
      </c>
      <c r="N356">
        <v>1009</v>
      </c>
      <c r="O356">
        <v>1743</v>
      </c>
      <c r="P356">
        <v>0.19366666666666671</v>
      </c>
      <c r="Q356" t="s">
        <v>36</v>
      </c>
    </row>
    <row r="357" spans="1:17">
      <c r="A357" t="s">
        <v>410</v>
      </c>
      <c r="B357" s="1">
        <v>46032</v>
      </c>
      <c r="C357" t="s">
        <v>24</v>
      </c>
      <c r="D357" t="s">
        <v>25</v>
      </c>
      <c r="E357" t="s">
        <v>26</v>
      </c>
      <c r="F357" t="s">
        <v>21</v>
      </c>
      <c r="G357">
        <v>3</v>
      </c>
      <c r="H357">
        <v>3500</v>
      </c>
      <c r="I357">
        <v>0.08</v>
      </c>
      <c r="J357">
        <v>10500</v>
      </c>
      <c r="K357">
        <v>9660</v>
      </c>
      <c r="L357">
        <v>7140.0000000000009</v>
      </c>
      <c r="M357">
        <v>1751</v>
      </c>
      <c r="N357">
        <v>1189</v>
      </c>
      <c r="O357">
        <v>-420.00000000000091</v>
      </c>
      <c r="P357">
        <v>-4.3478260869565313E-2</v>
      </c>
      <c r="Q357" t="s">
        <v>43</v>
      </c>
    </row>
    <row r="358" spans="1:17">
      <c r="A358" t="s">
        <v>411</v>
      </c>
      <c r="B358" s="1">
        <v>45768</v>
      </c>
      <c r="C358" t="s">
        <v>53</v>
      </c>
      <c r="D358" t="s">
        <v>31</v>
      </c>
      <c r="E358" t="s">
        <v>38</v>
      </c>
      <c r="F358" t="s">
        <v>35</v>
      </c>
      <c r="G358">
        <v>2</v>
      </c>
      <c r="H358">
        <v>1500</v>
      </c>
      <c r="I358">
        <v>0</v>
      </c>
      <c r="J358">
        <v>3000</v>
      </c>
      <c r="K358">
        <v>3000</v>
      </c>
      <c r="L358">
        <v>1650</v>
      </c>
      <c r="M358">
        <v>1236</v>
      </c>
      <c r="N358">
        <v>2331</v>
      </c>
      <c r="O358">
        <v>-2217</v>
      </c>
      <c r="P358">
        <v>-0.73899999999999999</v>
      </c>
      <c r="Q358" t="s">
        <v>41</v>
      </c>
    </row>
    <row r="359" spans="1:17">
      <c r="A359" t="s">
        <v>412</v>
      </c>
      <c r="B359" s="1">
        <v>45888</v>
      </c>
      <c r="C359" t="s">
        <v>18</v>
      </c>
      <c r="D359" t="s">
        <v>51</v>
      </c>
      <c r="E359" t="s">
        <v>38</v>
      </c>
      <c r="F359" t="s">
        <v>21</v>
      </c>
      <c r="G359">
        <v>2</v>
      </c>
      <c r="H359">
        <v>32000</v>
      </c>
      <c r="I359">
        <v>0.03</v>
      </c>
      <c r="J359">
        <v>64000</v>
      </c>
      <c r="K359">
        <v>62080</v>
      </c>
      <c r="L359">
        <v>52480</v>
      </c>
      <c r="M359">
        <v>1790</v>
      </c>
      <c r="N359">
        <v>1150</v>
      </c>
      <c r="O359">
        <v>6660</v>
      </c>
      <c r="P359">
        <v>0.1072809278350515</v>
      </c>
      <c r="Q359" t="s">
        <v>58</v>
      </c>
    </row>
    <row r="360" spans="1:17">
      <c r="A360" t="s">
        <v>413</v>
      </c>
      <c r="B360" s="1">
        <v>45970</v>
      </c>
      <c r="C360" t="s">
        <v>61</v>
      </c>
      <c r="D360" t="s">
        <v>63</v>
      </c>
      <c r="E360" t="s">
        <v>20</v>
      </c>
      <c r="F360" t="s">
        <v>27</v>
      </c>
      <c r="G360">
        <v>5</v>
      </c>
      <c r="H360">
        <v>4500</v>
      </c>
      <c r="I360">
        <v>0</v>
      </c>
      <c r="J360">
        <v>22500</v>
      </c>
      <c r="K360">
        <v>22500</v>
      </c>
      <c r="L360">
        <v>14625</v>
      </c>
      <c r="M360">
        <v>1626</v>
      </c>
      <c r="N360">
        <v>1176</v>
      </c>
      <c r="O360">
        <v>5073</v>
      </c>
      <c r="P360">
        <v>0.2254666666666667</v>
      </c>
      <c r="Q360" t="s">
        <v>28</v>
      </c>
    </row>
    <row r="361" spans="1:17">
      <c r="A361" t="s">
        <v>414</v>
      </c>
      <c r="B361" s="1">
        <v>45817</v>
      </c>
      <c r="C361" t="s">
        <v>18</v>
      </c>
      <c r="D361" t="s">
        <v>25</v>
      </c>
      <c r="E361" t="s">
        <v>20</v>
      </c>
      <c r="F361" t="s">
        <v>21</v>
      </c>
      <c r="G361">
        <v>2</v>
      </c>
      <c r="H361">
        <v>32000</v>
      </c>
      <c r="I361">
        <v>0.05</v>
      </c>
      <c r="J361">
        <v>64000</v>
      </c>
      <c r="K361">
        <v>60800</v>
      </c>
      <c r="L361">
        <v>52480</v>
      </c>
      <c r="M361">
        <v>1707</v>
      </c>
      <c r="N361">
        <v>1579</v>
      </c>
      <c r="O361">
        <v>5034</v>
      </c>
      <c r="P361">
        <v>8.2796052631578951E-2</v>
      </c>
      <c r="Q361" t="s">
        <v>39</v>
      </c>
    </row>
    <row r="362" spans="1:17">
      <c r="A362" t="s">
        <v>415</v>
      </c>
      <c r="B362" s="1">
        <v>45917</v>
      </c>
      <c r="C362" t="s">
        <v>53</v>
      </c>
      <c r="D362" t="s">
        <v>51</v>
      </c>
      <c r="E362" t="s">
        <v>38</v>
      </c>
      <c r="F362" t="s">
        <v>21</v>
      </c>
      <c r="G362">
        <v>5</v>
      </c>
      <c r="H362">
        <v>1500</v>
      </c>
      <c r="I362">
        <v>0.1</v>
      </c>
      <c r="J362">
        <v>7500</v>
      </c>
      <c r="K362">
        <v>6750</v>
      </c>
      <c r="L362">
        <v>4125</v>
      </c>
      <c r="M362">
        <v>1245</v>
      </c>
      <c r="N362">
        <v>1153</v>
      </c>
      <c r="O362">
        <v>227</v>
      </c>
      <c r="P362">
        <v>3.3629629629629627E-2</v>
      </c>
      <c r="Q362" t="s">
        <v>32</v>
      </c>
    </row>
    <row r="363" spans="1:17">
      <c r="A363" t="s">
        <v>416</v>
      </c>
      <c r="B363" s="1">
        <v>46011</v>
      </c>
      <c r="C363" t="s">
        <v>53</v>
      </c>
      <c r="D363" t="s">
        <v>19</v>
      </c>
      <c r="E363" t="s">
        <v>20</v>
      </c>
      <c r="F363" t="s">
        <v>35</v>
      </c>
      <c r="G363">
        <v>7</v>
      </c>
      <c r="H363">
        <v>1500</v>
      </c>
      <c r="I363">
        <v>0.03</v>
      </c>
      <c r="J363">
        <v>10500</v>
      </c>
      <c r="K363">
        <v>10185</v>
      </c>
      <c r="L363">
        <v>5775.0000000000009</v>
      </c>
      <c r="M363">
        <v>1513</v>
      </c>
      <c r="N363">
        <v>949</v>
      </c>
      <c r="O363">
        <v>1947.9999999999991</v>
      </c>
      <c r="P363">
        <v>0.19126165930289629</v>
      </c>
      <c r="Q363" t="s">
        <v>80</v>
      </c>
    </row>
    <row r="364" spans="1:17">
      <c r="A364" t="s">
        <v>417</v>
      </c>
      <c r="B364" s="1">
        <v>45753</v>
      </c>
      <c r="C364" t="s">
        <v>75</v>
      </c>
      <c r="D364" t="s">
        <v>34</v>
      </c>
      <c r="E364" t="s">
        <v>26</v>
      </c>
      <c r="F364" t="s">
        <v>35</v>
      </c>
      <c r="G364">
        <v>3</v>
      </c>
      <c r="H364">
        <v>65000</v>
      </c>
      <c r="I364">
        <v>0.03</v>
      </c>
      <c r="J364">
        <v>195000</v>
      </c>
      <c r="K364">
        <v>189150</v>
      </c>
      <c r="L364">
        <v>163800</v>
      </c>
      <c r="M364">
        <v>1377</v>
      </c>
      <c r="N364">
        <v>1909</v>
      </c>
      <c r="O364">
        <v>22064</v>
      </c>
      <c r="P364">
        <v>0.11664816283372979</v>
      </c>
      <c r="Q364" t="s">
        <v>41</v>
      </c>
    </row>
    <row r="365" spans="1:17">
      <c r="A365" t="s">
        <v>418</v>
      </c>
      <c r="B365" s="1">
        <v>45814</v>
      </c>
      <c r="C365" t="s">
        <v>30</v>
      </c>
      <c r="D365" t="s">
        <v>31</v>
      </c>
      <c r="E365" t="s">
        <v>20</v>
      </c>
      <c r="F365" t="s">
        <v>35</v>
      </c>
      <c r="G365">
        <v>1</v>
      </c>
      <c r="H365">
        <v>28000</v>
      </c>
      <c r="I365">
        <v>0.05</v>
      </c>
      <c r="J365">
        <v>28000</v>
      </c>
      <c r="K365">
        <v>26600</v>
      </c>
      <c r="L365">
        <v>21840</v>
      </c>
      <c r="M365">
        <v>1139</v>
      </c>
      <c r="N365">
        <v>988</v>
      </c>
      <c r="O365">
        <v>2633</v>
      </c>
      <c r="P365">
        <v>9.8984962406015037E-2</v>
      </c>
      <c r="Q365" t="s">
        <v>39</v>
      </c>
    </row>
    <row r="366" spans="1:17">
      <c r="A366" t="s">
        <v>419</v>
      </c>
      <c r="B366" s="1">
        <v>45798</v>
      </c>
      <c r="C366" t="s">
        <v>50</v>
      </c>
      <c r="D366" t="s">
        <v>19</v>
      </c>
      <c r="E366" t="s">
        <v>38</v>
      </c>
      <c r="F366" t="s">
        <v>35</v>
      </c>
      <c r="G366">
        <v>1</v>
      </c>
      <c r="H366">
        <v>2500</v>
      </c>
      <c r="I366">
        <v>0.1</v>
      </c>
      <c r="J366">
        <v>2500</v>
      </c>
      <c r="K366">
        <v>2250</v>
      </c>
      <c r="L366">
        <v>1550</v>
      </c>
      <c r="M366">
        <v>627</v>
      </c>
      <c r="N366">
        <v>1575</v>
      </c>
      <c r="O366">
        <v>-1502</v>
      </c>
      <c r="P366">
        <v>-0.66755555555555557</v>
      </c>
      <c r="Q366" t="s">
        <v>22</v>
      </c>
    </row>
    <row r="367" spans="1:17">
      <c r="A367" t="s">
        <v>420</v>
      </c>
      <c r="B367" s="1">
        <v>45832</v>
      </c>
      <c r="C367" t="s">
        <v>53</v>
      </c>
      <c r="D367" t="s">
        <v>51</v>
      </c>
      <c r="E367" t="s">
        <v>26</v>
      </c>
      <c r="F367" t="s">
        <v>21</v>
      </c>
      <c r="G367">
        <v>3</v>
      </c>
      <c r="H367">
        <v>1500</v>
      </c>
      <c r="I367">
        <v>0</v>
      </c>
      <c r="J367">
        <v>4500</v>
      </c>
      <c r="K367">
        <v>4500</v>
      </c>
      <c r="L367">
        <v>2475</v>
      </c>
      <c r="M367">
        <v>670</v>
      </c>
      <c r="N367">
        <v>2365</v>
      </c>
      <c r="O367">
        <v>-1010</v>
      </c>
      <c r="P367">
        <v>-0.22444444444444439</v>
      </c>
      <c r="Q367" t="s">
        <v>39</v>
      </c>
    </row>
    <row r="368" spans="1:17">
      <c r="A368" t="s">
        <v>421</v>
      </c>
      <c r="B368" s="1">
        <v>46190</v>
      </c>
      <c r="C368" t="s">
        <v>75</v>
      </c>
      <c r="D368" t="s">
        <v>31</v>
      </c>
      <c r="E368" t="s">
        <v>26</v>
      </c>
      <c r="F368" t="s">
        <v>21</v>
      </c>
      <c r="G368">
        <v>3</v>
      </c>
      <c r="H368">
        <v>65000</v>
      </c>
      <c r="I368">
        <v>0.2</v>
      </c>
      <c r="J368">
        <v>195000</v>
      </c>
      <c r="K368">
        <v>156000</v>
      </c>
      <c r="L368">
        <v>163800</v>
      </c>
      <c r="M368">
        <v>630</v>
      </c>
      <c r="N368">
        <v>892</v>
      </c>
      <c r="O368">
        <v>-9322</v>
      </c>
      <c r="P368">
        <v>-5.9756410256410257E-2</v>
      </c>
      <c r="Q368" t="s">
        <v>135</v>
      </c>
    </row>
    <row r="369" spans="1:17">
      <c r="A369" t="s">
        <v>422</v>
      </c>
      <c r="B369" s="1">
        <v>46012</v>
      </c>
      <c r="C369" t="s">
        <v>30</v>
      </c>
      <c r="D369" t="s">
        <v>25</v>
      </c>
      <c r="E369" t="s">
        <v>26</v>
      </c>
      <c r="F369" t="s">
        <v>21</v>
      </c>
      <c r="G369">
        <v>1</v>
      </c>
      <c r="H369">
        <v>28000</v>
      </c>
      <c r="I369">
        <v>0.05</v>
      </c>
      <c r="J369">
        <v>28000</v>
      </c>
      <c r="K369">
        <v>26600</v>
      </c>
      <c r="L369">
        <v>21840</v>
      </c>
      <c r="M369">
        <v>1527</v>
      </c>
      <c r="N369">
        <v>1123</v>
      </c>
      <c r="O369">
        <v>2110</v>
      </c>
      <c r="P369">
        <v>7.9323308270676698E-2</v>
      </c>
      <c r="Q369" t="s">
        <v>80</v>
      </c>
    </row>
    <row r="370" spans="1:17">
      <c r="A370" t="s">
        <v>423</v>
      </c>
      <c r="B370" s="1">
        <v>45757</v>
      </c>
      <c r="C370" t="s">
        <v>75</v>
      </c>
      <c r="D370" t="s">
        <v>25</v>
      </c>
      <c r="E370" t="s">
        <v>20</v>
      </c>
      <c r="F370" t="s">
        <v>21</v>
      </c>
      <c r="G370">
        <v>3</v>
      </c>
      <c r="H370">
        <v>65000</v>
      </c>
      <c r="I370">
        <v>0.1</v>
      </c>
      <c r="J370">
        <v>195000</v>
      </c>
      <c r="K370">
        <v>175500</v>
      </c>
      <c r="L370">
        <v>163800</v>
      </c>
      <c r="M370">
        <v>409</v>
      </c>
      <c r="N370">
        <v>496</v>
      </c>
      <c r="O370">
        <v>10795</v>
      </c>
      <c r="P370">
        <v>6.1509971509971513E-2</v>
      </c>
      <c r="Q370" t="s">
        <v>41</v>
      </c>
    </row>
    <row r="371" spans="1:17">
      <c r="A371" t="s">
        <v>424</v>
      </c>
      <c r="B371" s="1">
        <v>45830</v>
      </c>
      <c r="C371" t="s">
        <v>50</v>
      </c>
      <c r="D371" t="s">
        <v>51</v>
      </c>
      <c r="E371" t="s">
        <v>20</v>
      </c>
      <c r="F371" t="s">
        <v>35</v>
      </c>
      <c r="G371">
        <v>6</v>
      </c>
      <c r="H371">
        <v>2500</v>
      </c>
      <c r="I371">
        <v>0.15</v>
      </c>
      <c r="J371">
        <v>15000</v>
      </c>
      <c r="K371">
        <v>12750</v>
      </c>
      <c r="L371">
        <v>9300</v>
      </c>
      <c r="M371">
        <v>1323</v>
      </c>
      <c r="N371">
        <v>1978</v>
      </c>
      <c r="O371">
        <v>149</v>
      </c>
      <c r="P371">
        <v>1.168627450980392E-2</v>
      </c>
      <c r="Q371" t="s">
        <v>39</v>
      </c>
    </row>
    <row r="372" spans="1:17">
      <c r="A372" t="s">
        <v>425</v>
      </c>
      <c r="B372" s="1">
        <v>45806</v>
      </c>
      <c r="C372" t="s">
        <v>18</v>
      </c>
      <c r="D372" t="s">
        <v>31</v>
      </c>
      <c r="E372" t="s">
        <v>26</v>
      </c>
      <c r="F372" t="s">
        <v>35</v>
      </c>
      <c r="G372">
        <v>2</v>
      </c>
      <c r="H372">
        <v>32000</v>
      </c>
      <c r="I372">
        <v>0.1</v>
      </c>
      <c r="J372">
        <v>64000</v>
      </c>
      <c r="K372">
        <v>57600</v>
      </c>
      <c r="L372">
        <v>52480</v>
      </c>
      <c r="M372">
        <v>525</v>
      </c>
      <c r="N372">
        <v>1039</v>
      </c>
      <c r="O372">
        <v>3556</v>
      </c>
      <c r="P372">
        <v>6.173611111111111E-2</v>
      </c>
      <c r="Q372" t="s">
        <v>22</v>
      </c>
    </row>
    <row r="373" spans="1:17">
      <c r="A373" t="s">
        <v>426</v>
      </c>
      <c r="B373" s="1">
        <v>45970</v>
      </c>
      <c r="C373" t="s">
        <v>53</v>
      </c>
      <c r="D373" t="s">
        <v>63</v>
      </c>
      <c r="E373" t="s">
        <v>20</v>
      </c>
      <c r="F373" t="s">
        <v>21</v>
      </c>
      <c r="G373">
        <v>5</v>
      </c>
      <c r="H373">
        <v>1500</v>
      </c>
      <c r="I373">
        <v>0.05</v>
      </c>
      <c r="J373">
        <v>7500</v>
      </c>
      <c r="K373">
        <v>7125</v>
      </c>
      <c r="L373">
        <v>4125</v>
      </c>
      <c r="M373">
        <v>426</v>
      </c>
      <c r="N373">
        <v>1648</v>
      </c>
      <c r="O373">
        <v>926</v>
      </c>
      <c r="P373">
        <v>0.12996491228070181</v>
      </c>
      <c r="Q373" t="s">
        <v>28</v>
      </c>
    </row>
    <row r="374" spans="1:17">
      <c r="A374" t="s">
        <v>427</v>
      </c>
      <c r="B374" s="1">
        <v>46055</v>
      </c>
      <c r="C374" t="s">
        <v>53</v>
      </c>
      <c r="D374" t="s">
        <v>25</v>
      </c>
      <c r="E374" t="s">
        <v>20</v>
      </c>
      <c r="F374" t="s">
        <v>21</v>
      </c>
      <c r="G374">
        <v>7</v>
      </c>
      <c r="H374">
        <v>1500</v>
      </c>
      <c r="I374">
        <v>0.1</v>
      </c>
      <c r="J374">
        <v>10500</v>
      </c>
      <c r="K374">
        <v>9450</v>
      </c>
      <c r="L374">
        <v>5775.0000000000009</v>
      </c>
      <c r="M374">
        <v>757</v>
      </c>
      <c r="N374">
        <v>1915</v>
      </c>
      <c r="O374">
        <v>1002.999999999999</v>
      </c>
      <c r="P374">
        <v>0.106137566137566</v>
      </c>
      <c r="Q374" t="s">
        <v>54</v>
      </c>
    </row>
    <row r="375" spans="1:17">
      <c r="A375" t="s">
        <v>428</v>
      </c>
      <c r="B375" s="1">
        <v>45828</v>
      </c>
      <c r="C375" t="s">
        <v>61</v>
      </c>
      <c r="D375" t="s">
        <v>63</v>
      </c>
      <c r="E375" t="s">
        <v>38</v>
      </c>
      <c r="F375" t="s">
        <v>21</v>
      </c>
      <c r="G375">
        <v>1</v>
      </c>
      <c r="H375">
        <v>4500</v>
      </c>
      <c r="I375">
        <v>0.15</v>
      </c>
      <c r="J375">
        <v>4500</v>
      </c>
      <c r="K375">
        <v>3825</v>
      </c>
      <c r="L375">
        <v>2925</v>
      </c>
      <c r="M375">
        <v>1083</v>
      </c>
      <c r="N375">
        <v>640</v>
      </c>
      <c r="O375">
        <v>-823</v>
      </c>
      <c r="P375">
        <v>-0.21516339869281051</v>
      </c>
      <c r="Q375" t="s">
        <v>39</v>
      </c>
    </row>
    <row r="376" spans="1:17">
      <c r="A376" t="s">
        <v>429</v>
      </c>
      <c r="B376" s="1">
        <v>46159</v>
      </c>
      <c r="C376" t="s">
        <v>61</v>
      </c>
      <c r="D376" t="s">
        <v>51</v>
      </c>
      <c r="E376" t="s">
        <v>20</v>
      </c>
      <c r="F376" t="s">
        <v>35</v>
      </c>
      <c r="G376">
        <v>1</v>
      </c>
      <c r="H376">
        <v>4500</v>
      </c>
      <c r="I376">
        <v>0.05</v>
      </c>
      <c r="J376">
        <v>4500</v>
      </c>
      <c r="K376">
        <v>4275</v>
      </c>
      <c r="L376">
        <v>2925</v>
      </c>
      <c r="M376">
        <v>1379</v>
      </c>
      <c r="N376">
        <v>2251</v>
      </c>
      <c r="O376">
        <v>-2280</v>
      </c>
      <c r="P376">
        <v>-0.53333333333333333</v>
      </c>
      <c r="Q376" t="s">
        <v>73</v>
      </c>
    </row>
    <row r="377" spans="1:17">
      <c r="A377" t="s">
        <v>430</v>
      </c>
      <c r="B377" s="1">
        <v>46158</v>
      </c>
      <c r="C377" t="s">
        <v>75</v>
      </c>
      <c r="D377" t="s">
        <v>63</v>
      </c>
      <c r="E377" t="s">
        <v>26</v>
      </c>
      <c r="F377" t="s">
        <v>21</v>
      </c>
      <c r="G377">
        <v>2</v>
      </c>
      <c r="H377">
        <v>65000</v>
      </c>
      <c r="I377">
        <v>0.03</v>
      </c>
      <c r="J377">
        <v>130000</v>
      </c>
      <c r="K377">
        <v>126100</v>
      </c>
      <c r="L377">
        <v>109200</v>
      </c>
      <c r="M377">
        <v>1614</v>
      </c>
      <c r="N377">
        <v>1859</v>
      </c>
      <c r="O377">
        <v>13427</v>
      </c>
      <c r="P377">
        <v>0.1064789849325932</v>
      </c>
      <c r="Q377" t="s">
        <v>73</v>
      </c>
    </row>
    <row r="378" spans="1:17">
      <c r="A378" t="s">
        <v>431</v>
      </c>
      <c r="B378" s="1">
        <v>46030</v>
      </c>
      <c r="C378" t="s">
        <v>53</v>
      </c>
      <c r="D378" t="s">
        <v>31</v>
      </c>
      <c r="E378" t="s">
        <v>26</v>
      </c>
      <c r="F378" t="s">
        <v>27</v>
      </c>
      <c r="G378">
        <v>1</v>
      </c>
      <c r="H378">
        <v>1500</v>
      </c>
      <c r="I378">
        <v>0.05</v>
      </c>
      <c r="J378">
        <v>1500</v>
      </c>
      <c r="K378">
        <v>1425</v>
      </c>
      <c r="L378">
        <v>825.00000000000011</v>
      </c>
      <c r="M378">
        <v>1751</v>
      </c>
      <c r="N378">
        <v>819</v>
      </c>
      <c r="O378">
        <v>-1970</v>
      </c>
      <c r="P378">
        <v>-1.382456140350877</v>
      </c>
      <c r="Q378" t="s">
        <v>43</v>
      </c>
    </row>
    <row r="379" spans="1:17">
      <c r="A379" t="s">
        <v>432</v>
      </c>
      <c r="B379" s="1">
        <v>46161</v>
      </c>
      <c r="C379" t="s">
        <v>50</v>
      </c>
      <c r="D379" t="s">
        <v>51</v>
      </c>
      <c r="E379" t="s">
        <v>20</v>
      </c>
      <c r="F379" t="s">
        <v>35</v>
      </c>
      <c r="G379">
        <v>1</v>
      </c>
      <c r="H379">
        <v>2500</v>
      </c>
      <c r="I379">
        <v>0.08</v>
      </c>
      <c r="J379">
        <v>2500</v>
      </c>
      <c r="K379">
        <v>2300</v>
      </c>
      <c r="L379">
        <v>1550</v>
      </c>
      <c r="M379">
        <v>975</v>
      </c>
      <c r="N379">
        <v>324</v>
      </c>
      <c r="O379">
        <v>-549</v>
      </c>
      <c r="P379">
        <v>-0.238695652173913</v>
      </c>
      <c r="Q379" t="s">
        <v>73</v>
      </c>
    </row>
    <row r="380" spans="1:17">
      <c r="A380" t="s">
        <v>433</v>
      </c>
      <c r="B380" s="1">
        <v>46069</v>
      </c>
      <c r="C380" t="s">
        <v>50</v>
      </c>
      <c r="D380" t="s">
        <v>51</v>
      </c>
      <c r="E380" t="s">
        <v>26</v>
      </c>
      <c r="F380" t="s">
        <v>21</v>
      </c>
      <c r="G380">
        <v>5</v>
      </c>
      <c r="H380">
        <v>2500</v>
      </c>
      <c r="I380">
        <v>0.03</v>
      </c>
      <c r="J380">
        <v>12500</v>
      </c>
      <c r="K380">
        <v>12125</v>
      </c>
      <c r="L380">
        <v>7750</v>
      </c>
      <c r="M380">
        <v>809</v>
      </c>
      <c r="N380">
        <v>1349</v>
      </c>
      <c r="O380">
        <v>2217</v>
      </c>
      <c r="P380">
        <v>0.18284536082474229</v>
      </c>
      <c r="Q380" t="s">
        <v>54</v>
      </c>
    </row>
    <row r="381" spans="1:17">
      <c r="A381" t="s">
        <v>434</v>
      </c>
      <c r="B381" s="1">
        <v>46091</v>
      </c>
      <c r="C381" t="s">
        <v>30</v>
      </c>
      <c r="D381" t="s">
        <v>19</v>
      </c>
      <c r="E381" t="s">
        <v>38</v>
      </c>
      <c r="F381" t="s">
        <v>35</v>
      </c>
      <c r="G381">
        <v>2</v>
      </c>
      <c r="H381">
        <v>28000</v>
      </c>
      <c r="I381">
        <v>0.2</v>
      </c>
      <c r="J381">
        <v>56000</v>
      </c>
      <c r="K381">
        <v>44800</v>
      </c>
      <c r="L381">
        <v>43680</v>
      </c>
      <c r="M381">
        <v>830</v>
      </c>
      <c r="N381">
        <v>1947</v>
      </c>
      <c r="O381">
        <v>-1657</v>
      </c>
      <c r="P381">
        <v>-3.6986607142857141E-2</v>
      </c>
      <c r="Q381" t="s">
        <v>98</v>
      </c>
    </row>
    <row r="382" spans="1:17">
      <c r="A382" t="s">
        <v>435</v>
      </c>
      <c r="B382" s="1">
        <v>45682</v>
      </c>
      <c r="C382" t="s">
        <v>75</v>
      </c>
      <c r="D382" t="s">
        <v>25</v>
      </c>
      <c r="E382" t="s">
        <v>20</v>
      </c>
      <c r="F382" t="s">
        <v>35</v>
      </c>
      <c r="G382">
        <v>1</v>
      </c>
      <c r="H382">
        <v>65000</v>
      </c>
      <c r="I382">
        <v>0.03</v>
      </c>
      <c r="J382">
        <v>65000</v>
      </c>
      <c r="K382">
        <v>63050</v>
      </c>
      <c r="L382">
        <v>54600</v>
      </c>
      <c r="M382">
        <v>1715</v>
      </c>
      <c r="N382">
        <v>125</v>
      </c>
      <c r="O382">
        <v>6610</v>
      </c>
      <c r="P382">
        <v>0.1048374306106265</v>
      </c>
      <c r="Q382" t="s">
        <v>56</v>
      </c>
    </row>
    <row r="383" spans="1:17">
      <c r="A383" t="s">
        <v>436</v>
      </c>
      <c r="B383" s="1">
        <v>46069</v>
      </c>
      <c r="C383" t="s">
        <v>24</v>
      </c>
      <c r="D383" t="s">
        <v>19</v>
      </c>
      <c r="E383" t="s">
        <v>20</v>
      </c>
      <c r="F383" t="s">
        <v>35</v>
      </c>
      <c r="G383">
        <v>5</v>
      </c>
      <c r="H383">
        <v>3500</v>
      </c>
      <c r="I383">
        <v>0.08</v>
      </c>
      <c r="J383">
        <v>17500</v>
      </c>
      <c r="K383">
        <v>16100</v>
      </c>
      <c r="L383">
        <v>11900</v>
      </c>
      <c r="M383">
        <v>1291</v>
      </c>
      <c r="N383">
        <v>1106</v>
      </c>
      <c r="O383">
        <v>1803</v>
      </c>
      <c r="P383">
        <v>0.11198757763975151</v>
      </c>
      <c r="Q383" t="s">
        <v>54</v>
      </c>
    </row>
    <row r="384" spans="1:17">
      <c r="A384" t="s">
        <v>437</v>
      </c>
      <c r="B384" s="1">
        <v>46146</v>
      </c>
      <c r="C384" t="s">
        <v>53</v>
      </c>
      <c r="D384" t="s">
        <v>34</v>
      </c>
      <c r="E384" t="s">
        <v>20</v>
      </c>
      <c r="F384" t="s">
        <v>35</v>
      </c>
      <c r="G384">
        <v>6</v>
      </c>
      <c r="H384">
        <v>1500</v>
      </c>
      <c r="I384">
        <v>0.05</v>
      </c>
      <c r="J384">
        <v>9000</v>
      </c>
      <c r="K384">
        <v>8550</v>
      </c>
      <c r="L384">
        <v>4950</v>
      </c>
      <c r="M384">
        <v>1792</v>
      </c>
      <c r="N384">
        <v>258</v>
      </c>
      <c r="O384">
        <v>1550</v>
      </c>
      <c r="P384">
        <v>0.1812865497076023</v>
      </c>
      <c r="Q384" t="s">
        <v>73</v>
      </c>
    </row>
    <row r="385" spans="1:17">
      <c r="A385" t="s">
        <v>438</v>
      </c>
      <c r="B385" s="1">
        <v>46079</v>
      </c>
      <c r="C385" t="s">
        <v>24</v>
      </c>
      <c r="D385" t="s">
        <v>19</v>
      </c>
      <c r="E385" t="s">
        <v>26</v>
      </c>
      <c r="F385" t="s">
        <v>35</v>
      </c>
      <c r="G385">
        <v>4</v>
      </c>
      <c r="H385">
        <v>3500</v>
      </c>
      <c r="I385">
        <v>0.08</v>
      </c>
      <c r="J385">
        <v>14000</v>
      </c>
      <c r="K385">
        <v>12880</v>
      </c>
      <c r="L385">
        <v>9520</v>
      </c>
      <c r="M385">
        <v>658</v>
      </c>
      <c r="N385">
        <v>2395</v>
      </c>
      <c r="O385">
        <v>307</v>
      </c>
      <c r="P385">
        <v>2.383540372670807E-2</v>
      </c>
      <c r="Q385" t="s">
        <v>54</v>
      </c>
    </row>
    <row r="386" spans="1:17">
      <c r="A386" t="s">
        <v>439</v>
      </c>
      <c r="B386" s="1">
        <v>45959</v>
      </c>
      <c r="C386" t="s">
        <v>30</v>
      </c>
      <c r="D386" t="s">
        <v>51</v>
      </c>
      <c r="E386" t="s">
        <v>20</v>
      </c>
      <c r="F386" t="s">
        <v>21</v>
      </c>
      <c r="G386">
        <v>1</v>
      </c>
      <c r="H386">
        <v>28000</v>
      </c>
      <c r="I386">
        <v>0.2</v>
      </c>
      <c r="J386">
        <v>28000</v>
      </c>
      <c r="K386">
        <v>22400</v>
      </c>
      <c r="L386">
        <v>21840</v>
      </c>
      <c r="M386">
        <v>1613</v>
      </c>
      <c r="N386">
        <v>2357</v>
      </c>
      <c r="O386">
        <v>-3410</v>
      </c>
      <c r="P386">
        <v>-0.15223214285714279</v>
      </c>
      <c r="Q386" t="s">
        <v>88</v>
      </c>
    </row>
    <row r="387" spans="1:17">
      <c r="A387" t="s">
        <v>440</v>
      </c>
      <c r="B387" s="1">
        <v>45818</v>
      </c>
      <c r="C387" t="s">
        <v>61</v>
      </c>
      <c r="D387" t="s">
        <v>63</v>
      </c>
      <c r="E387" t="s">
        <v>38</v>
      </c>
      <c r="F387" t="s">
        <v>21</v>
      </c>
      <c r="G387">
        <v>5</v>
      </c>
      <c r="H387">
        <v>4500</v>
      </c>
      <c r="I387">
        <v>0.05</v>
      </c>
      <c r="J387">
        <v>22500</v>
      </c>
      <c r="K387">
        <v>21375</v>
      </c>
      <c r="L387">
        <v>14625</v>
      </c>
      <c r="M387">
        <v>692</v>
      </c>
      <c r="N387">
        <v>719</v>
      </c>
      <c r="O387">
        <v>5339</v>
      </c>
      <c r="P387">
        <v>0.24977777777777779</v>
      </c>
      <c r="Q387" t="s">
        <v>39</v>
      </c>
    </row>
    <row r="388" spans="1:17">
      <c r="A388" t="s">
        <v>441</v>
      </c>
      <c r="B388" s="1">
        <v>45909</v>
      </c>
      <c r="C388" t="s">
        <v>50</v>
      </c>
      <c r="D388" t="s">
        <v>19</v>
      </c>
      <c r="E388" t="s">
        <v>38</v>
      </c>
      <c r="F388" t="s">
        <v>21</v>
      </c>
      <c r="G388">
        <v>7</v>
      </c>
      <c r="H388">
        <v>2500</v>
      </c>
      <c r="I388">
        <v>0.03</v>
      </c>
      <c r="J388">
        <v>17500</v>
      </c>
      <c r="K388">
        <v>16975</v>
      </c>
      <c r="L388">
        <v>10850</v>
      </c>
      <c r="M388">
        <v>471</v>
      </c>
      <c r="N388">
        <v>679</v>
      </c>
      <c r="O388">
        <v>4975</v>
      </c>
      <c r="P388">
        <v>0.29307805596465392</v>
      </c>
      <c r="Q388" t="s">
        <v>32</v>
      </c>
    </row>
    <row r="389" spans="1:17">
      <c r="A389" t="s">
        <v>442</v>
      </c>
      <c r="B389" s="1">
        <v>45968</v>
      </c>
      <c r="C389" t="s">
        <v>50</v>
      </c>
      <c r="D389" t="s">
        <v>34</v>
      </c>
      <c r="E389" t="s">
        <v>26</v>
      </c>
      <c r="F389" t="s">
        <v>27</v>
      </c>
      <c r="G389">
        <v>5</v>
      </c>
      <c r="H389">
        <v>2500</v>
      </c>
      <c r="I389">
        <v>0.05</v>
      </c>
      <c r="J389">
        <v>12500</v>
      </c>
      <c r="K389">
        <v>11875</v>
      </c>
      <c r="L389">
        <v>7750</v>
      </c>
      <c r="M389">
        <v>1242</v>
      </c>
      <c r="N389">
        <v>2106</v>
      </c>
      <c r="O389">
        <v>777</v>
      </c>
      <c r="P389">
        <v>6.5431578947368424E-2</v>
      </c>
      <c r="Q389" t="s">
        <v>28</v>
      </c>
    </row>
    <row r="390" spans="1:17">
      <c r="A390" t="s">
        <v>443</v>
      </c>
      <c r="B390" s="1">
        <v>46011</v>
      </c>
      <c r="C390" t="s">
        <v>53</v>
      </c>
      <c r="D390" t="s">
        <v>63</v>
      </c>
      <c r="E390" t="s">
        <v>38</v>
      </c>
      <c r="F390" t="s">
        <v>21</v>
      </c>
      <c r="G390">
        <v>4</v>
      </c>
      <c r="H390">
        <v>1500</v>
      </c>
      <c r="I390">
        <v>0.1</v>
      </c>
      <c r="J390">
        <v>6000</v>
      </c>
      <c r="K390">
        <v>5400</v>
      </c>
      <c r="L390">
        <v>3300</v>
      </c>
      <c r="M390">
        <v>1794</v>
      </c>
      <c r="N390">
        <v>2272</v>
      </c>
      <c r="O390">
        <v>-1966</v>
      </c>
      <c r="P390">
        <v>-0.36407407407407422</v>
      </c>
      <c r="Q390" t="s">
        <v>80</v>
      </c>
    </row>
    <row r="391" spans="1:17">
      <c r="A391" t="s">
        <v>444</v>
      </c>
      <c r="B391" s="1">
        <v>46135</v>
      </c>
      <c r="C391" t="s">
        <v>30</v>
      </c>
      <c r="D391" t="s">
        <v>31</v>
      </c>
      <c r="E391" t="s">
        <v>20</v>
      </c>
      <c r="F391" t="s">
        <v>21</v>
      </c>
      <c r="G391">
        <v>2</v>
      </c>
      <c r="H391">
        <v>28000</v>
      </c>
      <c r="I391">
        <v>0.1</v>
      </c>
      <c r="J391">
        <v>56000</v>
      </c>
      <c r="K391">
        <v>50400</v>
      </c>
      <c r="L391">
        <v>43680</v>
      </c>
      <c r="M391">
        <v>1364</v>
      </c>
      <c r="N391">
        <v>107</v>
      </c>
      <c r="O391">
        <v>5249</v>
      </c>
      <c r="P391">
        <v>0.1041468253968254</v>
      </c>
      <c r="Q391" t="s">
        <v>65</v>
      </c>
    </row>
    <row r="392" spans="1:17">
      <c r="A392" t="s">
        <v>445</v>
      </c>
      <c r="B392" s="1">
        <v>45750</v>
      </c>
      <c r="C392" t="s">
        <v>18</v>
      </c>
      <c r="D392" t="s">
        <v>34</v>
      </c>
      <c r="E392" t="s">
        <v>26</v>
      </c>
      <c r="F392" t="s">
        <v>21</v>
      </c>
      <c r="G392">
        <v>1</v>
      </c>
      <c r="H392">
        <v>32000</v>
      </c>
      <c r="I392">
        <v>0.03</v>
      </c>
      <c r="J392">
        <v>32000</v>
      </c>
      <c r="K392">
        <v>31040</v>
      </c>
      <c r="L392">
        <v>26240</v>
      </c>
      <c r="M392">
        <v>953</v>
      </c>
      <c r="N392">
        <v>1977</v>
      </c>
      <c r="O392">
        <v>1870</v>
      </c>
      <c r="P392">
        <v>6.0244845360824743E-2</v>
      </c>
      <c r="Q392" t="s">
        <v>41</v>
      </c>
    </row>
    <row r="393" spans="1:17">
      <c r="A393" t="s">
        <v>446</v>
      </c>
      <c r="B393" s="1">
        <v>45827</v>
      </c>
      <c r="C393" t="s">
        <v>53</v>
      </c>
      <c r="D393" t="s">
        <v>31</v>
      </c>
      <c r="E393" t="s">
        <v>20</v>
      </c>
      <c r="F393" t="s">
        <v>21</v>
      </c>
      <c r="G393">
        <v>5</v>
      </c>
      <c r="H393">
        <v>1500</v>
      </c>
      <c r="I393">
        <v>0.05</v>
      </c>
      <c r="J393">
        <v>7500</v>
      </c>
      <c r="K393">
        <v>7125</v>
      </c>
      <c r="L393">
        <v>4125</v>
      </c>
      <c r="M393">
        <v>1379</v>
      </c>
      <c r="N393">
        <v>2318</v>
      </c>
      <c r="O393">
        <v>-697</v>
      </c>
      <c r="P393">
        <v>-9.7824561403508772E-2</v>
      </c>
      <c r="Q393" t="s">
        <v>39</v>
      </c>
    </row>
    <row r="394" spans="1:17">
      <c r="A394" t="s">
        <v>447</v>
      </c>
      <c r="B394" s="1">
        <v>46108</v>
      </c>
      <c r="C394" t="s">
        <v>46</v>
      </c>
      <c r="D394" t="s">
        <v>31</v>
      </c>
      <c r="E394" t="s">
        <v>26</v>
      </c>
      <c r="F394" t="s">
        <v>35</v>
      </c>
      <c r="G394">
        <v>3</v>
      </c>
      <c r="H394">
        <v>18000</v>
      </c>
      <c r="I394">
        <v>0.03</v>
      </c>
      <c r="J394">
        <v>54000</v>
      </c>
      <c r="K394">
        <v>52380</v>
      </c>
      <c r="L394">
        <v>43200</v>
      </c>
      <c r="M394">
        <v>1378</v>
      </c>
      <c r="N394">
        <v>448</v>
      </c>
      <c r="O394">
        <v>7354</v>
      </c>
      <c r="P394">
        <v>0.1403970981290569</v>
      </c>
      <c r="Q394" t="s">
        <v>98</v>
      </c>
    </row>
    <row r="395" spans="1:17">
      <c r="A395" t="s">
        <v>448</v>
      </c>
      <c r="B395" s="1">
        <v>45786</v>
      </c>
      <c r="C395" t="s">
        <v>75</v>
      </c>
      <c r="D395" t="s">
        <v>63</v>
      </c>
      <c r="E395" t="s">
        <v>26</v>
      </c>
      <c r="F395" t="s">
        <v>35</v>
      </c>
      <c r="G395">
        <v>2</v>
      </c>
      <c r="H395">
        <v>65000</v>
      </c>
      <c r="I395">
        <v>0.05</v>
      </c>
      <c r="J395">
        <v>130000</v>
      </c>
      <c r="K395">
        <v>123500</v>
      </c>
      <c r="L395">
        <v>109200</v>
      </c>
      <c r="M395">
        <v>866</v>
      </c>
      <c r="N395">
        <v>1622</v>
      </c>
      <c r="O395">
        <v>11812</v>
      </c>
      <c r="P395">
        <v>9.5643724696356278E-2</v>
      </c>
      <c r="Q395" t="s">
        <v>22</v>
      </c>
    </row>
    <row r="396" spans="1:17">
      <c r="A396" t="s">
        <v>449</v>
      </c>
      <c r="B396" s="1">
        <v>45773</v>
      </c>
      <c r="C396" t="s">
        <v>53</v>
      </c>
      <c r="D396" t="s">
        <v>51</v>
      </c>
      <c r="E396" t="s">
        <v>26</v>
      </c>
      <c r="F396" t="s">
        <v>35</v>
      </c>
      <c r="G396">
        <v>4</v>
      </c>
      <c r="H396">
        <v>1500</v>
      </c>
      <c r="I396">
        <v>0.1</v>
      </c>
      <c r="J396">
        <v>6000</v>
      </c>
      <c r="K396">
        <v>5400</v>
      </c>
      <c r="L396">
        <v>3300</v>
      </c>
      <c r="M396">
        <v>1582</v>
      </c>
      <c r="N396">
        <v>373</v>
      </c>
      <c r="O396">
        <v>144.99999999999949</v>
      </c>
      <c r="P396">
        <v>2.6851851851851769E-2</v>
      </c>
      <c r="Q396" t="s">
        <v>41</v>
      </c>
    </row>
    <row r="397" spans="1:17">
      <c r="A397" t="s">
        <v>450</v>
      </c>
      <c r="B397" s="1">
        <v>46061</v>
      </c>
      <c r="C397" t="s">
        <v>53</v>
      </c>
      <c r="D397" t="s">
        <v>31</v>
      </c>
      <c r="E397" t="s">
        <v>20</v>
      </c>
      <c r="F397" t="s">
        <v>21</v>
      </c>
      <c r="G397">
        <v>1</v>
      </c>
      <c r="H397">
        <v>1500</v>
      </c>
      <c r="I397">
        <v>0.03</v>
      </c>
      <c r="J397">
        <v>1500</v>
      </c>
      <c r="K397">
        <v>1455</v>
      </c>
      <c r="L397">
        <v>825.00000000000011</v>
      </c>
      <c r="M397">
        <v>1281</v>
      </c>
      <c r="N397">
        <v>253</v>
      </c>
      <c r="O397">
        <v>-904.00000000000011</v>
      </c>
      <c r="P397">
        <v>-0.62130584192439875</v>
      </c>
      <c r="Q397" t="s">
        <v>54</v>
      </c>
    </row>
    <row r="398" spans="1:17">
      <c r="A398" t="s">
        <v>451</v>
      </c>
      <c r="B398" s="1">
        <v>45935</v>
      </c>
      <c r="C398" t="s">
        <v>75</v>
      </c>
      <c r="D398" t="s">
        <v>25</v>
      </c>
      <c r="E398" t="s">
        <v>26</v>
      </c>
      <c r="F398" t="s">
        <v>35</v>
      </c>
      <c r="G398">
        <v>1</v>
      </c>
      <c r="H398">
        <v>65000</v>
      </c>
      <c r="I398">
        <v>0.03</v>
      </c>
      <c r="J398">
        <v>65000</v>
      </c>
      <c r="K398">
        <v>63050</v>
      </c>
      <c r="L398">
        <v>54600</v>
      </c>
      <c r="M398">
        <v>1416</v>
      </c>
      <c r="N398">
        <v>1524</v>
      </c>
      <c r="O398">
        <v>5510</v>
      </c>
      <c r="P398">
        <v>8.7390959555908004E-2</v>
      </c>
      <c r="Q398" t="s">
        <v>88</v>
      </c>
    </row>
    <row r="399" spans="1:17">
      <c r="A399" t="s">
        <v>452</v>
      </c>
      <c r="B399" s="1">
        <v>45756</v>
      </c>
      <c r="C399" t="s">
        <v>53</v>
      </c>
      <c r="D399" t="s">
        <v>31</v>
      </c>
      <c r="E399" t="s">
        <v>26</v>
      </c>
      <c r="F399" t="s">
        <v>35</v>
      </c>
      <c r="G399">
        <v>5</v>
      </c>
      <c r="H399">
        <v>1500</v>
      </c>
      <c r="I399">
        <v>0.1</v>
      </c>
      <c r="J399">
        <v>7500</v>
      </c>
      <c r="K399">
        <v>6750</v>
      </c>
      <c r="L399">
        <v>4125</v>
      </c>
      <c r="M399">
        <v>1023</v>
      </c>
      <c r="N399">
        <v>1046</v>
      </c>
      <c r="O399">
        <v>556</v>
      </c>
      <c r="P399">
        <v>8.2370370370370372E-2</v>
      </c>
      <c r="Q399" t="s">
        <v>41</v>
      </c>
    </row>
    <row r="400" spans="1:17">
      <c r="A400" t="s">
        <v>453</v>
      </c>
      <c r="B400" s="1">
        <v>46062</v>
      </c>
      <c r="C400" t="s">
        <v>53</v>
      </c>
      <c r="D400" t="s">
        <v>34</v>
      </c>
      <c r="E400" t="s">
        <v>26</v>
      </c>
      <c r="F400" t="s">
        <v>21</v>
      </c>
      <c r="G400">
        <v>7</v>
      </c>
      <c r="H400">
        <v>1500</v>
      </c>
      <c r="I400">
        <v>0.15</v>
      </c>
      <c r="J400">
        <v>10500</v>
      </c>
      <c r="K400">
        <v>8925</v>
      </c>
      <c r="L400">
        <v>5775.0000000000009</v>
      </c>
      <c r="M400">
        <v>526</v>
      </c>
      <c r="N400">
        <v>2301</v>
      </c>
      <c r="O400">
        <v>322.99999999999909</v>
      </c>
      <c r="P400">
        <v>3.6190476190476092E-2</v>
      </c>
      <c r="Q400" t="s">
        <v>54</v>
      </c>
    </row>
    <row r="401" spans="1:17">
      <c r="A401" t="s">
        <v>454</v>
      </c>
      <c r="B401" s="1">
        <v>45804</v>
      </c>
      <c r="C401" t="s">
        <v>18</v>
      </c>
      <c r="D401" t="s">
        <v>34</v>
      </c>
      <c r="E401" t="s">
        <v>20</v>
      </c>
      <c r="F401" t="s">
        <v>35</v>
      </c>
      <c r="G401">
        <v>2</v>
      </c>
      <c r="H401">
        <v>32000</v>
      </c>
      <c r="I401">
        <v>0.03</v>
      </c>
      <c r="J401">
        <v>64000</v>
      </c>
      <c r="K401">
        <v>62080</v>
      </c>
      <c r="L401">
        <v>52480</v>
      </c>
      <c r="M401">
        <v>420</v>
      </c>
      <c r="N401">
        <v>1491</v>
      </c>
      <c r="O401">
        <v>7689</v>
      </c>
      <c r="P401">
        <v>0.12385631443298969</v>
      </c>
      <c r="Q401" t="s">
        <v>22</v>
      </c>
    </row>
    <row r="402" spans="1:17">
      <c r="A402" t="s">
        <v>455</v>
      </c>
      <c r="B402" s="1">
        <v>46024</v>
      </c>
      <c r="C402" t="s">
        <v>53</v>
      </c>
      <c r="D402" t="s">
        <v>19</v>
      </c>
      <c r="E402" t="s">
        <v>38</v>
      </c>
      <c r="F402" t="s">
        <v>35</v>
      </c>
      <c r="G402">
        <v>2</v>
      </c>
      <c r="H402">
        <v>1500</v>
      </c>
      <c r="I402">
        <v>0.15</v>
      </c>
      <c r="J402">
        <v>3000</v>
      </c>
      <c r="K402">
        <v>2550</v>
      </c>
      <c r="L402">
        <v>1650</v>
      </c>
      <c r="M402">
        <v>620</v>
      </c>
      <c r="N402">
        <v>2020</v>
      </c>
      <c r="O402">
        <v>-1740</v>
      </c>
      <c r="P402">
        <v>-0.68235294117647072</v>
      </c>
      <c r="Q402" t="s">
        <v>43</v>
      </c>
    </row>
    <row r="403" spans="1:17">
      <c r="A403" t="s">
        <v>456</v>
      </c>
      <c r="B403" s="1">
        <v>46090</v>
      </c>
      <c r="C403" t="s">
        <v>30</v>
      </c>
      <c r="D403" t="s">
        <v>51</v>
      </c>
      <c r="E403" t="s">
        <v>20</v>
      </c>
      <c r="F403" t="s">
        <v>35</v>
      </c>
      <c r="G403">
        <v>1</v>
      </c>
      <c r="H403">
        <v>28000</v>
      </c>
      <c r="I403">
        <v>0.1</v>
      </c>
      <c r="J403">
        <v>28000</v>
      </c>
      <c r="K403">
        <v>25200</v>
      </c>
      <c r="L403">
        <v>21840</v>
      </c>
      <c r="M403">
        <v>1227</v>
      </c>
      <c r="N403">
        <v>389</v>
      </c>
      <c r="O403">
        <v>1744</v>
      </c>
      <c r="P403">
        <v>6.9206349206349202E-2</v>
      </c>
      <c r="Q403" t="s">
        <v>98</v>
      </c>
    </row>
    <row r="404" spans="1:17">
      <c r="A404" t="s">
        <v>457</v>
      </c>
      <c r="B404" s="1">
        <v>46166</v>
      </c>
      <c r="C404" t="s">
        <v>24</v>
      </c>
      <c r="D404" t="s">
        <v>63</v>
      </c>
      <c r="E404" t="s">
        <v>20</v>
      </c>
      <c r="F404" t="s">
        <v>35</v>
      </c>
      <c r="G404">
        <v>7</v>
      </c>
      <c r="H404">
        <v>3500</v>
      </c>
      <c r="I404">
        <v>0</v>
      </c>
      <c r="J404">
        <v>24500</v>
      </c>
      <c r="K404">
        <v>24500</v>
      </c>
      <c r="L404">
        <v>16660</v>
      </c>
      <c r="M404">
        <v>880</v>
      </c>
      <c r="N404">
        <v>924</v>
      </c>
      <c r="O404">
        <v>6036</v>
      </c>
      <c r="P404">
        <v>0.24636734693877549</v>
      </c>
      <c r="Q404" t="s">
        <v>73</v>
      </c>
    </row>
    <row r="405" spans="1:17">
      <c r="A405" t="s">
        <v>458</v>
      </c>
      <c r="B405" s="1">
        <v>46172</v>
      </c>
      <c r="C405" t="s">
        <v>75</v>
      </c>
      <c r="D405" t="s">
        <v>19</v>
      </c>
      <c r="E405" t="s">
        <v>20</v>
      </c>
      <c r="F405" t="s">
        <v>35</v>
      </c>
      <c r="G405">
        <v>2</v>
      </c>
      <c r="H405">
        <v>65000</v>
      </c>
      <c r="I405">
        <v>0.03</v>
      </c>
      <c r="J405">
        <v>130000</v>
      </c>
      <c r="K405">
        <v>126100</v>
      </c>
      <c r="L405">
        <v>109200</v>
      </c>
      <c r="M405">
        <v>1308</v>
      </c>
      <c r="N405">
        <v>311</v>
      </c>
      <c r="O405">
        <v>15281</v>
      </c>
      <c r="P405">
        <v>0.1211816019032514</v>
      </c>
      <c r="Q405" t="s">
        <v>73</v>
      </c>
    </row>
    <row r="406" spans="1:17">
      <c r="A406" t="s">
        <v>459</v>
      </c>
      <c r="B406" s="1">
        <v>46000</v>
      </c>
      <c r="C406" t="s">
        <v>53</v>
      </c>
      <c r="D406" t="s">
        <v>25</v>
      </c>
      <c r="E406" t="s">
        <v>20</v>
      </c>
      <c r="F406" t="s">
        <v>35</v>
      </c>
      <c r="G406">
        <v>6</v>
      </c>
      <c r="H406">
        <v>1500</v>
      </c>
      <c r="I406">
        <v>0.1</v>
      </c>
      <c r="J406">
        <v>9000</v>
      </c>
      <c r="K406">
        <v>8100</v>
      </c>
      <c r="L406">
        <v>4950</v>
      </c>
      <c r="M406">
        <v>619</v>
      </c>
      <c r="N406">
        <v>2088</v>
      </c>
      <c r="O406">
        <v>443</v>
      </c>
      <c r="P406">
        <v>5.4691358024691362E-2</v>
      </c>
      <c r="Q406" t="s">
        <v>80</v>
      </c>
    </row>
    <row r="407" spans="1:17">
      <c r="A407" t="s">
        <v>460</v>
      </c>
      <c r="B407" s="1">
        <v>46036</v>
      </c>
      <c r="C407" t="s">
        <v>75</v>
      </c>
      <c r="D407" t="s">
        <v>34</v>
      </c>
      <c r="E407" t="s">
        <v>20</v>
      </c>
      <c r="F407" t="s">
        <v>35</v>
      </c>
      <c r="G407">
        <v>3</v>
      </c>
      <c r="H407">
        <v>65000</v>
      </c>
      <c r="I407">
        <v>0.05</v>
      </c>
      <c r="J407">
        <v>195000</v>
      </c>
      <c r="K407">
        <v>185250</v>
      </c>
      <c r="L407">
        <v>163800</v>
      </c>
      <c r="M407">
        <v>1408</v>
      </c>
      <c r="N407">
        <v>595</v>
      </c>
      <c r="O407">
        <v>19447</v>
      </c>
      <c r="P407">
        <v>0.1049770580296896</v>
      </c>
      <c r="Q407" t="s">
        <v>43</v>
      </c>
    </row>
    <row r="408" spans="1:17">
      <c r="A408" t="s">
        <v>461</v>
      </c>
      <c r="B408" s="1">
        <v>45859</v>
      </c>
      <c r="C408" t="s">
        <v>61</v>
      </c>
      <c r="D408" t="s">
        <v>19</v>
      </c>
      <c r="E408" t="s">
        <v>20</v>
      </c>
      <c r="F408" t="s">
        <v>21</v>
      </c>
      <c r="G408">
        <v>5</v>
      </c>
      <c r="H408">
        <v>4500</v>
      </c>
      <c r="I408">
        <v>0.08</v>
      </c>
      <c r="J408">
        <v>22500</v>
      </c>
      <c r="K408">
        <v>20700</v>
      </c>
      <c r="L408">
        <v>14625</v>
      </c>
      <c r="M408">
        <v>952</v>
      </c>
      <c r="N408">
        <v>371</v>
      </c>
      <c r="O408">
        <v>4752</v>
      </c>
      <c r="P408">
        <v>0.22956521739130431</v>
      </c>
      <c r="Q408" t="s">
        <v>36</v>
      </c>
    </row>
    <row r="409" spans="1:17">
      <c r="A409" t="s">
        <v>462</v>
      </c>
      <c r="B409" s="1">
        <v>46093</v>
      </c>
      <c r="C409" t="s">
        <v>75</v>
      </c>
      <c r="D409" t="s">
        <v>63</v>
      </c>
      <c r="E409" t="s">
        <v>20</v>
      </c>
      <c r="F409" t="s">
        <v>21</v>
      </c>
      <c r="G409">
        <v>3</v>
      </c>
      <c r="H409">
        <v>65000</v>
      </c>
      <c r="I409">
        <v>0.08</v>
      </c>
      <c r="J409">
        <v>195000</v>
      </c>
      <c r="K409">
        <v>179400</v>
      </c>
      <c r="L409">
        <v>163800</v>
      </c>
      <c r="M409">
        <v>925</v>
      </c>
      <c r="N409">
        <v>1683</v>
      </c>
      <c r="O409">
        <v>12992</v>
      </c>
      <c r="P409">
        <v>7.241917502787068E-2</v>
      </c>
      <c r="Q409" t="s">
        <v>98</v>
      </c>
    </row>
    <row r="410" spans="1:17">
      <c r="A410" t="s">
        <v>463</v>
      </c>
      <c r="B410" s="1">
        <v>46146</v>
      </c>
      <c r="C410" t="s">
        <v>75</v>
      </c>
      <c r="D410" t="s">
        <v>25</v>
      </c>
      <c r="E410" t="s">
        <v>26</v>
      </c>
      <c r="F410" t="s">
        <v>21</v>
      </c>
      <c r="G410">
        <v>1</v>
      </c>
      <c r="H410">
        <v>65000</v>
      </c>
      <c r="I410">
        <v>0.1</v>
      </c>
      <c r="J410">
        <v>65000</v>
      </c>
      <c r="K410">
        <v>58500</v>
      </c>
      <c r="L410">
        <v>54600</v>
      </c>
      <c r="M410">
        <v>762</v>
      </c>
      <c r="N410">
        <v>1204</v>
      </c>
      <c r="O410">
        <v>1934</v>
      </c>
      <c r="P410">
        <v>3.3059829059829057E-2</v>
      </c>
      <c r="Q410" t="s">
        <v>73</v>
      </c>
    </row>
    <row r="411" spans="1:17">
      <c r="A411" t="s">
        <v>464</v>
      </c>
      <c r="B411" s="1">
        <v>45824</v>
      </c>
      <c r="C411" t="s">
        <v>50</v>
      </c>
      <c r="D411" t="s">
        <v>51</v>
      </c>
      <c r="E411" t="s">
        <v>38</v>
      </c>
      <c r="F411" t="s">
        <v>35</v>
      </c>
      <c r="G411">
        <v>6</v>
      </c>
      <c r="H411">
        <v>2500</v>
      </c>
      <c r="I411">
        <v>0.15</v>
      </c>
      <c r="J411">
        <v>15000</v>
      </c>
      <c r="K411">
        <v>12750</v>
      </c>
      <c r="L411">
        <v>9300</v>
      </c>
      <c r="M411">
        <v>606</v>
      </c>
      <c r="N411">
        <v>1501</v>
      </c>
      <c r="O411">
        <v>1343</v>
      </c>
      <c r="P411">
        <v>0.10533333333333331</v>
      </c>
      <c r="Q411" t="s">
        <v>39</v>
      </c>
    </row>
    <row r="412" spans="1:17">
      <c r="A412" t="s">
        <v>465</v>
      </c>
      <c r="B412" s="1">
        <v>45919</v>
      </c>
      <c r="C412" t="s">
        <v>50</v>
      </c>
      <c r="D412" t="s">
        <v>31</v>
      </c>
      <c r="E412" t="s">
        <v>38</v>
      </c>
      <c r="F412" t="s">
        <v>27</v>
      </c>
      <c r="G412">
        <v>1</v>
      </c>
      <c r="H412">
        <v>2500</v>
      </c>
      <c r="I412">
        <v>0.03</v>
      </c>
      <c r="J412">
        <v>2500</v>
      </c>
      <c r="K412">
        <v>2425</v>
      </c>
      <c r="L412">
        <v>1550</v>
      </c>
      <c r="M412">
        <v>1364</v>
      </c>
      <c r="N412">
        <v>681</v>
      </c>
      <c r="O412">
        <v>-1170</v>
      </c>
      <c r="P412">
        <v>-0.48247422680412372</v>
      </c>
      <c r="Q412" t="s">
        <v>32</v>
      </c>
    </row>
    <row r="413" spans="1:17">
      <c r="A413" t="s">
        <v>466</v>
      </c>
      <c r="B413" s="1">
        <v>45840</v>
      </c>
      <c r="C413" t="s">
        <v>18</v>
      </c>
      <c r="D413" t="s">
        <v>63</v>
      </c>
      <c r="E413" t="s">
        <v>20</v>
      </c>
      <c r="F413" t="s">
        <v>21</v>
      </c>
      <c r="G413">
        <v>1</v>
      </c>
      <c r="H413">
        <v>32000</v>
      </c>
      <c r="I413">
        <v>0.1</v>
      </c>
      <c r="J413">
        <v>32000</v>
      </c>
      <c r="K413">
        <v>28800</v>
      </c>
      <c r="L413">
        <v>26240</v>
      </c>
      <c r="M413">
        <v>374</v>
      </c>
      <c r="N413">
        <v>2256</v>
      </c>
      <c r="O413">
        <v>-70</v>
      </c>
      <c r="P413">
        <v>-2.430555555555556E-3</v>
      </c>
      <c r="Q413" t="s">
        <v>36</v>
      </c>
    </row>
    <row r="414" spans="1:17">
      <c r="A414" t="s">
        <v>467</v>
      </c>
      <c r="B414" s="1">
        <v>46076</v>
      </c>
      <c r="C414" t="s">
        <v>53</v>
      </c>
      <c r="D414" t="s">
        <v>34</v>
      </c>
      <c r="E414" t="s">
        <v>26</v>
      </c>
      <c r="F414" t="s">
        <v>27</v>
      </c>
      <c r="G414">
        <v>4</v>
      </c>
      <c r="H414">
        <v>1500</v>
      </c>
      <c r="I414">
        <v>0.05</v>
      </c>
      <c r="J414">
        <v>6000</v>
      </c>
      <c r="K414">
        <v>5700</v>
      </c>
      <c r="L414">
        <v>3300</v>
      </c>
      <c r="M414">
        <v>1050</v>
      </c>
      <c r="N414">
        <v>142</v>
      </c>
      <c r="O414">
        <v>1208</v>
      </c>
      <c r="P414">
        <v>0.21192982456140341</v>
      </c>
      <c r="Q414" t="s">
        <v>54</v>
      </c>
    </row>
    <row r="415" spans="1:17">
      <c r="A415" t="s">
        <v>468</v>
      </c>
      <c r="B415" s="1">
        <v>45825</v>
      </c>
      <c r="C415" t="s">
        <v>24</v>
      </c>
      <c r="D415" t="s">
        <v>19</v>
      </c>
      <c r="E415" t="s">
        <v>20</v>
      </c>
      <c r="F415" t="s">
        <v>35</v>
      </c>
      <c r="G415">
        <v>7</v>
      </c>
      <c r="H415">
        <v>3500</v>
      </c>
      <c r="I415">
        <v>0.03</v>
      </c>
      <c r="J415">
        <v>24500</v>
      </c>
      <c r="K415">
        <v>23765</v>
      </c>
      <c r="L415">
        <v>16660</v>
      </c>
      <c r="M415">
        <v>1538</v>
      </c>
      <c r="N415">
        <v>1001</v>
      </c>
      <c r="O415">
        <v>4566</v>
      </c>
      <c r="P415">
        <v>0.1921312855038923</v>
      </c>
      <c r="Q415" t="s">
        <v>39</v>
      </c>
    </row>
    <row r="416" spans="1:17">
      <c r="A416" t="s">
        <v>469</v>
      </c>
      <c r="B416" s="1">
        <v>46140</v>
      </c>
      <c r="C416" t="s">
        <v>46</v>
      </c>
      <c r="D416" t="s">
        <v>19</v>
      </c>
      <c r="E416" t="s">
        <v>20</v>
      </c>
      <c r="F416" t="s">
        <v>35</v>
      </c>
      <c r="G416">
        <v>2</v>
      </c>
      <c r="H416">
        <v>18000</v>
      </c>
      <c r="I416">
        <v>0</v>
      </c>
      <c r="J416">
        <v>36000</v>
      </c>
      <c r="K416">
        <v>36000</v>
      </c>
      <c r="L416">
        <v>28800</v>
      </c>
      <c r="M416">
        <v>1463</v>
      </c>
      <c r="N416">
        <v>1955</v>
      </c>
      <c r="O416">
        <v>3782</v>
      </c>
      <c r="P416">
        <v>0.1050555555555556</v>
      </c>
      <c r="Q416" t="s">
        <v>65</v>
      </c>
    </row>
    <row r="417" spans="1:17">
      <c r="A417" t="s">
        <v>470</v>
      </c>
      <c r="B417" s="1">
        <v>46033</v>
      </c>
      <c r="C417" t="s">
        <v>30</v>
      </c>
      <c r="D417" t="s">
        <v>34</v>
      </c>
      <c r="E417" t="s">
        <v>26</v>
      </c>
      <c r="F417" t="s">
        <v>21</v>
      </c>
      <c r="G417">
        <v>1</v>
      </c>
      <c r="H417">
        <v>28000</v>
      </c>
      <c r="I417">
        <v>0.03</v>
      </c>
      <c r="J417">
        <v>28000</v>
      </c>
      <c r="K417">
        <v>27160</v>
      </c>
      <c r="L417">
        <v>21840</v>
      </c>
      <c r="M417">
        <v>651</v>
      </c>
      <c r="N417">
        <v>1637</v>
      </c>
      <c r="O417">
        <v>3032</v>
      </c>
      <c r="P417">
        <v>0.1116347569955817</v>
      </c>
      <c r="Q417" t="s">
        <v>43</v>
      </c>
    </row>
    <row r="418" spans="1:17">
      <c r="A418" t="s">
        <v>471</v>
      </c>
      <c r="B418" s="1">
        <v>45836</v>
      </c>
      <c r="C418" t="s">
        <v>18</v>
      </c>
      <c r="D418" t="s">
        <v>25</v>
      </c>
      <c r="E418" t="s">
        <v>20</v>
      </c>
      <c r="F418" t="s">
        <v>35</v>
      </c>
      <c r="G418">
        <v>2</v>
      </c>
      <c r="H418">
        <v>32000</v>
      </c>
      <c r="I418">
        <v>0.08</v>
      </c>
      <c r="J418">
        <v>64000</v>
      </c>
      <c r="K418">
        <v>58880</v>
      </c>
      <c r="L418">
        <v>52480</v>
      </c>
      <c r="M418">
        <v>650</v>
      </c>
      <c r="N418">
        <v>694</v>
      </c>
      <c r="O418">
        <v>5056</v>
      </c>
      <c r="P418">
        <v>8.5869565217391308E-2</v>
      </c>
      <c r="Q418" t="s">
        <v>39</v>
      </c>
    </row>
    <row r="419" spans="1:17">
      <c r="A419" t="s">
        <v>472</v>
      </c>
      <c r="B419" s="1">
        <v>45940</v>
      </c>
      <c r="C419" t="s">
        <v>75</v>
      </c>
      <c r="D419" t="s">
        <v>31</v>
      </c>
      <c r="E419" t="s">
        <v>26</v>
      </c>
      <c r="F419" t="s">
        <v>35</v>
      </c>
      <c r="G419">
        <v>1</v>
      </c>
      <c r="H419">
        <v>65000</v>
      </c>
      <c r="I419">
        <v>0</v>
      </c>
      <c r="J419">
        <v>65000</v>
      </c>
      <c r="K419">
        <v>65000</v>
      </c>
      <c r="L419">
        <v>54600</v>
      </c>
      <c r="M419">
        <v>1788</v>
      </c>
      <c r="N419">
        <v>2478</v>
      </c>
      <c r="O419">
        <v>6134</v>
      </c>
      <c r="P419">
        <v>9.4369230769230775E-2</v>
      </c>
      <c r="Q419" t="s">
        <v>88</v>
      </c>
    </row>
    <row r="420" spans="1:17">
      <c r="A420" t="s">
        <v>473</v>
      </c>
      <c r="B420" s="1">
        <v>45707</v>
      </c>
      <c r="C420" t="s">
        <v>75</v>
      </c>
      <c r="D420" t="s">
        <v>63</v>
      </c>
      <c r="E420" t="s">
        <v>26</v>
      </c>
      <c r="F420" t="s">
        <v>35</v>
      </c>
      <c r="G420">
        <v>2</v>
      </c>
      <c r="H420">
        <v>65000</v>
      </c>
      <c r="I420">
        <v>0.08</v>
      </c>
      <c r="J420">
        <v>130000</v>
      </c>
      <c r="K420">
        <v>119600</v>
      </c>
      <c r="L420">
        <v>109200</v>
      </c>
      <c r="M420">
        <v>1087</v>
      </c>
      <c r="N420">
        <v>1441</v>
      </c>
      <c r="O420">
        <v>7872</v>
      </c>
      <c r="P420">
        <v>6.5819397993311032E-2</v>
      </c>
      <c r="Q420" t="s">
        <v>47</v>
      </c>
    </row>
    <row r="421" spans="1:17">
      <c r="A421" t="s">
        <v>474</v>
      </c>
      <c r="B421" s="1">
        <v>45798</v>
      </c>
      <c r="C421" t="s">
        <v>30</v>
      </c>
      <c r="D421" t="s">
        <v>31</v>
      </c>
      <c r="E421" t="s">
        <v>26</v>
      </c>
      <c r="F421" t="s">
        <v>21</v>
      </c>
      <c r="G421">
        <v>2</v>
      </c>
      <c r="H421">
        <v>28000</v>
      </c>
      <c r="I421">
        <v>0.05</v>
      </c>
      <c r="J421">
        <v>56000</v>
      </c>
      <c r="K421">
        <v>53200</v>
      </c>
      <c r="L421">
        <v>43680</v>
      </c>
      <c r="M421">
        <v>651</v>
      </c>
      <c r="N421">
        <v>2436</v>
      </c>
      <c r="O421">
        <v>6433</v>
      </c>
      <c r="P421">
        <v>0.1209210526315789</v>
      </c>
      <c r="Q421" t="s">
        <v>22</v>
      </c>
    </row>
    <row r="422" spans="1:17">
      <c r="A422" t="s">
        <v>475</v>
      </c>
      <c r="B422" s="1">
        <v>46061</v>
      </c>
      <c r="C422" t="s">
        <v>61</v>
      </c>
      <c r="D422" t="s">
        <v>51</v>
      </c>
      <c r="E422" t="s">
        <v>20</v>
      </c>
      <c r="F422" t="s">
        <v>27</v>
      </c>
      <c r="G422">
        <v>7</v>
      </c>
      <c r="H422">
        <v>4500</v>
      </c>
      <c r="I422">
        <v>0.05</v>
      </c>
      <c r="J422">
        <v>31500</v>
      </c>
      <c r="K422">
        <v>29925</v>
      </c>
      <c r="L422">
        <v>20475</v>
      </c>
      <c r="M422">
        <v>1700</v>
      </c>
      <c r="N422">
        <v>859</v>
      </c>
      <c r="O422">
        <v>6891</v>
      </c>
      <c r="P422">
        <v>0.23027568922305761</v>
      </c>
      <c r="Q422" t="s">
        <v>54</v>
      </c>
    </row>
    <row r="423" spans="1:17">
      <c r="A423" t="s">
        <v>476</v>
      </c>
      <c r="B423" s="1">
        <v>45859</v>
      </c>
      <c r="C423" t="s">
        <v>75</v>
      </c>
      <c r="D423" t="s">
        <v>63</v>
      </c>
      <c r="E423" t="s">
        <v>20</v>
      </c>
      <c r="F423" t="s">
        <v>21</v>
      </c>
      <c r="G423">
        <v>1</v>
      </c>
      <c r="H423">
        <v>65000</v>
      </c>
      <c r="I423">
        <v>0</v>
      </c>
      <c r="J423">
        <v>65000</v>
      </c>
      <c r="K423">
        <v>65000</v>
      </c>
      <c r="L423">
        <v>54600</v>
      </c>
      <c r="M423">
        <v>1797</v>
      </c>
      <c r="N423">
        <v>1792</v>
      </c>
      <c r="O423">
        <v>6811</v>
      </c>
      <c r="P423">
        <v>0.10478461538461541</v>
      </c>
      <c r="Q423" t="s">
        <v>36</v>
      </c>
    </row>
    <row r="424" spans="1:17">
      <c r="A424" t="s">
        <v>477</v>
      </c>
      <c r="B424" s="1">
        <v>46082</v>
      </c>
      <c r="C424" t="s">
        <v>53</v>
      </c>
      <c r="D424" t="s">
        <v>63</v>
      </c>
      <c r="E424" t="s">
        <v>20</v>
      </c>
      <c r="F424" t="s">
        <v>35</v>
      </c>
      <c r="G424">
        <v>6</v>
      </c>
      <c r="H424">
        <v>1500</v>
      </c>
      <c r="I424">
        <v>0.08</v>
      </c>
      <c r="J424">
        <v>9000</v>
      </c>
      <c r="K424">
        <v>8280</v>
      </c>
      <c r="L424">
        <v>4950</v>
      </c>
      <c r="M424">
        <v>1305</v>
      </c>
      <c r="N424">
        <v>1591</v>
      </c>
      <c r="O424">
        <v>434</v>
      </c>
      <c r="P424">
        <v>5.2415458937198067E-2</v>
      </c>
      <c r="Q424" t="s">
        <v>98</v>
      </c>
    </row>
    <row r="425" spans="1:17">
      <c r="A425" t="s">
        <v>478</v>
      </c>
      <c r="B425" s="1">
        <v>45865</v>
      </c>
      <c r="C425" t="s">
        <v>50</v>
      </c>
      <c r="D425" t="s">
        <v>25</v>
      </c>
      <c r="E425" t="s">
        <v>20</v>
      </c>
      <c r="F425" t="s">
        <v>21</v>
      </c>
      <c r="G425">
        <v>3</v>
      </c>
      <c r="H425">
        <v>2500</v>
      </c>
      <c r="I425">
        <v>0.03</v>
      </c>
      <c r="J425">
        <v>7500</v>
      </c>
      <c r="K425">
        <v>7275</v>
      </c>
      <c r="L425">
        <v>4650</v>
      </c>
      <c r="M425">
        <v>1568</v>
      </c>
      <c r="N425">
        <v>1926</v>
      </c>
      <c r="O425">
        <v>-869</v>
      </c>
      <c r="P425">
        <v>-0.1194501718213058</v>
      </c>
      <c r="Q425" t="s">
        <v>36</v>
      </c>
    </row>
    <row r="426" spans="1:17">
      <c r="A426" t="s">
        <v>479</v>
      </c>
      <c r="B426" s="1">
        <v>46152</v>
      </c>
      <c r="C426" t="s">
        <v>61</v>
      </c>
      <c r="D426" t="s">
        <v>34</v>
      </c>
      <c r="E426" t="s">
        <v>20</v>
      </c>
      <c r="F426" t="s">
        <v>35</v>
      </c>
      <c r="G426">
        <v>2</v>
      </c>
      <c r="H426">
        <v>4500</v>
      </c>
      <c r="I426">
        <v>0.08</v>
      </c>
      <c r="J426">
        <v>9000</v>
      </c>
      <c r="K426">
        <v>8280</v>
      </c>
      <c r="L426">
        <v>5850</v>
      </c>
      <c r="M426">
        <v>1518</v>
      </c>
      <c r="N426">
        <v>318</v>
      </c>
      <c r="O426">
        <v>594</v>
      </c>
      <c r="P426">
        <v>7.1739130434782611E-2</v>
      </c>
      <c r="Q426" t="s">
        <v>73</v>
      </c>
    </row>
    <row r="427" spans="1:17">
      <c r="A427" t="s">
        <v>480</v>
      </c>
      <c r="B427" s="1">
        <v>45966</v>
      </c>
      <c r="C427" t="s">
        <v>53</v>
      </c>
      <c r="D427" t="s">
        <v>25</v>
      </c>
      <c r="E427" t="s">
        <v>26</v>
      </c>
      <c r="F427" t="s">
        <v>35</v>
      </c>
      <c r="G427">
        <v>4</v>
      </c>
      <c r="H427">
        <v>1500</v>
      </c>
      <c r="I427">
        <v>0.05</v>
      </c>
      <c r="J427">
        <v>6000</v>
      </c>
      <c r="K427">
        <v>5700</v>
      </c>
      <c r="L427">
        <v>3300</v>
      </c>
      <c r="M427">
        <v>1706</v>
      </c>
      <c r="N427">
        <v>1537</v>
      </c>
      <c r="O427">
        <v>-843.00000000000045</v>
      </c>
      <c r="P427">
        <v>-0.14789473684210541</v>
      </c>
      <c r="Q427" t="s">
        <v>28</v>
      </c>
    </row>
    <row r="428" spans="1:17">
      <c r="A428" t="s">
        <v>481</v>
      </c>
      <c r="B428" s="1">
        <v>45983</v>
      </c>
      <c r="C428" t="s">
        <v>50</v>
      </c>
      <c r="D428" t="s">
        <v>63</v>
      </c>
      <c r="E428" t="s">
        <v>26</v>
      </c>
      <c r="F428" t="s">
        <v>35</v>
      </c>
      <c r="G428">
        <v>2</v>
      </c>
      <c r="H428">
        <v>2500</v>
      </c>
      <c r="I428">
        <v>0.05</v>
      </c>
      <c r="J428">
        <v>5000</v>
      </c>
      <c r="K428">
        <v>4750</v>
      </c>
      <c r="L428">
        <v>3100</v>
      </c>
      <c r="M428">
        <v>1575</v>
      </c>
      <c r="N428">
        <v>659</v>
      </c>
      <c r="O428">
        <v>-584</v>
      </c>
      <c r="P428">
        <v>-0.1229473684210526</v>
      </c>
      <c r="Q428" t="s">
        <v>28</v>
      </c>
    </row>
    <row r="429" spans="1:17">
      <c r="A429" t="s">
        <v>482</v>
      </c>
      <c r="B429" s="1">
        <v>45923</v>
      </c>
      <c r="C429" t="s">
        <v>30</v>
      </c>
      <c r="D429" t="s">
        <v>51</v>
      </c>
      <c r="E429" t="s">
        <v>38</v>
      </c>
      <c r="F429" t="s">
        <v>21</v>
      </c>
      <c r="G429">
        <v>1</v>
      </c>
      <c r="H429">
        <v>28000</v>
      </c>
      <c r="I429">
        <v>0.03</v>
      </c>
      <c r="J429">
        <v>28000</v>
      </c>
      <c r="K429">
        <v>27160</v>
      </c>
      <c r="L429">
        <v>21840</v>
      </c>
      <c r="M429">
        <v>794</v>
      </c>
      <c r="N429">
        <v>1277</v>
      </c>
      <c r="O429">
        <v>3249</v>
      </c>
      <c r="P429">
        <v>0.1196244477172312</v>
      </c>
      <c r="Q429" t="s">
        <v>32</v>
      </c>
    </row>
    <row r="430" spans="1:17">
      <c r="A430" t="s">
        <v>483</v>
      </c>
      <c r="B430" s="1">
        <v>46071</v>
      </c>
      <c r="C430" t="s">
        <v>46</v>
      </c>
      <c r="D430" t="s">
        <v>63</v>
      </c>
      <c r="E430" t="s">
        <v>20</v>
      </c>
      <c r="F430" t="s">
        <v>21</v>
      </c>
      <c r="G430">
        <v>1</v>
      </c>
      <c r="H430">
        <v>18000</v>
      </c>
      <c r="I430">
        <v>0.03</v>
      </c>
      <c r="J430">
        <v>18000</v>
      </c>
      <c r="K430">
        <v>17460</v>
      </c>
      <c r="L430">
        <v>14400</v>
      </c>
      <c r="M430">
        <v>1067</v>
      </c>
      <c r="N430">
        <v>709</v>
      </c>
      <c r="O430">
        <v>1284</v>
      </c>
      <c r="P430">
        <v>7.3539518900343645E-2</v>
      </c>
      <c r="Q430" t="s">
        <v>54</v>
      </c>
    </row>
    <row r="431" spans="1:17">
      <c r="A431" t="s">
        <v>484</v>
      </c>
      <c r="B431" s="1">
        <v>46077</v>
      </c>
      <c r="C431" t="s">
        <v>24</v>
      </c>
      <c r="D431" t="s">
        <v>63</v>
      </c>
      <c r="E431" t="s">
        <v>38</v>
      </c>
      <c r="F431" t="s">
        <v>35</v>
      </c>
      <c r="G431">
        <v>4</v>
      </c>
      <c r="H431">
        <v>3500</v>
      </c>
      <c r="I431">
        <v>0.15</v>
      </c>
      <c r="J431">
        <v>14000</v>
      </c>
      <c r="K431">
        <v>11900</v>
      </c>
      <c r="L431">
        <v>9520</v>
      </c>
      <c r="M431">
        <v>1360</v>
      </c>
      <c r="N431">
        <v>182</v>
      </c>
      <c r="O431">
        <v>838</v>
      </c>
      <c r="P431">
        <v>7.0420168067226896E-2</v>
      </c>
      <c r="Q431" t="s">
        <v>54</v>
      </c>
    </row>
    <row r="432" spans="1:17">
      <c r="A432" t="s">
        <v>485</v>
      </c>
      <c r="B432" s="1">
        <v>46027</v>
      </c>
      <c r="C432" t="s">
        <v>46</v>
      </c>
      <c r="D432" t="s">
        <v>19</v>
      </c>
      <c r="E432" t="s">
        <v>20</v>
      </c>
      <c r="F432" t="s">
        <v>35</v>
      </c>
      <c r="G432">
        <v>2</v>
      </c>
      <c r="H432">
        <v>18000</v>
      </c>
      <c r="I432">
        <v>0.2</v>
      </c>
      <c r="J432">
        <v>36000</v>
      </c>
      <c r="K432">
        <v>28800</v>
      </c>
      <c r="L432">
        <v>28800</v>
      </c>
      <c r="M432">
        <v>856</v>
      </c>
      <c r="N432">
        <v>941</v>
      </c>
      <c r="O432">
        <v>-1797</v>
      </c>
      <c r="P432">
        <v>-6.2395833333333331E-2</v>
      </c>
      <c r="Q432" t="s">
        <v>43</v>
      </c>
    </row>
    <row r="433" spans="1:17">
      <c r="A433" t="s">
        <v>486</v>
      </c>
      <c r="B433" s="1">
        <v>46036</v>
      </c>
      <c r="C433" t="s">
        <v>50</v>
      </c>
      <c r="D433" t="s">
        <v>63</v>
      </c>
      <c r="E433" t="s">
        <v>20</v>
      </c>
      <c r="F433" t="s">
        <v>27</v>
      </c>
      <c r="G433">
        <v>5</v>
      </c>
      <c r="H433">
        <v>2500</v>
      </c>
      <c r="I433">
        <v>0.15</v>
      </c>
      <c r="J433">
        <v>12500</v>
      </c>
      <c r="K433">
        <v>10625</v>
      </c>
      <c r="L433">
        <v>7750</v>
      </c>
      <c r="M433">
        <v>566</v>
      </c>
      <c r="N433">
        <v>743</v>
      </c>
      <c r="O433">
        <v>1566</v>
      </c>
      <c r="P433">
        <v>0.14738823529411771</v>
      </c>
      <c r="Q433" t="s">
        <v>43</v>
      </c>
    </row>
    <row r="434" spans="1:17">
      <c r="A434" t="s">
        <v>487</v>
      </c>
      <c r="B434" s="1">
        <v>45869</v>
      </c>
      <c r="C434" t="s">
        <v>53</v>
      </c>
      <c r="D434" t="s">
        <v>51</v>
      </c>
      <c r="E434" t="s">
        <v>20</v>
      </c>
      <c r="F434" t="s">
        <v>35</v>
      </c>
      <c r="G434">
        <v>1</v>
      </c>
      <c r="H434">
        <v>1500</v>
      </c>
      <c r="I434">
        <v>0.08</v>
      </c>
      <c r="J434">
        <v>1500</v>
      </c>
      <c r="K434">
        <v>1380</v>
      </c>
      <c r="L434">
        <v>825.00000000000011</v>
      </c>
      <c r="M434">
        <v>1264</v>
      </c>
      <c r="N434">
        <v>2317</v>
      </c>
      <c r="O434">
        <v>-3026</v>
      </c>
      <c r="P434">
        <v>-2.1927536231884059</v>
      </c>
      <c r="Q434" t="s">
        <v>36</v>
      </c>
    </row>
    <row r="435" spans="1:17">
      <c r="A435" t="s">
        <v>488</v>
      </c>
      <c r="B435" s="1">
        <v>46023</v>
      </c>
      <c r="C435" t="s">
        <v>18</v>
      </c>
      <c r="D435" t="s">
        <v>51</v>
      </c>
      <c r="E435" t="s">
        <v>20</v>
      </c>
      <c r="F435" t="s">
        <v>27</v>
      </c>
      <c r="G435">
        <v>3</v>
      </c>
      <c r="H435">
        <v>32000</v>
      </c>
      <c r="I435">
        <v>0.1</v>
      </c>
      <c r="J435">
        <v>96000</v>
      </c>
      <c r="K435">
        <v>86400</v>
      </c>
      <c r="L435">
        <v>78720</v>
      </c>
      <c r="M435">
        <v>1270</v>
      </c>
      <c r="N435">
        <v>1123</v>
      </c>
      <c r="O435">
        <v>5287</v>
      </c>
      <c r="P435">
        <v>6.1192129629629631E-2</v>
      </c>
      <c r="Q435" t="s">
        <v>43</v>
      </c>
    </row>
    <row r="436" spans="1:17">
      <c r="A436" t="s">
        <v>489</v>
      </c>
      <c r="B436" s="1">
        <v>45988</v>
      </c>
      <c r="C436" t="s">
        <v>50</v>
      </c>
      <c r="D436" t="s">
        <v>25</v>
      </c>
      <c r="E436" t="s">
        <v>20</v>
      </c>
      <c r="F436" t="s">
        <v>35</v>
      </c>
      <c r="G436">
        <v>5</v>
      </c>
      <c r="H436">
        <v>2500</v>
      </c>
      <c r="I436">
        <v>0.05</v>
      </c>
      <c r="J436">
        <v>12500</v>
      </c>
      <c r="K436">
        <v>11875</v>
      </c>
      <c r="L436">
        <v>7750</v>
      </c>
      <c r="M436">
        <v>1537</v>
      </c>
      <c r="N436">
        <v>1284</v>
      </c>
      <c r="O436">
        <v>1304</v>
      </c>
      <c r="P436">
        <v>0.1098105263157895</v>
      </c>
      <c r="Q436" t="s">
        <v>28</v>
      </c>
    </row>
    <row r="437" spans="1:17">
      <c r="A437" t="s">
        <v>490</v>
      </c>
      <c r="B437" s="1">
        <v>46161</v>
      </c>
      <c r="C437" t="s">
        <v>30</v>
      </c>
      <c r="D437" t="s">
        <v>34</v>
      </c>
      <c r="E437" t="s">
        <v>20</v>
      </c>
      <c r="F437" t="s">
        <v>21</v>
      </c>
      <c r="G437">
        <v>2</v>
      </c>
      <c r="H437">
        <v>28000</v>
      </c>
      <c r="I437">
        <v>0.05</v>
      </c>
      <c r="J437">
        <v>56000</v>
      </c>
      <c r="K437">
        <v>53200</v>
      </c>
      <c r="L437">
        <v>43680</v>
      </c>
      <c r="M437">
        <v>1387</v>
      </c>
      <c r="N437">
        <v>2466</v>
      </c>
      <c r="O437">
        <v>5667</v>
      </c>
      <c r="P437">
        <v>0.10652255639097739</v>
      </c>
      <c r="Q437" t="s">
        <v>73</v>
      </c>
    </row>
    <row r="438" spans="1:17">
      <c r="A438" t="s">
        <v>491</v>
      </c>
      <c r="B438" s="1">
        <v>46147</v>
      </c>
      <c r="C438" t="s">
        <v>18</v>
      </c>
      <c r="D438" t="s">
        <v>63</v>
      </c>
      <c r="E438" t="s">
        <v>38</v>
      </c>
      <c r="F438" t="s">
        <v>21</v>
      </c>
      <c r="G438">
        <v>3</v>
      </c>
      <c r="H438">
        <v>32000</v>
      </c>
      <c r="I438">
        <v>0.08</v>
      </c>
      <c r="J438">
        <v>96000</v>
      </c>
      <c r="K438">
        <v>88320</v>
      </c>
      <c r="L438">
        <v>78720</v>
      </c>
      <c r="M438">
        <v>890</v>
      </c>
      <c r="N438">
        <v>593</v>
      </c>
      <c r="O438">
        <v>8117</v>
      </c>
      <c r="P438">
        <v>9.1904438405797095E-2</v>
      </c>
      <c r="Q438" t="s">
        <v>73</v>
      </c>
    </row>
    <row r="439" spans="1:17">
      <c r="A439" t="s">
        <v>492</v>
      </c>
      <c r="B439" s="1">
        <v>45844</v>
      </c>
      <c r="C439" t="s">
        <v>75</v>
      </c>
      <c r="D439" t="s">
        <v>51</v>
      </c>
      <c r="E439" t="s">
        <v>20</v>
      </c>
      <c r="F439" t="s">
        <v>27</v>
      </c>
      <c r="G439">
        <v>3</v>
      </c>
      <c r="H439">
        <v>65000</v>
      </c>
      <c r="I439">
        <v>0.03</v>
      </c>
      <c r="J439">
        <v>195000</v>
      </c>
      <c r="K439">
        <v>189150</v>
      </c>
      <c r="L439">
        <v>163800</v>
      </c>
      <c r="M439">
        <v>995</v>
      </c>
      <c r="N439">
        <v>1817</v>
      </c>
      <c r="O439">
        <v>22538</v>
      </c>
      <c r="P439">
        <v>0.11915411049431671</v>
      </c>
      <c r="Q439" t="s">
        <v>36</v>
      </c>
    </row>
    <row r="440" spans="1:17">
      <c r="A440" t="s">
        <v>493</v>
      </c>
      <c r="B440" s="1">
        <v>45992</v>
      </c>
      <c r="C440" t="s">
        <v>50</v>
      </c>
      <c r="D440" t="s">
        <v>31</v>
      </c>
      <c r="E440" t="s">
        <v>20</v>
      </c>
      <c r="F440" t="s">
        <v>21</v>
      </c>
      <c r="G440">
        <v>4</v>
      </c>
      <c r="H440">
        <v>2500</v>
      </c>
      <c r="I440">
        <v>0.1</v>
      </c>
      <c r="J440">
        <v>10000</v>
      </c>
      <c r="K440">
        <v>9000</v>
      </c>
      <c r="L440">
        <v>6200</v>
      </c>
      <c r="M440">
        <v>879</v>
      </c>
      <c r="N440">
        <v>1742</v>
      </c>
      <c r="O440">
        <v>179</v>
      </c>
      <c r="P440">
        <v>1.988888888888889E-2</v>
      </c>
      <c r="Q440" t="s">
        <v>80</v>
      </c>
    </row>
    <row r="441" spans="1:17">
      <c r="A441" t="s">
        <v>494</v>
      </c>
      <c r="B441" s="1">
        <v>45792</v>
      </c>
      <c r="C441" t="s">
        <v>46</v>
      </c>
      <c r="D441" t="s">
        <v>51</v>
      </c>
      <c r="E441" t="s">
        <v>20</v>
      </c>
      <c r="F441" t="s">
        <v>35</v>
      </c>
      <c r="G441">
        <v>3</v>
      </c>
      <c r="H441">
        <v>18000</v>
      </c>
      <c r="I441">
        <v>0.08</v>
      </c>
      <c r="J441">
        <v>54000</v>
      </c>
      <c r="K441">
        <v>49680</v>
      </c>
      <c r="L441">
        <v>43200</v>
      </c>
      <c r="M441">
        <v>1428</v>
      </c>
      <c r="N441">
        <v>355</v>
      </c>
      <c r="O441">
        <v>4697</v>
      </c>
      <c r="P441">
        <v>9.4545088566827695E-2</v>
      </c>
      <c r="Q441" t="s">
        <v>22</v>
      </c>
    </row>
    <row r="442" spans="1:17">
      <c r="A442" t="s">
        <v>495</v>
      </c>
      <c r="B442" s="1">
        <v>45778</v>
      </c>
      <c r="C442" t="s">
        <v>53</v>
      </c>
      <c r="D442" t="s">
        <v>63</v>
      </c>
      <c r="E442" t="s">
        <v>38</v>
      </c>
      <c r="F442" t="s">
        <v>35</v>
      </c>
      <c r="G442">
        <v>7</v>
      </c>
      <c r="H442">
        <v>1500</v>
      </c>
      <c r="I442">
        <v>0.05</v>
      </c>
      <c r="J442">
        <v>10500</v>
      </c>
      <c r="K442">
        <v>9975</v>
      </c>
      <c r="L442">
        <v>5775.0000000000009</v>
      </c>
      <c r="M442">
        <v>1226</v>
      </c>
      <c r="N442">
        <v>1073</v>
      </c>
      <c r="O442">
        <v>1900.9999999999991</v>
      </c>
      <c r="P442">
        <v>0.19057644110275679</v>
      </c>
      <c r="Q442" t="s">
        <v>22</v>
      </c>
    </row>
    <row r="443" spans="1:17">
      <c r="A443" t="s">
        <v>496</v>
      </c>
      <c r="B443" s="1">
        <v>45899</v>
      </c>
      <c r="C443" t="s">
        <v>24</v>
      </c>
      <c r="D443" t="s">
        <v>19</v>
      </c>
      <c r="E443" t="s">
        <v>38</v>
      </c>
      <c r="F443" t="s">
        <v>21</v>
      </c>
      <c r="G443">
        <v>5</v>
      </c>
      <c r="H443">
        <v>3500</v>
      </c>
      <c r="I443">
        <v>0.1</v>
      </c>
      <c r="J443">
        <v>17500</v>
      </c>
      <c r="K443">
        <v>15750</v>
      </c>
      <c r="L443">
        <v>11900</v>
      </c>
      <c r="M443">
        <v>1059</v>
      </c>
      <c r="N443">
        <v>2168</v>
      </c>
      <c r="O443">
        <v>623</v>
      </c>
      <c r="P443">
        <v>3.9555555555555552E-2</v>
      </c>
      <c r="Q443" t="s">
        <v>58</v>
      </c>
    </row>
    <row r="444" spans="1:17">
      <c r="A444" t="s">
        <v>497</v>
      </c>
      <c r="B444" s="1">
        <v>46101</v>
      </c>
      <c r="C444" t="s">
        <v>50</v>
      </c>
      <c r="D444" t="s">
        <v>19</v>
      </c>
      <c r="E444" t="s">
        <v>26</v>
      </c>
      <c r="F444" t="s">
        <v>21</v>
      </c>
      <c r="G444">
        <v>4</v>
      </c>
      <c r="H444">
        <v>2500</v>
      </c>
      <c r="I444">
        <v>0.05</v>
      </c>
      <c r="J444">
        <v>10000</v>
      </c>
      <c r="K444">
        <v>9500</v>
      </c>
      <c r="L444">
        <v>6200</v>
      </c>
      <c r="M444">
        <v>395</v>
      </c>
      <c r="N444">
        <v>2287</v>
      </c>
      <c r="O444">
        <v>618</v>
      </c>
      <c r="P444">
        <v>6.5052631578947362E-2</v>
      </c>
      <c r="Q444" t="s">
        <v>98</v>
      </c>
    </row>
    <row r="445" spans="1:17">
      <c r="A445" t="s">
        <v>498</v>
      </c>
      <c r="B445" s="1">
        <v>45968</v>
      </c>
      <c r="C445" t="s">
        <v>24</v>
      </c>
      <c r="D445" t="s">
        <v>34</v>
      </c>
      <c r="E445" t="s">
        <v>38</v>
      </c>
      <c r="F445" t="s">
        <v>27</v>
      </c>
      <c r="G445">
        <v>5</v>
      </c>
      <c r="H445">
        <v>3500</v>
      </c>
      <c r="I445">
        <v>0.05</v>
      </c>
      <c r="J445">
        <v>17500</v>
      </c>
      <c r="K445">
        <v>16625</v>
      </c>
      <c r="L445">
        <v>11900</v>
      </c>
      <c r="M445">
        <v>251</v>
      </c>
      <c r="N445">
        <v>2300</v>
      </c>
      <c r="O445">
        <v>2174</v>
      </c>
      <c r="P445">
        <v>0.13076691729323309</v>
      </c>
      <c r="Q445" t="s">
        <v>28</v>
      </c>
    </row>
    <row r="446" spans="1:17">
      <c r="A446" t="s">
        <v>499</v>
      </c>
      <c r="B446" s="1">
        <v>45754</v>
      </c>
      <c r="C446" t="s">
        <v>53</v>
      </c>
      <c r="D446" t="s">
        <v>63</v>
      </c>
      <c r="E446" t="s">
        <v>20</v>
      </c>
      <c r="F446" t="s">
        <v>35</v>
      </c>
      <c r="G446">
        <v>6</v>
      </c>
      <c r="H446">
        <v>1500</v>
      </c>
      <c r="I446">
        <v>0.05</v>
      </c>
      <c r="J446">
        <v>9000</v>
      </c>
      <c r="K446">
        <v>8550</v>
      </c>
      <c r="L446">
        <v>4950</v>
      </c>
      <c r="M446">
        <v>1585</v>
      </c>
      <c r="N446">
        <v>413</v>
      </c>
      <c r="O446">
        <v>1602</v>
      </c>
      <c r="P446">
        <v>0.1873684210526316</v>
      </c>
      <c r="Q446" t="s">
        <v>41</v>
      </c>
    </row>
    <row r="447" spans="1:17">
      <c r="A447" t="s">
        <v>500</v>
      </c>
      <c r="B447" s="1">
        <v>46083</v>
      </c>
      <c r="C447" t="s">
        <v>50</v>
      </c>
      <c r="D447" t="s">
        <v>63</v>
      </c>
      <c r="E447" t="s">
        <v>20</v>
      </c>
      <c r="F447" t="s">
        <v>21</v>
      </c>
      <c r="G447">
        <v>5</v>
      </c>
      <c r="H447">
        <v>2500</v>
      </c>
      <c r="I447">
        <v>0.08</v>
      </c>
      <c r="J447">
        <v>12500</v>
      </c>
      <c r="K447">
        <v>11500</v>
      </c>
      <c r="L447">
        <v>7750</v>
      </c>
      <c r="M447">
        <v>861</v>
      </c>
      <c r="N447">
        <v>2408</v>
      </c>
      <c r="O447">
        <v>481</v>
      </c>
      <c r="P447">
        <v>4.1826086956521742E-2</v>
      </c>
      <c r="Q447" t="s">
        <v>98</v>
      </c>
    </row>
    <row r="448" spans="1:17">
      <c r="A448" t="s">
        <v>501</v>
      </c>
      <c r="B448" s="1">
        <v>45896</v>
      </c>
      <c r="C448" t="s">
        <v>61</v>
      </c>
      <c r="D448" t="s">
        <v>51</v>
      </c>
      <c r="E448" t="s">
        <v>20</v>
      </c>
      <c r="F448" t="s">
        <v>21</v>
      </c>
      <c r="G448">
        <v>1</v>
      </c>
      <c r="H448">
        <v>4500</v>
      </c>
      <c r="I448">
        <v>0</v>
      </c>
      <c r="J448">
        <v>4500</v>
      </c>
      <c r="K448">
        <v>4500</v>
      </c>
      <c r="L448">
        <v>2925</v>
      </c>
      <c r="M448">
        <v>656</v>
      </c>
      <c r="N448">
        <v>1408</v>
      </c>
      <c r="O448">
        <v>-489</v>
      </c>
      <c r="P448">
        <v>-0.1086666666666667</v>
      </c>
      <c r="Q448" t="s">
        <v>58</v>
      </c>
    </row>
    <row r="449" spans="1:17">
      <c r="A449" t="s">
        <v>502</v>
      </c>
      <c r="B449" s="1">
        <v>45904</v>
      </c>
      <c r="C449" t="s">
        <v>53</v>
      </c>
      <c r="D449" t="s">
        <v>51</v>
      </c>
      <c r="E449" t="s">
        <v>26</v>
      </c>
      <c r="F449" t="s">
        <v>21</v>
      </c>
      <c r="G449">
        <v>7</v>
      </c>
      <c r="H449">
        <v>1500</v>
      </c>
      <c r="I449">
        <v>0.05</v>
      </c>
      <c r="J449">
        <v>10500</v>
      </c>
      <c r="K449">
        <v>9975</v>
      </c>
      <c r="L449">
        <v>5775.0000000000009</v>
      </c>
      <c r="M449">
        <v>1268</v>
      </c>
      <c r="N449">
        <v>1524</v>
      </c>
      <c r="O449">
        <v>1407.9999999999991</v>
      </c>
      <c r="P449">
        <v>0.1411528822055137</v>
      </c>
      <c r="Q449" t="s">
        <v>32</v>
      </c>
    </row>
    <row r="450" spans="1:17">
      <c r="A450" t="s">
        <v>503</v>
      </c>
      <c r="B450" s="1">
        <v>45892</v>
      </c>
      <c r="C450" t="s">
        <v>30</v>
      </c>
      <c r="D450" t="s">
        <v>25</v>
      </c>
      <c r="E450" t="s">
        <v>38</v>
      </c>
      <c r="F450" t="s">
        <v>35</v>
      </c>
      <c r="G450">
        <v>2</v>
      </c>
      <c r="H450">
        <v>28000</v>
      </c>
      <c r="I450">
        <v>0.03</v>
      </c>
      <c r="J450">
        <v>56000</v>
      </c>
      <c r="K450">
        <v>54320</v>
      </c>
      <c r="L450">
        <v>43680</v>
      </c>
      <c r="M450">
        <v>488</v>
      </c>
      <c r="N450">
        <v>820</v>
      </c>
      <c r="O450">
        <v>9332</v>
      </c>
      <c r="P450">
        <v>0.17179675994108981</v>
      </c>
      <c r="Q450" t="s">
        <v>58</v>
      </c>
    </row>
    <row r="451" spans="1:17">
      <c r="A451" t="s">
        <v>504</v>
      </c>
      <c r="B451" s="1">
        <v>45904</v>
      </c>
      <c r="C451" t="s">
        <v>18</v>
      </c>
      <c r="D451" t="s">
        <v>34</v>
      </c>
      <c r="E451" t="s">
        <v>20</v>
      </c>
      <c r="F451" t="s">
        <v>35</v>
      </c>
      <c r="G451">
        <v>3</v>
      </c>
      <c r="H451">
        <v>32000</v>
      </c>
      <c r="I451">
        <v>0.03</v>
      </c>
      <c r="J451">
        <v>96000</v>
      </c>
      <c r="K451">
        <v>93120</v>
      </c>
      <c r="L451">
        <v>78720</v>
      </c>
      <c r="M451">
        <v>1457</v>
      </c>
      <c r="N451">
        <v>2353</v>
      </c>
      <c r="O451">
        <v>10590</v>
      </c>
      <c r="P451">
        <v>0.1137242268041237</v>
      </c>
      <c r="Q451" t="s">
        <v>32</v>
      </c>
    </row>
    <row r="452" spans="1:17">
      <c r="A452" t="s">
        <v>505</v>
      </c>
      <c r="B452" s="1">
        <v>45794</v>
      </c>
      <c r="C452" t="s">
        <v>61</v>
      </c>
      <c r="D452" t="s">
        <v>63</v>
      </c>
      <c r="E452" t="s">
        <v>20</v>
      </c>
      <c r="F452" t="s">
        <v>21</v>
      </c>
      <c r="G452">
        <v>4</v>
      </c>
      <c r="H452">
        <v>4500</v>
      </c>
      <c r="I452">
        <v>0.08</v>
      </c>
      <c r="J452">
        <v>18000</v>
      </c>
      <c r="K452">
        <v>16560</v>
      </c>
      <c r="L452">
        <v>11700</v>
      </c>
      <c r="M452">
        <v>562</v>
      </c>
      <c r="N452">
        <v>1632</v>
      </c>
      <c r="O452">
        <v>2666</v>
      </c>
      <c r="P452">
        <v>0.16099033816425121</v>
      </c>
      <c r="Q452" t="s">
        <v>22</v>
      </c>
    </row>
    <row r="453" spans="1:17">
      <c r="A453" t="s">
        <v>506</v>
      </c>
      <c r="B453" s="1">
        <v>46156</v>
      </c>
      <c r="C453" t="s">
        <v>30</v>
      </c>
      <c r="D453" t="s">
        <v>51</v>
      </c>
      <c r="E453" t="s">
        <v>38</v>
      </c>
      <c r="F453" t="s">
        <v>21</v>
      </c>
      <c r="G453">
        <v>3</v>
      </c>
      <c r="H453">
        <v>28000</v>
      </c>
      <c r="I453">
        <v>0.1</v>
      </c>
      <c r="J453">
        <v>84000</v>
      </c>
      <c r="K453">
        <v>75600</v>
      </c>
      <c r="L453">
        <v>65520</v>
      </c>
      <c r="M453">
        <v>1145</v>
      </c>
      <c r="N453">
        <v>1477</v>
      </c>
      <c r="O453">
        <v>7458</v>
      </c>
      <c r="P453">
        <v>9.8650793650793656E-2</v>
      </c>
      <c r="Q453" t="s">
        <v>73</v>
      </c>
    </row>
    <row r="454" spans="1:17">
      <c r="A454" t="s">
        <v>507</v>
      </c>
      <c r="B454" s="1">
        <v>45974</v>
      </c>
      <c r="C454" t="s">
        <v>46</v>
      </c>
      <c r="D454" t="s">
        <v>51</v>
      </c>
      <c r="E454" t="s">
        <v>20</v>
      </c>
      <c r="F454" t="s">
        <v>27</v>
      </c>
      <c r="G454">
        <v>3</v>
      </c>
      <c r="H454">
        <v>18000</v>
      </c>
      <c r="I454">
        <v>0</v>
      </c>
      <c r="J454">
        <v>54000</v>
      </c>
      <c r="K454">
        <v>54000</v>
      </c>
      <c r="L454">
        <v>43200</v>
      </c>
      <c r="M454">
        <v>1656</v>
      </c>
      <c r="N454">
        <v>344</v>
      </c>
      <c r="O454">
        <v>8800</v>
      </c>
      <c r="P454">
        <v>0.162962962962963</v>
      </c>
      <c r="Q454" t="s">
        <v>28</v>
      </c>
    </row>
    <row r="455" spans="1:17">
      <c r="A455" t="s">
        <v>508</v>
      </c>
      <c r="B455" s="1">
        <v>45971</v>
      </c>
      <c r="C455" t="s">
        <v>75</v>
      </c>
      <c r="D455" t="s">
        <v>63</v>
      </c>
      <c r="E455" t="s">
        <v>38</v>
      </c>
      <c r="F455" t="s">
        <v>21</v>
      </c>
      <c r="G455">
        <v>3</v>
      </c>
      <c r="H455">
        <v>65000</v>
      </c>
      <c r="I455">
        <v>0</v>
      </c>
      <c r="J455">
        <v>195000</v>
      </c>
      <c r="K455">
        <v>195000</v>
      </c>
      <c r="L455">
        <v>163800</v>
      </c>
      <c r="M455">
        <v>504</v>
      </c>
      <c r="N455">
        <v>1130</v>
      </c>
      <c r="O455">
        <v>29566</v>
      </c>
      <c r="P455">
        <v>0.15162051282051281</v>
      </c>
      <c r="Q455" t="s">
        <v>28</v>
      </c>
    </row>
    <row r="456" spans="1:17">
      <c r="A456" t="s">
        <v>509</v>
      </c>
      <c r="B456" s="1">
        <v>46044</v>
      </c>
      <c r="C456" t="s">
        <v>61</v>
      </c>
      <c r="D456" t="s">
        <v>51</v>
      </c>
      <c r="E456" t="s">
        <v>26</v>
      </c>
      <c r="F456" t="s">
        <v>21</v>
      </c>
      <c r="G456">
        <v>1</v>
      </c>
      <c r="H456">
        <v>4500</v>
      </c>
      <c r="I456">
        <v>0.15</v>
      </c>
      <c r="J456">
        <v>4500</v>
      </c>
      <c r="K456">
        <v>3825</v>
      </c>
      <c r="L456">
        <v>2925</v>
      </c>
      <c r="M456">
        <v>450</v>
      </c>
      <c r="N456">
        <v>1888</v>
      </c>
      <c r="O456">
        <v>-1438</v>
      </c>
      <c r="P456">
        <v>-0.37594771241830072</v>
      </c>
      <c r="Q456" t="s">
        <v>43</v>
      </c>
    </row>
    <row r="457" spans="1:17">
      <c r="A457" t="s">
        <v>510</v>
      </c>
      <c r="B457" s="1">
        <v>45750</v>
      </c>
      <c r="C457" t="s">
        <v>53</v>
      </c>
      <c r="D457" t="s">
        <v>63</v>
      </c>
      <c r="E457" t="s">
        <v>38</v>
      </c>
      <c r="F457" t="s">
        <v>35</v>
      </c>
      <c r="G457">
        <v>1</v>
      </c>
      <c r="H457">
        <v>1500</v>
      </c>
      <c r="I457">
        <v>0.1</v>
      </c>
      <c r="J457">
        <v>1500</v>
      </c>
      <c r="K457">
        <v>1350</v>
      </c>
      <c r="L457">
        <v>825.00000000000011</v>
      </c>
      <c r="M457">
        <v>1296</v>
      </c>
      <c r="N457">
        <v>1947</v>
      </c>
      <c r="O457">
        <v>-2718</v>
      </c>
      <c r="P457">
        <v>-2.0133333333333332</v>
      </c>
      <c r="Q457" t="s">
        <v>41</v>
      </c>
    </row>
    <row r="458" spans="1:17">
      <c r="A458" t="s">
        <v>511</v>
      </c>
      <c r="B458" s="1">
        <v>46070</v>
      </c>
      <c r="C458" t="s">
        <v>53</v>
      </c>
      <c r="D458" t="s">
        <v>19</v>
      </c>
      <c r="E458" t="s">
        <v>38</v>
      </c>
      <c r="F458" t="s">
        <v>35</v>
      </c>
      <c r="G458">
        <v>3</v>
      </c>
      <c r="H458">
        <v>1500</v>
      </c>
      <c r="I458">
        <v>0.05</v>
      </c>
      <c r="J458">
        <v>4500</v>
      </c>
      <c r="K458">
        <v>4275</v>
      </c>
      <c r="L458">
        <v>2475</v>
      </c>
      <c r="M458">
        <v>1422</v>
      </c>
      <c r="N458">
        <v>817</v>
      </c>
      <c r="O458">
        <v>-439</v>
      </c>
      <c r="P458">
        <v>-0.10269005847953221</v>
      </c>
      <c r="Q458" t="s">
        <v>54</v>
      </c>
    </row>
    <row r="459" spans="1:17">
      <c r="A459" t="s">
        <v>512</v>
      </c>
      <c r="B459" s="1">
        <v>45714</v>
      </c>
      <c r="C459" t="s">
        <v>18</v>
      </c>
      <c r="D459" t="s">
        <v>25</v>
      </c>
      <c r="E459" t="s">
        <v>38</v>
      </c>
      <c r="F459" t="s">
        <v>35</v>
      </c>
      <c r="G459">
        <v>3</v>
      </c>
      <c r="H459">
        <v>32000</v>
      </c>
      <c r="I459">
        <v>0</v>
      </c>
      <c r="J459">
        <v>96000</v>
      </c>
      <c r="K459">
        <v>96000</v>
      </c>
      <c r="L459">
        <v>78720</v>
      </c>
      <c r="M459">
        <v>1141</v>
      </c>
      <c r="N459">
        <v>641</v>
      </c>
      <c r="O459">
        <v>15498</v>
      </c>
      <c r="P459">
        <v>0.16143750000000001</v>
      </c>
      <c r="Q459" t="s">
        <v>47</v>
      </c>
    </row>
    <row r="460" spans="1:17">
      <c r="A460" t="s">
        <v>513</v>
      </c>
      <c r="B460" s="1">
        <v>45949</v>
      </c>
      <c r="C460" t="s">
        <v>46</v>
      </c>
      <c r="D460" t="s">
        <v>31</v>
      </c>
      <c r="E460" t="s">
        <v>26</v>
      </c>
      <c r="F460" t="s">
        <v>27</v>
      </c>
      <c r="G460">
        <v>2</v>
      </c>
      <c r="H460">
        <v>18000</v>
      </c>
      <c r="I460">
        <v>0.05</v>
      </c>
      <c r="J460">
        <v>36000</v>
      </c>
      <c r="K460">
        <v>34200</v>
      </c>
      <c r="L460">
        <v>28800</v>
      </c>
      <c r="M460">
        <v>950</v>
      </c>
      <c r="N460">
        <v>2332</v>
      </c>
      <c r="O460">
        <v>2118</v>
      </c>
      <c r="P460">
        <v>6.1929824561403508E-2</v>
      </c>
      <c r="Q460" t="s">
        <v>88</v>
      </c>
    </row>
    <row r="461" spans="1:17">
      <c r="A461" t="s">
        <v>514</v>
      </c>
      <c r="B461" s="1">
        <v>45878</v>
      </c>
      <c r="C461" t="s">
        <v>30</v>
      </c>
      <c r="D461" t="s">
        <v>19</v>
      </c>
      <c r="E461" t="s">
        <v>20</v>
      </c>
      <c r="F461" t="s">
        <v>35</v>
      </c>
      <c r="G461">
        <v>2</v>
      </c>
      <c r="H461">
        <v>28000</v>
      </c>
      <c r="I461">
        <v>0.08</v>
      </c>
      <c r="J461">
        <v>56000</v>
      </c>
      <c r="K461">
        <v>51520</v>
      </c>
      <c r="L461">
        <v>43680</v>
      </c>
      <c r="M461">
        <v>534</v>
      </c>
      <c r="N461">
        <v>631</v>
      </c>
      <c r="O461">
        <v>6675</v>
      </c>
      <c r="P461">
        <v>0.12956133540372669</v>
      </c>
      <c r="Q461" t="s">
        <v>58</v>
      </c>
    </row>
    <row r="462" spans="1:17">
      <c r="A462" t="s">
        <v>515</v>
      </c>
      <c r="B462" s="1">
        <v>46164</v>
      </c>
      <c r="C462" t="s">
        <v>50</v>
      </c>
      <c r="D462" t="s">
        <v>31</v>
      </c>
      <c r="E462" t="s">
        <v>26</v>
      </c>
      <c r="F462" t="s">
        <v>21</v>
      </c>
      <c r="G462">
        <v>6</v>
      </c>
      <c r="H462">
        <v>2500</v>
      </c>
      <c r="I462">
        <v>0.1</v>
      </c>
      <c r="J462">
        <v>15000</v>
      </c>
      <c r="K462">
        <v>13500</v>
      </c>
      <c r="L462">
        <v>9300</v>
      </c>
      <c r="M462">
        <v>239</v>
      </c>
      <c r="N462">
        <v>2206</v>
      </c>
      <c r="O462">
        <v>1755</v>
      </c>
      <c r="P462">
        <v>0.13</v>
      </c>
      <c r="Q462" t="s">
        <v>73</v>
      </c>
    </row>
    <row r="463" spans="1:17">
      <c r="A463" t="s">
        <v>516</v>
      </c>
      <c r="B463" s="1">
        <v>45913</v>
      </c>
      <c r="C463" t="s">
        <v>50</v>
      </c>
      <c r="D463" t="s">
        <v>63</v>
      </c>
      <c r="E463" t="s">
        <v>20</v>
      </c>
      <c r="F463" t="s">
        <v>21</v>
      </c>
      <c r="G463">
        <v>3</v>
      </c>
      <c r="H463">
        <v>2500</v>
      </c>
      <c r="I463">
        <v>0.05</v>
      </c>
      <c r="J463">
        <v>7500</v>
      </c>
      <c r="K463">
        <v>7125</v>
      </c>
      <c r="L463">
        <v>4650</v>
      </c>
      <c r="M463">
        <v>1097</v>
      </c>
      <c r="N463">
        <v>1185</v>
      </c>
      <c r="O463">
        <v>193</v>
      </c>
      <c r="P463">
        <v>2.7087719298245619E-2</v>
      </c>
      <c r="Q463" t="s">
        <v>32</v>
      </c>
    </row>
    <row r="464" spans="1:17">
      <c r="A464" t="s">
        <v>517</v>
      </c>
      <c r="B464" s="1">
        <v>45793</v>
      </c>
      <c r="C464" t="s">
        <v>30</v>
      </c>
      <c r="D464" t="s">
        <v>63</v>
      </c>
      <c r="E464" t="s">
        <v>26</v>
      </c>
      <c r="F464" t="s">
        <v>21</v>
      </c>
      <c r="G464">
        <v>1</v>
      </c>
      <c r="H464">
        <v>28000</v>
      </c>
      <c r="I464">
        <v>0</v>
      </c>
      <c r="J464">
        <v>28000</v>
      </c>
      <c r="K464">
        <v>28000</v>
      </c>
      <c r="L464">
        <v>21840</v>
      </c>
      <c r="M464">
        <v>1271</v>
      </c>
      <c r="N464">
        <v>2055</v>
      </c>
      <c r="O464">
        <v>2834</v>
      </c>
      <c r="P464">
        <v>0.1012142857142857</v>
      </c>
      <c r="Q464" t="s">
        <v>22</v>
      </c>
    </row>
    <row r="465" spans="1:17">
      <c r="A465" t="s">
        <v>518</v>
      </c>
      <c r="B465" s="1">
        <v>45701</v>
      </c>
      <c r="C465" t="s">
        <v>24</v>
      </c>
      <c r="D465" t="s">
        <v>51</v>
      </c>
      <c r="E465" t="s">
        <v>20</v>
      </c>
      <c r="F465" t="s">
        <v>21</v>
      </c>
      <c r="G465">
        <v>6</v>
      </c>
      <c r="H465">
        <v>3500</v>
      </c>
      <c r="I465">
        <v>0.1</v>
      </c>
      <c r="J465">
        <v>21000</v>
      </c>
      <c r="K465">
        <v>18900</v>
      </c>
      <c r="L465">
        <v>14280</v>
      </c>
      <c r="M465">
        <v>1537</v>
      </c>
      <c r="N465">
        <v>1334</v>
      </c>
      <c r="O465">
        <v>1748.999999999998</v>
      </c>
      <c r="P465">
        <v>9.253968253968245E-2</v>
      </c>
      <c r="Q465" t="s">
        <v>47</v>
      </c>
    </row>
    <row r="466" spans="1:17">
      <c r="A466" t="s">
        <v>519</v>
      </c>
      <c r="B466" s="1">
        <v>46147</v>
      </c>
      <c r="C466" t="s">
        <v>18</v>
      </c>
      <c r="D466" t="s">
        <v>51</v>
      </c>
      <c r="E466" t="s">
        <v>26</v>
      </c>
      <c r="F466" t="s">
        <v>21</v>
      </c>
      <c r="G466">
        <v>2</v>
      </c>
      <c r="H466">
        <v>32000</v>
      </c>
      <c r="I466">
        <v>0.1</v>
      </c>
      <c r="J466">
        <v>64000</v>
      </c>
      <c r="K466">
        <v>57600</v>
      </c>
      <c r="L466">
        <v>52480</v>
      </c>
      <c r="M466">
        <v>600</v>
      </c>
      <c r="N466">
        <v>1090</v>
      </c>
      <c r="O466">
        <v>3430</v>
      </c>
      <c r="P466">
        <v>5.9548611111111108E-2</v>
      </c>
      <c r="Q466" t="s">
        <v>73</v>
      </c>
    </row>
    <row r="467" spans="1:17">
      <c r="A467" t="s">
        <v>520</v>
      </c>
      <c r="B467" s="1">
        <v>46185</v>
      </c>
      <c r="C467" t="s">
        <v>53</v>
      </c>
      <c r="D467" t="s">
        <v>19</v>
      </c>
      <c r="E467" t="s">
        <v>20</v>
      </c>
      <c r="F467" t="s">
        <v>21</v>
      </c>
      <c r="G467">
        <v>2</v>
      </c>
      <c r="H467">
        <v>1500</v>
      </c>
      <c r="I467">
        <v>0.05</v>
      </c>
      <c r="J467">
        <v>3000</v>
      </c>
      <c r="K467">
        <v>2850</v>
      </c>
      <c r="L467">
        <v>1650</v>
      </c>
      <c r="M467">
        <v>466</v>
      </c>
      <c r="N467">
        <v>153</v>
      </c>
      <c r="O467">
        <v>580.99999999999977</v>
      </c>
      <c r="P467">
        <v>0.20385964912280691</v>
      </c>
      <c r="Q467" t="s">
        <v>135</v>
      </c>
    </row>
    <row r="468" spans="1:17">
      <c r="A468" t="s">
        <v>521</v>
      </c>
      <c r="B468" s="1">
        <v>46052</v>
      </c>
      <c r="C468" t="s">
        <v>30</v>
      </c>
      <c r="D468" t="s">
        <v>63</v>
      </c>
      <c r="E468" t="s">
        <v>26</v>
      </c>
      <c r="F468" t="s">
        <v>35</v>
      </c>
      <c r="G468">
        <v>2</v>
      </c>
      <c r="H468">
        <v>28000</v>
      </c>
      <c r="I468">
        <v>0.15</v>
      </c>
      <c r="J468">
        <v>56000</v>
      </c>
      <c r="K468">
        <v>47600</v>
      </c>
      <c r="L468">
        <v>43680</v>
      </c>
      <c r="M468">
        <v>849</v>
      </c>
      <c r="N468">
        <v>2447</v>
      </c>
      <c r="O468">
        <v>624</v>
      </c>
      <c r="P468">
        <v>1.3109243697478991E-2</v>
      </c>
      <c r="Q468" t="s">
        <v>43</v>
      </c>
    </row>
    <row r="469" spans="1:17">
      <c r="A469" t="s">
        <v>522</v>
      </c>
      <c r="B469" s="1">
        <v>46041</v>
      </c>
      <c r="C469" t="s">
        <v>50</v>
      </c>
      <c r="D469" t="s">
        <v>34</v>
      </c>
      <c r="E469" t="s">
        <v>26</v>
      </c>
      <c r="F469" t="s">
        <v>35</v>
      </c>
      <c r="G469">
        <v>2</v>
      </c>
      <c r="H469">
        <v>2500</v>
      </c>
      <c r="I469">
        <v>0.05</v>
      </c>
      <c r="J469">
        <v>5000</v>
      </c>
      <c r="K469">
        <v>4750</v>
      </c>
      <c r="L469">
        <v>3100</v>
      </c>
      <c r="M469">
        <v>1541</v>
      </c>
      <c r="N469">
        <v>1492</v>
      </c>
      <c r="O469">
        <v>-1383</v>
      </c>
      <c r="P469">
        <v>-0.29115789473684212</v>
      </c>
      <c r="Q469" t="s">
        <v>43</v>
      </c>
    </row>
    <row r="470" spans="1:17">
      <c r="A470" t="s">
        <v>523</v>
      </c>
      <c r="B470" s="1">
        <v>45813</v>
      </c>
      <c r="C470" t="s">
        <v>61</v>
      </c>
      <c r="D470" t="s">
        <v>51</v>
      </c>
      <c r="E470" t="s">
        <v>26</v>
      </c>
      <c r="F470" t="s">
        <v>35</v>
      </c>
      <c r="G470">
        <v>3</v>
      </c>
      <c r="H470">
        <v>4500</v>
      </c>
      <c r="I470">
        <v>0.08</v>
      </c>
      <c r="J470">
        <v>13500</v>
      </c>
      <c r="K470">
        <v>12420</v>
      </c>
      <c r="L470">
        <v>8775</v>
      </c>
      <c r="M470">
        <v>1352</v>
      </c>
      <c r="N470">
        <v>2115</v>
      </c>
      <c r="O470">
        <v>178</v>
      </c>
      <c r="P470">
        <v>1.43317230273752E-2</v>
      </c>
      <c r="Q470" t="s">
        <v>39</v>
      </c>
    </row>
    <row r="471" spans="1:17">
      <c r="A471" t="s">
        <v>524</v>
      </c>
      <c r="B471" s="1">
        <v>45864</v>
      </c>
      <c r="C471" t="s">
        <v>53</v>
      </c>
      <c r="D471" t="s">
        <v>31</v>
      </c>
      <c r="E471" t="s">
        <v>20</v>
      </c>
      <c r="F471" t="s">
        <v>27</v>
      </c>
      <c r="G471">
        <v>7</v>
      </c>
      <c r="H471">
        <v>1500</v>
      </c>
      <c r="I471">
        <v>0.03</v>
      </c>
      <c r="J471">
        <v>10500</v>
      </c>
      <c r="K471">
        <v>10185</v>
      </c>
      <c r="L471">
        <v>5775.0000000000009</v>
      </c>
      <c r="M471">
        <v>1198</v>
      </c>
      <c r="N471">
        <v>1074</v>
      </c>
      <c r="O471">
        <v>2137.9999999999991</v>
      </c>
      <c r="P471">
        <v>0.20991654393716239</v>
      </c>
      <c r="Q471" t="s">
        <v>36</v>
      </c>
    </row>
    <row r="472" spans="1:17">
      <c r="A472" t="s">
        <v>525</v>
      </c>
      <c r="B472" s="1">
        <v>46197</v>
      </c>
      <c r="C472" t="s">
        <v>46</v>
      </c>
      <c r="D472" t="s">
        <v>63</v>
      </c>
      <c r="E472" t="s">
        <v>20</v>
      </c>
      <c r="F472" t="s">
        <v>35</v>
      </c>
      <c r="G472">
        <v>2</v>
      </c>
      <c r="H472">
        <v>18000</v>
      </c>
      <c r="I472">
        <v>0.1</v>
      </c>
      <c r="J472">
        <v>36000</v>
      </c>
      <c r="K472">
        <v>32400</v>
      </c>
      <c r="L472">
        <v>28800</v>
      </c>
      <c r="M472">
        <v>403</v>
      </c>
      <c r="N472">
        <v>260</v>
      </c>
      <c r="O472">
        <v>2937</v>
      </c>
      <c r="P472">
        <v>9.0648148148148144E-2</v>
      </c>
      <c r="Q472" t="s">
        <v>135</v>
      </c>
    </row>
    <row r="473" spans="1:17">
      <c r="A473" t="s">
        <v>526</v>
      </c>
      <c r="B473" s="1">
        <v>45874</v>
      </c>
      <c r="C473" t="s">
        <v>24</v>
      </c>
      <c r="D473" t="s">
        <v>34</v>
      </c>
      <c r="E473" t="s">
        <v>38</v>
      </c>
      <c r="F473" t="s">
        <v>35</v>
      </c>
      <c r="G473">
        <v>5</v>
      </c>
      <c r="H473">
        <v>3500</v>
      </c>
      <c r="I473">
        <v>0.15</v>
      </c>
      <c r="J473">
        <v>17500</v>
      </c>
      <c r="K473">
        <v>14875</v>
      </c>
      <c r="L473">
        <v>11900</v>
      </c>
      <c r="M473">
        <v>1740</v>
      </c>
      <c r="N473">
        <v>1937</v>
      </c>
      <c r="O473">
        <v>-702</v>
      </c>
      <c r="P473">
        <v>-4.7193277310924368E-2</v>
      </c>
      <c r="Q473" t="s">
        <v>58</v>
      </c>
    </row>
    <row r="474" spans="1:17">
      <c r="A474" t="s">
        <v>527</v>
      </c>
      <c r="B474" s="1">
        <v>45915</v>
      </c>
      <c r="C474" t="s">
        <v>24</v>
      </c>
      <c r="D474" t="s">
        <v>19</v>
      </c>
      <c r="E474" t="s">
        <v>38</v>
      </c>
      <c r="F474" t="s">
        <v>21</v>
      </c>
      <c r="G474">
        <v>7</v>
      </c>
      <c r="H474">
        <v>3500</v>
      </c>
      <c r="I474">
        <v>0.2</v>
      </c>
      <c r="J474">
        <v>24500</v>
      </c>
      <c r="K474">
        <v>19600</v>
      </c>
      <c r="L474">
        <v>16660</v>
      </c>
      <c r="M474">
        <v>429</v>
      </c>
      <c r="N474">
        <v>2037</v>
      </c>
      <c r="O474">
        <v>474</v>
      </c>
      <c r="P474">
        <v>2.418367346938775E-2</v>
      </c>
      <c r="Q474" t="s">
        <v>32</v>
      </c>
    </row>
    <row r="475" spans="1:17">
      <c r="A475" t="s">
        <v>528</v>
      </c>
      <c r="B475" s="1">
        <v>45748</v>
      </c>
      <c r="C475" t="s">
        <v>61</v>
      </c>
      <c r="D475" t="s">
        <v>51</v>
      </c>
      <c r="E475" t="s">
        <v>38</v>
      </c>
      <c r="F475" t="s">
        <v>27</v>
      </c>
      <c r="G475">
        <v>3</v>
      </c>
      <c r="H475">
        <v>4500</v>
      </c>
      <c r="I475">
        <v>0.2</v>
      </c>
      <c r="J475">
        <v>13500</v>
      </c>
      <c r="K475">
        <v>10800</v>
      </c>
      <c r="L475">
        <v>8775</v>
      </c>
      <c r="M475">
        <v>498</v>
      </c>
      <c r="N475">
        <v>1056</v>
      </c>
      <c r="O475">
        <v>471</v>
      </c>
      <c r="P475">
        <v>4.3611111111111107E-2</v>
      </c>
      <c r="Q475" t="s">
        <v>41</v>
      </c>
    </row>
    <row r="476" spans="1:17">
      <c r="A476" t="s">
        <v>529</v>
      </c>
      <c r="B476" s="1">
        <v>46116</v>
      </c>
      <c r="C476" t="s">
        <v>50</v>
      </c>
      <c r="D476" t="s">
        <v>19</v>
      </c>
      <c r="E476" t="s">
        <v>38</v>
      </c>
      <c r="F476" t="s">
        <v>35</v>
      </c>
      <c r="G476">
        <v>7</v>
      </c>
      <c r="H476">
        <v>2500</v>
      </c>
      <c r="I476">
        <v>0</v>
      </c>
      <c r="J476">
        <v>17500</v>
      </c>
      <c r="K476">
        <v>17500</v>
      </c>
      <c r="L476">
        <v>10850</v>
      </c>
      <c r="M476">
        <v>452</v>
      </c>
      <c r="N476">
        <v>2004</v>
      </c>
      <c r="O476">
        <v>4194</v>
      </c>
      <c r="P476">
        <v>0.23965714285714279</v>
      </c>
      <c r="Q476" t="s">
        <v>65</v>
      </c>
    </row>
    <row r="477" spans="1:17">
      <c r="A477" t="s">
        <v>530</v>
      </c>
      <c r="B477" s="1">
        <v>46072</v>
      </c>
      <c r="C477" t="s">
        <v>61</v>
      </c>
      <c r="D477" t="s">
        <v>34</v>
      </c>
      <c r="E477" t="s">
        <v>38</v>
      </c>
      <c r="F477" t="s">
        <v>21</v>
      </c>
      <c r="G477">
        <v>7</v>
      </c>
      <c r="H477">
        <v>4500</v>
      </c>
      <c r="I477">
        <v>0</v>
      </c>
      <c r="J477">
        <v>31500</v>
      </c>
      <c r="K477">
        <v>31500</v>
      </c>
      <c r="L477">
        <v>20475</v>
      </c>
      <c r="M477">
        <v>700</v>
      </c>
      <c r="N477">
        <v>265</v>
      </c>
      <c r="O477">
        <v>10060</v>
      </c>
      <c r="P477">
        <v>0.31936507936507941</v>
      </c>
      <c r="Q477" t="s">
        <v>54</v>
      </c>
    </row>
    <row r="478" spans="1:17">
      <c r="A478" t="s">
        <v>531</v>
      </c>
      <c r="B478" s="1">
        <v>45865</v>
      </c>
      <c r="C478" t="s">
        <v>53</v>
      </c>
      <c r="D478" t="s">
        <v>51</v>
      </c>
      <c r="E478" t="s">
        <v>38</v>
      </c>
      <c r="F478" t="s">
        <v>21</v>
      </c>
      <c r="G478">
        <v>7</v>
      </c>
      <c r="H478">
        <v>1500</v>
      </c>
      <c r="I478">
        <v>0.1</v>
      </c>
      <c r="J478">
        <v>10500</v>
      </c>
      <c r="K478">
        <v>9450</v>
      </c>
      <c r="L478">
        <v>5775.0000000000009</v>
      </c>
      <c r="M478">
        <v>1458</v>
      </c>
      <c r="N478">
        <v>614</v>
      </c>
      <c r="O478">
        <v>1602.9999999999991</v>
      </c>
      <c r="P478">
        <v>0.16962962962962949</v>
      </c>
      <c r="Q478" t="s">
        <v>36</v>
      </c>
    </row>
    <row r="479" spans="1:17">
      <c r="A479" t="s">
        <v>532</v>
      </c>
      <c r="B479" s="1">
        <v>45933</v>
      </c>
      <c r="C479" t="s">
        <v>75</v>
      </c>
      <c r="D479" t="s">
        <v>19</v>
      </c>
      <c r="E479" t="s">
        <v>38</v>
      </c>
      <c r="F479" t="s">
        <v>35</v>
      </c>
      <c r="G479">
        <v>1</v>
      </c>
      <c r="H479">
        <v>65000</v>
      </c>
      <c r="I479">
        <v>0.08</v>
      </c>
      <c r="J479">
        <v>65000</v>
      </c>
      <c r="K479">
        <v>59800</v>
      </c>
      <c r="L479">
        <v>54600</v>
      </c>
      <c r="M479">
        <v>218</v>
      </c>
      <c r="N479">
        <v>2221</v>
      </c>
      <c r="O479">
        <v>2761</v>
      </c>
      <c r="P479">
        <v>4.6170568561872911E-2</v>
      </c>
      <c r="Q479" t="s">
        <v>88</v>
      </c>
    </row>
    <row r="480" spans="1:17">
      <c r="A480" t="s">
        <v>533</v>
      </c>
      <c r="B480" s="1">
        <v>45770</v>
      </c>
      <c r="C480" t="s">
        <v>30</v>
      </c>
      <c r="D480" t="s">
        <v>25</v>
      </c>
      <c r="E480" t="s">
        <v>26</v>
      </c>
      <c r="F480" t="s">
        <v>21</v>
      </c>
      <c r="G480">
        <v>3</v>
      </c>
      <c r="H480">
        <v>28000</v>
      </c>
      <c r="I480">
        <v>0.08</v>
      </c>
      <c r="J480">
        <v>84000</v>
      </c>
      <c r="K480">
        <v>77280</v>
      </c>
      <c r="L480">
        <v>65520</v>
      </c>
      <c r="M480">
        <v>1414</v>
      </c>
      <c r="N480">
        <v>1438</v>
      </c>
      <c r="O480">
        <v>8908</v>
      </c>
      <c r="P480">
        <v>0.1152691511387164</v>
      </c>
      <c r="Q480" t="s">
        <v>41</v>
      </c>
    </row>
    <row r="481" spans="1:17">
      <c r="A481" t="s">
        <v>534</v>
      </c>
      <c r="B481" s="1">
        <v>46128</v>
      </c>
      <c r="C481" t="s">
        <v>50</v>
      </c>
      <c r="D481" t="s">
        <v>19</v>
      </c>
      <c r="E481" t="s">
        <v>20</v>
      </c>
      <c r="F481" t="s">
        <v>21</v>
      </c>
      <c r="G481">
        <v>3</v>
      </c>
      <c r="H481">
        <v>2500</v>
      </c>
      <c r="I481">
        <v>0.1</v>
      </c>
      <c r="J481">
        <v>7500</v>
      </c>
      <c r="K481">
        <v>6750</v>
      </c>
      <c r="L481">
        <v>4650</v>
      </c>
      <c r="M481">
        <v>1378</v>
      </c>
      <c r="N481">
        <v>1690</v>
      </c>
      <c r="O481">
        <v>-968</v>
      </c>
      <c r="P481">
        <v>-0.1434074074074074</v>
      </c>
      <c r="Q481" t="s">
        <v>65</v>
      </c>
    </row>
    <row r="482" spans="1:17">
      <c r="A482" t="s">
        <v>535</v>
      </c>
      <c r="B482" s="1">
        <v>46115</v>
      </c>
      <c r="C482" t="s">
        <v>75</v>
      </c>
      <c r="D482" t="s">
        <v>34</v>
      </c>
      <c r="E482" t="s">
        <v>20</v>
      </c>
      <c r="F482" t="s">
        <v>21</v>
      </c>
      <c r="G482">
        <v>3</v>
      </c>
      <c r="H482">
        <v>65000</v>
      </c>
      <c r="I482">
        <v>0.1</v>
      </c>
      <c r="J482">
        <v>195000</v>
      </c>
      <c r="K482">
        <v>175500</v>
      </c>
      <c r="L482">
        <v>163800</v>
      </c>
      <c r="M482">
        <v>1200</v>
      </c>
      <c r="N482">
        <v>1305</v>
      </c>
      <c r="O482">
        <v>9195</v>
      </c>
      <c r="P482">
        <v>5.2393162393162392E-2</v>
      </c>
      <c r="Q482" t="s">
        <v>65</v>
      </c>
    </row>
    <row r="483" spans="1:17">
      <c r="A483" t="s">
        <v>536</v>
      </c>
      <c r="B483" s="1">
        <v>45750</v>
      </c>
      <c r="C483" t="s">
        <v>53</v>
      </c>
      <c r="D483" t="s">
        <v>34</v>
      </c>
      <c r="E483" t="s">
        <v>20</v>
      </c>
      <c r="F483" t="s">
        <v>35</v>
      </c>
      <c r="G483">
        <v>1</v>
      </c>
      <c r="H483">
        <v>1500</v>
      </c>
      <c r="I483">
        <v>0.03</v>
      </c>
      <c r="J483">
        <v>1500</v>
      </c>
      <c r="K483">
        <v>1455</v>
      </c>
      <c r="L483">
        <v>825.00000000000011</v>
      </c>
      <c r="M483">
        <v>605</v>
      </c>
      <c r="N483">
        <v>1849</v>
      </c>
      <c r="O483">
        <v>-1824</v>
      </c>
      <c r="P483">
        <v>-1.25360824742268</v>
      </c>
      <c r="Q483" t="s">
        <v>41</v>
      </c>
    </row>
    <row r="484" spans="1:17">
      <c r="A484" t="s">
        <v>537</v>
      </c>
      <c r="B484" s="1">
        <v>45953</v>
      </c>
      <c r="C484" t="s">
        <v>46</v>
      </c>
      <c r="D484" t="s">
        <v>34</v>
      </c>
      <c r="E484" t="s">
        <v>26</v>
      </c>
      <c r="F484" t="s">
        <v>27</v>
      </c>
      <c r="G484">
        <v>1</v>
      </c>
      <c r="H484">
        <v>18000</v>
      </c>
      <c r="I484">
        <v>0.08</v>
      </c>
      <c r="J484">
        <v>18000</v>
      </c>
      <c r="K484">
        <v>16560</v>
      </c>
      <c r="L484">
        <v>14400</v>
      </c>
      <c r="M484">
        <v>1266</v>
      </c>
      <c r="N484">
        <v>306</v>
      </c>
      <c r="O484">
        <v>588</v>
      </c>
      <c r="P484">
        <v>3.5507246376811602E-2</v>
      </c>
      <c r="Q484" t="s">
        <v>88</v>
      </c>
    </row>
    <row r="485" spans="1:17">
      <c r="A485" t="s">
        <v>538</v>
      </c>
      <c r="B485" s="1">
        <v>46095</v>
      </c>
      <c r="C485" t="s">
        <v>53</v>
      </c>
      <c r="D485" t="s">
        <v>25</v>
      </c>
      <c r="E485" t="s">
        <v>26</v>
      </c>
      <c r="F485" t="s">
        <v>35</v>
      </c>
      <c r="G485">
        <v>2</v>
      </c>
      <c r="H485">
        <v>1500</v>
      </c>
      <c r="I485">
        <v>0.05</v>
      </c>
      <c r="J485">
        <v>3000</v>
      </c>
      <c r="K485">
        <v>2850</v>
      </c>
      <c r="L485">
        <v>1650</v>
      </c>
      <c r="M485">
        <v>1172</v>
      </c>
      <c r="N485">
        <v>1957</v>
      </c>
      <c r="O485">
        <v>-1929</v>
      </c>
      <c r="P485">
        <v>-0.67684210526315802</v>
      </c>
      <c r="Q485" t="s">
        <v>98</v>
      </c>
    </row>
    <row r="486" spans="1:17">
      <c r="A486" t="s">
        <v>539</v>
      </c>
      <c r="B486" s="1">
        <v>45997</v>
      </c>
      <c r="C486" t="s">
        <v>50</v>
      </c>
      <c r="D486" t="s">
        <v>31</v>
      </c>
      <c r="E486" t="s">
        <v>20</v>
      </c>
      <c r="F486" t="s">
        <v>21</v>
      </c>
      <c r="G486">
        <v>6</v>
      </c>
      <c r="H486">
        <v>2500</v>
      </c>
      <c r="I486">
        <v>0.1</v>
      </c>
      <c r="J486">
        <v>15000</v>
      </c>
      <c r="K486">
        <v>13500</v>
      </c>
      <c r="L486">
        <v>9300</v>
      </c>
      <c r="M486">
        <v>1252</v>
      </c>
      <c r="N486">
        <v>395</v>
      </c>
      <c r="O486">
        <v>2553</v>
      </c>
      <c r="P486">
        <v>0.18911111111111109</v>
      </c>
      <c r="Q486" t="s">
        <v>80</v>
      </c>
    </row>
    <row r="487" spans="1:17">
      <c r="A487" t="s">
        <v>540</v>
      </c>
      <c r="B487" s="1">
        <v>45812</v>
      </c>
      <c r="C487" t="s">
        <v>50</v>
      </c>
      <c r="D487" t="s">
        <v>51</v>
      </c>
      <c r="E487" t="s">
        <v>38</v>
      </c>
      <c r="F487" t="s">
        <v>27</v>
      </c>
      <c r="G487">
        <v>7</v>
      </c>
      <c r="H487">
        <v>2500</v>
      </c>
      <c r="I487">
        <v>0.08</v>
      </c>
      <c r="J487">
        <v>17500</v>
      </c>
      <c r="K487">
        <v>16100</v>
      </c>
      <c r="L487">
        <v>10850</v>
      </c>
      <c r="M487">
        <v>1154</v>
      </c>
      <c r="N487">
        <v>1362</v>
      </c>
      <c r="O487">
        <v>2734</v>
      </c>
      <c r="P487">
        <v>0.16981366459627331</v>
      </c>
      <c r="Q487" t="s">
        <v>39</v>
      </c>
    </row>
    <row r="488" spans="1:17">
      <c r="A488" t="s">
        <v>541</v>
      </c>
      <c r="B488" s="1">
        <v>45880</v>
      </c>
      <c r="C488" t="s">
        <v>75</v>
      </c>
      <c r="D488" t="s">
        <v>63</v>
      </c>
      <c r="E488" t="s">
        <v>20</v>
      </c>
      <c r="F488" t="s">
        <v>21</v>
      </c>
      <c r="G488">
        <v>3</v>
      </c>
      <c r="H488">
        <v>65000</v>
      </c>
      <c r="I488">
        <v>0.03</v>
      </c>
      <c r="J488">
        <v>195000</v>
      </c>
      <c r="K488">
        <v>189150</v>
      </c>
      <c r="L488">
        <v>163800</v>
      </c>
      <c r="M488">
        <v>1457</v>
      </c>
      <c r="N488">
        <v>564</v>
      </c>
      <c r="O488">
        <v>23329</v>
      </c>
      <c r="P488">
        <v>0.1233359767380386</v>
      </c>
      <c r="Q488" t="s">
        <v>58</v>
      </c>
    </row>
    <row r="489" spans="1:17">
      <c r="A489" t="s">
        <v>542</v>
      </c>
      <c r="B489" s="1">
        <v>45925</v>
      </c>
      <c r="C489" t="s">
        <v>61</v>
      </c>
      <c r="D489" t="s">
        <v>63</v>
      </c>
      <c r="E489" t="s">
        <v>26</v>
      </c>
      <c r="F489" t="s">
        <v>27</v>
      </c>
      <c r="G489">
        <v>6</v>
      </c>
      <c r="H489">
        <v>4500</v>
      </c>
      <c r="I489">
        <v>0.05</v>
      </c>
      <c r="J489">
        <v>27000</v>
      </c>
      <c r="K489">
        <v>25650</v>
      </c>
      <c r="L489">
        <v>17550</v>
      </c>
      <c r="M489">
        <v>1532</v>
      </c>
      <c r="N489">
        <v>1754</v>
      </c>
      <c r="O489">
        <v>4814</v>
      </c>
      <c r="P489">
        <v>0.1876803118908382</v>
      </c>
      <c r="Q489" t="s">
        <v>32</v>
      </c>
    </row>
    <row r="490" spans="1:17">
      <c r="A490" t="s">
        <v>543</v>
      </c>
      <c r="B490" s="1">
        <v>45728</v>
      </c>
      <c r="C490" t="s">
        <v>24</v>
      </c>
      <c r="D490" t="s">
        <v>31</v>
      </c>
      <c r="E490" t="s">
        <v>20</v>
      </c>
      <c r="F490" t="s">
        <v>21</v>
      </c>
      <c r="G490">
        <v>3</v>
      </c>
      <c r="H490">
        <v>3500</v>
      </c>
      <c r="I490">
        <v>0.08</v>
      </c>
      <c r="J490">
        <v>10500</v>
      </c>
      <c r="K490">
        <v>9660</v>
      </c>
      <c r="L490">
        <v>7140.0000000000009</v>
      </c>
      <c r="M490">
        <v>1321</v>
      </c>
      <c r="N490">
        <v>2069</v>
      </c>
      <c r="O490">
        <v>-870.00000000000091</v>
      </c>
      <c r="P490">
        <v>-9.0062111801242337E-2</v>
      </c>
      <c r="Q490" t="s">
        <v>68</v>
      </c>
    </row>
    <row r="491" spans="1:17">
      <c r="A491" t="s">
        <v>544</v>
      </c>
      <c r="B491" s="1">
        <v>46142</v>
      </c>
      <c r="C491" t="s">
        <v>30</v>
      </c>
      <c r="D491" t="s">
        <v>31</v>
      </c>
      <c r="E491" t="s">
        <v>38</v>
      </c>
      <c r="F491" t="s">
        <v>21</v>
      </c>
      <c r="G491">
        <v>2</v>
      </c>
      <c r="H491">
        <v>28000</v>
      </c>
      <c r="I491">
        <v>0.15</v>
      </c>
      <c r="J491">
        <v>56000</v>
      </c>
      <c r="K491">
        <v>47600</v>
      </c>
      <c r="L491">
        <v>43680</v>
      </c>
      <c r="M491">
        <v>1127</v>
      </c>
      <c r="N491">
        <v>663</v>
      </c>
      <c r="O491">
        <v>2130</v>
      </c>
      <c r="P491">
        <v>4.4747899159663873E-2</v>
      </c>
      <c r="Q491" t="s">
        <v>65</v>
      </c>
    </row>
    <row r="492" spans="1:17">
      <c r="A492" t="s">
        <v>545</v>
      </c>
      <c r="B492" s="1">
        <v>45750</v>
      </c>
      <c r="C492" t="s">
        <v>46</v>
      </c>
      <c r="D492" t="s">
        <v>34</v>
      </c>
      <c r="E492" t="s">
        <v>20</v>
      </c>
      <c r="F492" t="s">
        <v>21</v>
      </c>
      <c r="G492">
        <v>3</v>
      </c>
      <c r="H492">
        <v>18000</v>
      </c>
      <c r="I492">
        <v>0.1</v>
      </c>
      <c r="J492">
        <v>54000</v>
      </c>
      <c r="K492">
        <v>48600</v>
      </c>
      <c r="L492">
        <v>43200</v>
      </c>
      <c r="M492">
        <v>309</v>
      </c>
      <c r="N492">
        <v>291</v>
      </c>
      <c r="O492">
        <v>4800</v>
      </c>
      <c r="P492">
        <v>9.8765432098765427E-2</v>
      </c>
      <c r="Q492" t="s">
        <v>41</v>
      </c>
    </row>
    <row r="493" spans="1:17">
      <c r="A493" t="s">
        <v>546</v>
      </c>
      <c r="B493" s="1">
        <v>45758</v>
      </c>
      <c r="C493" t="s">
        <v>53</v>
      </c>
      <c r="D493" t="s">
        <v>25</v>
      </c>
      <c r="E493" t="s">
        <v>38</v>
      </c>
      <c r="F493" t="s">
        <v>35</v>
      </c>
      <c r="G493">
        <v>1</v>
      </c>
      <c r="H493">
        <v>1500</v>
      </c>
      <c r="I493">
        <v>0.05</v>
      </c>
      <c r="J493">
        <v>1500</v>
      </c>
      <c r="K493">
        <v>1425</v>
      </c>
      <c r="L493">
        <v>825.00000000000011</v>
      </c>
      <c r="M493">
        <v>1236</v>
      </c>
      <c r="N493">
        <v>135</v>
      </c>
      <c r="O493">
        <v>-771.00000000000011</v>
      </c>
      <c r="P493">
        <v>-0.54105263157894745</v>
      </c>
      <c r="Q493" t="s">
        <v>41</v>
      </c>
    </row>
    <row r="494" spans="1:17">
      <c r="A494" t="s">
        <v>547</v>
      </c>
      <c r="B494" s="1">
        <v>46032</v>
      </c>
      <c r="C494" t="s">
        <v>46</v>
      </c>
      <c r="D494" t="s">
        <v>19</v>
      </c>
      <c r="E494" t="s">
        <v>26</v>
      </c>
      <c r="F494" t="s">
        <v>21</v>
      </c>
      <c r="G494">
        <v>2</v>
      </c>
      <c r="H494">
        <v>18000</v>
      </c>
      <c r="I494">
        <v>0.15</v>
      </c>
      <c r="J494">
        <v>36000</v>
      </c>
      <c r="K494">
        <v>30600</v>
      </c>
      <c r="L494">
        <v>28800</v>
      </c>
      <c r="M494">
        <v>1599</v>
      </c>
      <c r="N494">
        <v>130</v>
      </c>
      <c r="O494">
        <v>71</v>
      </c>
      <c r="P494">
        <v>2.3202614379084969E-3</v>
      </c>
      <c r="Q494" t="s">
        <v>43</v>
      </c>
    </row>
    <row r="495" spans="1:17">
      <c r="A495" t="s">
        <v>548</v>
      </c>
      <c r="B495" s="1">
        <v>46012</v>
      </c>
      <c r="C495" t="s">
        <v>24</v>
      </c>
      <c r="D495" t="s">
        <v>31</v>
      </c>
      <c r="E495" t="s">
        <v>20</v>
      </c>
      <c r="F495" t="s">
        <v>21</v>
      </c>
      <c r="G495">
        <v>6</v>
      </c>
      <c r="H495">
        <v>3500</v>
      </c>
      <c r="I495">
        <v>0.1</v>
      </c>
      <c r="J495">
        <v>21000</v>
      </c>
      <c r="K495">
        <v>18900</v>
      </c>
      <c r="L495">
        <v>14280</v>
      </c>
      <c r="M495">
        <v>1351</v>
      </c>
      <c r="N495">
        <v>2385</v>
      </c>
      <c r="O495">
        <v>883.99999999999818</v>
      </c>
      <c r="P495">
        <v>4.6772486772486667E-2</v>
      </c>
      <c r="Q495" t="s">
        <v>80</v>
      </c>
    </row>
    <row r="496" spans="1:17">
      <c r="A496" t="s">
        <v>549</v>
      </c>
      <c r="B496" s="1">
        <v>46096</v>
      </c>
      <c r="C496" t="s">
        <v>75</v>
      </c>
      <c r="D496" t="s">
        <v>25</v>
      </c>
      <c r="E496" t="s">
        <v>20</v>
      </c>
      <c r="F496" t="s">
        <v>35</v>
      </c>
      <c r="G496">
        <v>1</v>
      </c>
      <c r="H496">
        <v>65000</v>
      </c>
      <c r="I496">
        <v>0.05</v>
      </c>
      <c r="J496">
        <v>65000</v>
      </c>
      <c r="K496">
        <v>61750</v>
      </c>
      <c r="L496">
        <v>54600</v>
      </c>
      <c r="M496">
        <v>1190</v>
      </c>
      <c r="N496">
        <v>924</v>
      </c>
      <c r="O496">
        <v>5036</v>
      </c>
      <c r="P496">
        <v>8.1554655870445344E-2</v>
      </c>
      <c r="Q496" t="s">
        <v>98</v>
      </c>
    </row>
    <row r="497" spans="1:17">
      <c r="A497" t="s">
        <v>550</v>
      </c>
      <c r="B497" s="1">
        <v>46056</v>
      </c>
      <c r="C497" t="s">
        <v>61</v>
      </c>
      <c r="D497" t="s">
        <v>25</v>
      </c>
      <c r="E497" t="s">
        <v>20</v>
      </c>
      <c r="F497" t="s">
        <v>21</v>
      </c>
      <c r="G497">
        <v>5</v>
      </c>
      <c r="H497">
        <v>4500</v>
      </c>
      <c r="I497">
        <v>0.05</v>
      </c>
      <c r="J497">
        <v>22500</v>
      </c>
      <c r="K497">
        <v>21375</v>
      </c>
      <c r="L497">
        <v>14625</v>
      </c>
      <c r="M497">
        <v>729</v>
      </c>
      <c r="N497">
        <v>1071</v>
      </c>
      <c r="O497">
        <v>4950</v>
      </c>
      <c r="P497">
        <v>0.23157894736842111</v>
      </c>
      <c r="Q497" t="s">
        <v>54</v>
      </c>
    </row>
    <row r="498" spans="1:17">
      <c r="A498" t="s">
        <v>551</v>
      </c>
      <c r="B498" s="1">
        <v>45875</v>
      </c>
      <c r="C498" t="s">
        <v>18</v>
      </c>
      <c r="D498" t="s">
        <v>19</v>
      </c>
      <c r="E498" t="s">
        <v>26</v>
      </c>
      <c r="F498" t="s">
        <v>21</v>
      </c>
      <c r="G498">
        <v>1</v>
      </c>
      <c r="H498">
        <v>32000</v>
      </c>
      <c r="I498">
        <v>0.2</v>
      </c>
      <c r="J498">
        <v>32000</v>
      </c>
      <c r="K498">
        <v>25600</v>
      </c>
      <c r="L498">
        <v>26240</v>
      </c>
      <c r="M498">
        <v>592</v>
      </c>
      <c r="N498">
        <v>139</v>
      </c>
      <c r="O498">
        <v>-1371</v>
      </c>
      <c r="P498">
        <v>-5.3554687500000003E-2</v>
      </c>
      <c r="Q498" t="s">
        <v>58</v>
      </c>
    </row>
    <row r="499" spans="1:17">
      <c r="A499" t="s">
        <v>552</v>
      </c>
      <c r="B499" s="1">
        <v>46101</v>
      </c>
      <c r="C499" t="s">
        <v>75</v>
      </c>
      <c r="D499" t="s">
        <v>63</v>
      </c>
      <c r="E499" t="s">
        <v>38</v>
      </c>
      <c r="F499" t="s">
        <v>35</v>
      </c>
      <c r="G499">
        <v>3</v>
      </c>
      <c r="H499">
        <v>65000</v>
      </c>
      <c r="I499">
        <v>0.08</v>
      </c>
      <c r="J499">
        <v>195000</v>
      </c>
      <c r="K499">
        <v>179400</v>
      </c>
      <c r="L499">
        <v>163800</v>
      </c>
      <c r="M499">
        <v>1261</v>
      </c>
      <c r="N499">
        <v>1334</v>
      </c>
      <c r="O499">
        <v>13005</v>
      </c>
      <c r="P499">
        <v>7.2491638795986621E-2</v>
      </c>
      <c r="Q499" t="s">
        <v>98</v>
      </c>
    </row>
    <row r="500" spans="1:17">
      <c r="A500" t="s">
        <v>553</v>
      </c>
      <c r="B500" s="1">
        <v>46145</v>
      </c>
      <c r="C500" t="s">
        <v>18</v>
      </c>
      <c r="D500" t="s">
        <v>51</v>
      </c>
      <c r="E500" t="s">
        <v>38</v>
      </c>
      <c r="F500" t="s">
        <v>21</v>
      </c>
      <c r="G500">
        <v>3</v>
      </c>
      <c r="H500">
        <v>32000</v>
      </c>
      <c r="I500">
        <v>0.05</v>
      </c>
      <c r="J500">
        <v>96000</v>
      </c>
      <c r="K500">
        <v>91200</v>
      </c>
      <c r="L500">
        <v>78720</v>
      </c>
      <c r="M500">
        <v>544</v>
      </c>
      <c r="N500">
        <v>2371</v>
      </c>
      <c r="O500">
        <v>9565</v>
      </c>
      <c r="P500">
        <v>0.10487938596491229</v>
      </c>
      <c r="Q500" t="s">
        <v>73</v>
      </c>
    </row>
    <row r="501" spans="1:17">
      <c r="A501" t="s">
        <v>554</v>
      </c>
      <c r="B501" s="1">
        <v>45927</v>
      </c>
      <c r="C501" t="s">
        <v>61</v>
      </c>
      <c r="D501" t="s">
        <v>34</v>
      </c>
      <c r="E501" t="s">
        <v>20</v>
      </c>
      <c r="F501" t="s">
        <v>21</v>
      </c>
      <c r="G501">
        <v>3</v>
      </c>
      <c r="H501">
        <v>4500</v>
      </c>
      <c r="I501">
        <v>0.1</v>
      </c>
      <c r="J501">
        <v>13500</v>
      </c>
      <c r="K501">
        <v>12150</v>
      </c>
      <c r="L501">
        <v>8775</v>
      </c>
      <c r="M501">
        <v>387</v>
      </c>
      <c r="N501">
        <v>1981</v>
      </c>
      <c r="O501">
        <v>1007</v>
      </c>
      <c r="P501">
        <v>8.2880658436213991E-2</v>
      </c>
      <c r="Q501" t="s">
        <v>32</v>
      </c>
    </row>
    <row r="502" spans="1:17">
      <c r="A502" t="s">
        <v>555</v>
      </c>
      <c r="B502" s="1">
        <v>45777</v>
      </c>
      <c r="C502" t="s">
        <v>75</v>
      </c>
      <c r="D502" t="s">
        <v>31</v>
      </c>
      <c r="E502" t="s">
        <v>20</v>
      </c>
      <c r="F502" t="s">
        <v>27</v>
      </c>
      <c r="G502">
        <v>1</v>
      </c>
      <c r="H502">
        <v>65000</v>
      </c>
      <c r="I502">
        <v>0.08</v>
      </c>
      <c r="J502">
        <v>65000</v>
      </c>
      <c r="K502">
        <v>59800</v>
      </c>
      <c r="L502">
        <v>54600</v>
      </c>
      <c r="M502">
        <v>685</v>
      </c>
      <c r="N502">
        <v>1545</v>
      </c>
      <c r="O502">
        <v>2970</v>
      </c>
      <c r="P502">
        <v>4.9665551839464882E-2</v>
      </c>
      <c r="Q502" t="s">
        <v>41</v>
      </c>
    </row>
    <row r="503" spans="1:17">
      <c r="A503" t="s">
        <v>556</v>
      </c>
      <c r="B503" s="1">
        <v>46079</v>
      </c>
      <c r="C503" t="s">
        <v>50</v>
      </c>
      <c r="D503" t="s">
        <v>34</v>
      </c>
      <c r="E503" t="s">
        <v>20</v>
      </c>
      <c r="F503" t="s">
        <v>35</v>
      </c>
      <c r="G503">
        <v>5</v>
      </c>
      <c r="H503">
        <v>2500</v>
      </c>
      <c r="I503">
        <v>0.05</v>
      </c>
      <c r="J503">
        <v>12500</v>
      </c>
      <c r="K503">
        <v>11875</v>
      </c>
      <c r="L503">
        <v>7750</v>
      </c>
      <c r="M503">
        <v>919</v>
      </c>
      <c r="N503">
        <v>505</v>
      </c>
      <c r="O503">
        <v>2701</v>
      </c>
      <c r="P503">
        <v>0.22745263157894741</v>
      </c>
      <c r="Q503" t="s">
        <v>54</v>
      </c>
    </row>
    <row r="504" spans="1:17">
      <c r="A504" t="s">
        <v>557</v>
      </c>
      <c r="B504" s="1">
        <v>46006</v>
      </c>
      <c r="C504" t="s">
        <v>50</v>
      </c>
      <c r="D504" t="s">
        <v>51</v>
      </c>
      <c r="E504" t="s">
        <v>20</v>
      </c>
      <c r="F504" t="s">
        <v>21</v>
      </c>
      <c r="G504">
        <v>2</v>
      </c>
      <c r="H504">
        <v>2500</v>
      </c>
      <c r="I504">
        <v>0.05</v>
      </c>
      <c r="J504">
        <v>5000</v>
      </c>
      <c r="K504">
        <v>4750</v>
      </c>
      <c r="L504">
        <v>3100</v>
      </c>
      <c r="M504">
        <v>898</v>
      </c>
      <c r="N504">
        <v>1300</v>
      </c>
      <c r="O504">
        <v>-548</v>
      </c>
      <c r="P504">
        <v>-0.11536842105263161</v>
      </c>
      <c r="Q504" t="s">
        <v>80</v>
      </c>
    </row>
    <row r="505" spans="1:17">
      <c r="A505" t="s">
        <v>558</v>
      </c>
      <c r="B505" s="1">
        <v>46144</v>
      </c>
      <c r="C505" t="s">
        <v>75</v>
      </c>
      <c r="D505" t="s">
        <v>34</v>
      </c>
      <c r="E505" t="s">
        <v>26</v>
      </c>
      <c r="F505" t="s">
        <v>21</v>
      </c>
      <c r="G505">
        <v>3</v>
      </c>
      <c r="H505">
        <v>65000</v>
      </c>
      <c r="I505">
        <v>0.03</v>
      </c>
      <c r="J505">
        <v>195000</v>
      </c>
      <c r="K505">
        <v>189150</v>
      </c>
      <c r="L505">
        <v>163800</v>
      </c>
      <c r="M505">
        <v>961</v>
      </c>
      <c r="N505">
        <v>1719</v>
      </c>
      <c r="O505">
        <v>22670</v>
      </c>
      <c r="P505">
        <v>0.1198519693365054</v>
      </c>
      <c r="Q505" t="s">
        <v>73</v>
      </c>
    </row>
    <row r="506" spans="1:17">
      <c r="A506" t="s">
        <v>559</v>
      </c>
      <c r="B506" s="1">
        <v>46138</v>
      </c>
      <c r="C506" t="s">
        <v>30</v>
      </c>
      <c r="D506" t="s">
        <v>63</v>
      </c>
      <c r="E506" t="s">
        <v>20</v>
      </c>
      <c r="F506" t="s">
        <v>35</v>
      </c>
      <c r="G506">
        <v>2</v>
      </c>
      <c r="H506">
        <v>28000</v>
      </c>
      <c r="I506">
        <v>0</v>
      </c>
      <c r="J506">
        <v>56000</v>
      </c>
      <c r="K506">
        <v>56000</v>
      </c>
      <c r="L506">
        <v>43680</v>
      </c>
      <c r="M506">
        <v>699</v>
      </c>
      <c r="N506">
        <v>436</v>
      </c>
      <c r="O506">
        <v>11185</v>
      </c>
      <c r="P506">
        <v>0.19973214285714291</v>
      </c>
      <c r="Q506" t="s">
        <v>65</v>
      </c>
    </row>
    <row r="507" spans="1:17">
      <c r="A507" t="s">
        <v>560</v>
      </c>
      <c r="B507" s="1">
        <v>45972</v>
      </c>
      <c r="C507" t="s">
        <v>30</v>
      </c>
      <c r="D507" t="s">
        <v>25</v>
      </c>
      <c r="E507" t="s">
        <v>26</v>
      </c>
      <c r="F507" t="s">
        <v>21</v>
      </c>
      <c r="G507">
        <v>2</v>
      </c>
      <c r="H507">
        <v>28000</v>
      </c>
      <c r="I507">
        <v>0.15</v>
      </c>
      <c r="J507">
        <v>56000</v>
      </c>
      <c r="K507">
        <v>47600</v>
      </c>
      <c r="L507">
        <v>43680</v>
      </c>
      <c r="M507">
        <v>1502</v>
      </c>
      <c r="N507">
        <v>427</v>
      </c>
      <c r="O507">
        <v>1991</v>
      </c>
      <c r="P507">
        <v>4.1827731092436968E-2</v>
      </c>
      <c r="Q507" t="s">
        <v>28</v>
      </c>
    </row>
    <row r="508" spans="1:17">
      <c r="A508" t="s">
        <v>561</v>
      </c>
      <c r="B508" s="1">
        <v>45659</v>
      </c>
      <c r="C508" t="s">
        <v>24</v>
      </c>
      <c r="D508" t="s">
        <v>34</v>
      </c>
      <c r="E508" t="s">
        <v>20</v>
      </c>
      <c r="F508" t="s">
        <v>21</v>
      </c>
      <c r="G508">
        <v>1</v>
      </c>
      <c r="H508">
        <v>3500</v>
      </c>
      <c r="I508">
        <v>0.1</v>
      </c>
      <c r="J508">
        <v>3500</v>
      </c>
      <c r="K508">
        <v>3150</v>
      </c>
      <c r="L508">
        <v>2380</v>
      </c>
      <c r="M508">
        <v>1495</v>
      </c>
      <c r="N508">
        <v>986</v>
      </c>
      <c r="O508">
        <v>-1711</v>
      </c>
      <c r="P508">
        <v>-0.5431746031746032</v>
      </c>
      <c r="Q508" t="s">
        <v>56</v>
      </c>
    </row>
    <row r="509" spans="1:17">
      <c r="A509" t="s">
        <v>562</v>
      </c>
      <c r="B509" s="1">
        <v>45995</v>
      </c>
      <c r="C509" t="s">
        <v>18</v>
      </c>
      <c r="D509" t="s">
        <v>51</v>
      </c>
      <c r="E509" t="s">
        <v>26</v>
      </c>
      <c r="F509" t="s">
        <v>21</v>
      </c>
      <c r="G509">
        <v>1</v>
      </c>
      <c r="H509">
        <v>32000</v>
      </c>
      <c r="I509">
        <v>0.1</v>
      </c>
      <c r="J509">
        <v>32000</v>
      </c>
      <c r="K509">
        <v>28800</v>
      </c>
      <c r="L509">
        <v>26240</v>
      </c>
      <c r="M509">
        <v>437</v>
      </c>
      <c r="N509">
        <v>1217</v>
      </c>
      <c r="O509">
        <v>906</v>
      </c>
      <c r="P509">
        <v>3.1458333333333331E-2</v>
      </c>
      <c r="Q509" t="s">
        <v>80</v>
      </c>
    </row>
    <row r="510" spans="1:17">
      <c r="A510" t="s">
        <v>563</v>
      </c>
      <c r="B510" s="1">
        <v>45858</v>
      </c>
      <c r="C510" t="s">
        <v>46</v>
      </c>
      <c r="D510" t="s">
        <v>31</v>
      </c>
      <c r="E510" t="s">
        <v>26</v>
      </c>
      <c r="F510" t="s">
        <v>21</v>
      </c>
      <c r="G510">
        <v>3</v>
      </c>
      <c r="H510">
        <v>18000</v>
      </c>
      <c r="I510">
        <v>0.08</v>
      </c>
      <c r="J510">
        <v>54000</v>
      </c>
      <c r="K510">
        <v>49680</v>
      </c>
      <c r="L510">
        <v>43200</v>
      </c>
      <c r="M510">
        <v>1690</v>
      </c>
      <c r="N510">
        <v>242</v>
      </c>
      <c r="O510">
        <v>4548</v>
      </c>
      <c r="P510">
        <v>9.1545893719806759E-2</v>
      </c>
      <c r="Q510" t="s">
        <v>36</v>
      </c>
    </row>
    <row r="511" spans="1:17">
      <c r="A511" t="s">
        <v>564</v>
      </c>
      <c r="B511" s="1">
        <v>46024</v>
      </c>
      <c r="C511" t="s">
        <v>18</v>
      </c>
      <c r="D511" t="s">
        <v>63</v>
      </c>
      <c r="E511" t="s">
        <v>26</v>
      </c>
      <c r="F511" t="s">
        <v>21</v>
      </c>
      <c r="G511">
        <v>2</v>
      </c>
      <c r="H511">
        <v>32000</v>
      </c>
      <c r="I511">
        <v>0.08</v>
      </c>
      <c r="J511">
        <v>64000</v>
      </c>
      <c r="K511">
        <v>58880</v>
      </c>
      <c r="L511">
        <v>52480</v>
      </c>
      <c r="M511">
        <v>507</v>
      </c>
      <c r="N511">
        <v>1817</v>
      </c>
      <c r="O511">
        <v>4076</v>
      </c>
      <c r="P511">
        <v>6.9225543478260876E-2</v>
      </c>
      <c r="Q511" t="s">
        <v>43</v>
      </c>
    </row>
    <row r="512" spans="1:17">
      <c r="A512" t="s">
        <v>565</v>
      </c>
      <c r="B512" s="1">
        <v>45894</v>
      </c>
      <c r="C512" t="s">
        <v>46</v>
      </c>
      <c r="D512" t="s">
        <v>34</v>
      </c>
      <c r="E512" t="s">
        <v>38</v>
      </c>
      <c r="F512" t="s">
        <v>35</v>
      </c>
      <c r="G512">
        <v>1</v>
      </c>
      <c r="H512">
        <v>18000</v>
      </c>
      <c r="I512">
        <v>0.05</v>
      </c>
      <c r="J512">
        <v>18000</v>
      </c>
      <c r="K512">
        <v>17100</v>
      </c>
      <c r="L512">
        <v>14400</v>
      </c>
      <c r="M512">
        <v>339</v>
      </c>
      <c r="N512">
        <v>1604</v>
      </c>
      <c r="O512">
        <v>757</v>
      </c>
      <c r="P512">
        <v>4.4269005847953208E-2</v>
      </c>
      <c r="Q512" t="s">
        <v>58</v>
      </c>
    </row>
    <row r="513" spans="1:17">
      <c r="A513" t="s">
        <v>566</v>
      </c>
      <c r="B513" s="1">
        <v>45796</v>
      </c>
      <c r="C513" t="s">
        <v>50</v>
      </c>
      <c r="D513" t="s">
        <v>19</v>
      </c>
      <c r="E513" t="s">
        <v>26</v>
      </c>
      <c r="F513" t="s">
        <v>35</v>
      </c>
      <c r="G513">
        <v>6</v>
      </c>
      <c r="H513">
        <v>2500</v>
      </c>
      <c r="I513">
        <v>0.1</v>
      </c>
      <c r="J513">
        <v>15000</v>
      </c>
      <c r="K513">
        <v>13500</v>
      </c>
      <c r="L513">
        <v>9300</v>
      </c>
      <c r="M513">
        <v>306</v>
      </c>
      <c r="N513">
        <v>982</v>
      </c>
      <c r="O513">
        <v>2912</v>
      </c>
      <c r="P513">
        <v>0.2157037037037037</v>
      </c>
      <c r="Q513" t="s">
        <v>22</v>
      </c>
    </row>
    <row r="514" spans="1:17">
      <c r="A514" t="s">
        <v>567</v>
      </c>
      <c r="B514" s="1">
        <v>46047</v>
      </c>
      <c r="C514" t="s">
        <v>30</v>
      </c>
      <c r="D514" t="s">
        <v>34</v>
      </c>
      <c r="E514" t="s">
        <v>20</v>
      </c>
      <c r="F514" t="s">
        <v>35</v>
      </c>
      <c r="G514">
        <v>1</v>
      </c>
      <c r="H514">
        <v>28000</v>
      </c>
      <c r="I514">
        <v>0.15</v>
      </c>
      <c r="J514">
        <v>28000</v>
      </c>
      <c r="K514">
        <v>23800</v>
      </c>
      <c r="L514">
        <v>21840</v>
      </c>
      <c r="M514">
        <v>623</v>
      </c>
      <c r="N514">
        <v>1691</v>
      </c>
      <c r="O514">
        <v>-354</v>
      </c>
      <c r="P514">
        <v>-1.487394957983193E-2</v>
      </c>
      <c r="Q514" t="s">
        <v>43</v>
      </c>
    </row>
    <row r="515" spans="1:17">
      <c r="A515" t="s">
        <v>568</v>
      </c>
      <c r="B515" s="1">
        <v>45884</v>
      </c>
      <c r="C515" t="s">
        <v>46</v>
      </c>
      <c r="D515" t="s">
        <v>19</v>
      </c>
      <c r="E515" t="s">
        <v>20</v>
      </c>
      <c r="F515" t="s">
        <v>35</v>
      </c>
      <c r="G515">
        <v>3</v>
      </c>
      <c r="H515">
        <v>18000</v>
      </c>
      <c r="I515">
        <v>0.08</v>
      </c>
      <c r="J515">
        <v>54000</v>
      </c>
      <c r="K515">
        <v>49680</v>
      </c>
      <c r="L515">
        <v>43200</v>
      </c>
      <c r="M515">
        <v>1456</v>
      </c>
      <c r="N515">
        <v>2068</v>
      </c>
      <c r="O515">
        <v>2956</v>
      </c>
      <c r="P515">
        <v>5.9500805152979057E-2</v>
      </c>
      <c r="Q515" t="s">
        <v>58</v>
      </c>
    </row>
    <row r="516" spans="1:17">
      <c r="A516" t="s">
        <v>569</v>
      </c>
      <c r="B516" s="1">
        <v>45930</v>
      </c>
      <c r="C516" t="s">
        <v>50</v>
      </c>
      <c r="D516" t="s">
        <v>34</v>
      </c>
      <c r="E516" t="s">
        <v>26</v>
      </c>
      <c r="F516" t="s">
        <v>35</v>
      </c>
      <c r="G516">
        <v>2</v>
      </c>
      <c r="H516">
        <v>2500</v>
      </c>
      <c r="I516">
        <v>0.08</v>
      </c>
      <c r="J516">
        <v>5000</v>
      </c>
      <c r="K516">
        <v>4600</v>
      </c>
      <c r="L516">
        <v>3100</v>
      </c>
      <c r="M516">
        <v>1070</v>
      </c>
      <c r="N516">
        <v>767</v>
      </c>
      <c r="O516">
        <v>-337</v>
      </c>
      <c r="P516">
        <v>-7.3260869565217393E-2</v>
      </c>
      <c r="Q516" t="s">
        <v>32</v>
      </c>
    </row>
    <row r="517" spans="1:17">
      <c r="A517" t="s">
        <v>570</v>
      </c>
      <c r="B517" s="1">
        <v>45956</v>
      </c>
      <c r="C517" t="s">
        <v>30</v>
      </c>
      <c r="D517" t="s">
        <v>31</v>
      </c>
      <c r="E517" t="s">
        <v>38</v>
      </c>
      <c r="F517" t="s">
        <v>35</v>
      </c>
      <c r="G517">
        <v>2</v>
      </c>
      <c r="H517">
        <v>28000</v>
      </c>
      <c r="I517">
        <v>0.15</v>
      </c>
      <c r="J517">
        <v>56000</v>
      </c>
      <c r="K517">
        <v>47600</v>
      </c>
      <c r="L517">
        <v>43680</v>
      </c>
      <c r="M517">
        <v>1594</v>
      </c>
      <c r="N517">
        <v>2324</v>
      </c>
      <c r="O517">
        <v>2</v>
      </c>
      <c r="P517">
        <v>4.2016806722689077E-5</v>
      </c>
      <c r="Q517" t="s">
        <v>88</v>
      </c>
    </row>
    <row r="518" spans="1:17">
      <c r="A518" t="s">
        <v>571</v>
      </c>
      <c r="B518" s="1">
        <v>45740</v>
      </c>
      <c r="C518" t="s">
        <v>46</v>
      </c>
      <c r="D518" t="s">
        <v>25</v>
      </c>
      <c r="E518" t="s">
        <v>20</v>
      </c>
      <c r="F518" t="s">
        <v>35</v>
      </c>
      <c r="G518">
        <v>1</v>
      </c>
      <c r="H518">
        <v>18000</v>
      </c>
      <c r="I518">
        <v>0.1</v>
      </c>
      <c r="J518">
        <v>18000</v>
      </c>
      <c r="K518">
        <v>16200</v>
      </c>
      <c r="L518">
        <v>14400</v>
      </c>
      <c r="M518">
        <v>1470</v>
      </c>
      <c r="N518">
        <v>1617</v>
      </c>
      <c r="O518">
        <v>-1287</v>
      </c>
      <c r="P518">
        <v>-7.9444444444444443E-2</v>
      </c>
      <c r="Q518" t="s">
        <v>68</v>
      </c>
    </row>
    <row r="519" spans="1:17">
      <c r="A519" t="s">
        <v>572</v>
      </c>
      <c r="B519" s="1">
        <v>46129</v>
      </c>
      <c r="C519" t="s">
        <v>46</v>
      </c>
      <c r="D519" t="s">
        <v>25</v>
      </c>
      <c r="E519" t="s">
        <v>38</v>
      </c>
      <c r="F519" t="s">
        <v>35</v>
      </c>
      <c r="G519">
        <v>3</v>
      </c>
      <c r="H519">
        <v>18000</v>
      </c>
      <c r="I519">
        <v>0.1</v>
      </c>
      <c r="J519">
        <v>54000</v>
      </c>
      <c r="K519">
        <v>48600</v>
      </c>
      <c r="L519">
        <v>43200</v>
      </c>
      <c r="M519">
        <v>409</v>
      </c>
      <c r="N519">
        <v>1067</v>
      </c>
      <c r="O519">
        <v>3924</v>
      </c>
      <c r="P519">
        <v>8.0740740740740738E-2</v>
      </c>
      <c r="Q519" t="s">
        <v>65</v>
      </c>
    </row>
    <row r="520" spans="1:17">
      <c r="A520" t="s">
        <v>573</v>
      </c>
      <c r="B520" s="1">
        <v>46194</v>
      </c>
      <c r="C520" t="s">
        <v>75</v>
      </c>
      <c r="D520" t="s">
        <v>25</v>
      </c>
      <c r="E520" t="s">
        <v>20</v>
      </c>
      <c r="F520" t="s">
        <v>35</v>
      </c>
      <c r="G520">
        <v>3</v>
      </c>
      <c r="H520">
        <v>65000</v>
      </c>
      <c r="I520">
        <v>0.03</v>
      </c>
      <c r="J520">
        <v>195000</v>
      </c>
      <c r="K520">
        <v>189150</v>
      </c>
      <c r="L520">
        <v>163800</v>
      </c>
      <c r="M520">
        <v>1510</v>
      </c>
      <c r="N520">
        <v>1498</v>
      </c>
      <c r="O520">
        <v>22342</v>
      </c>
      <c r="P520">
        <v>0.1181178958498546</v>
      </c>
      <c r="Q520" t="s">
        <v>135</v>
      </c>
    </row>
    <row r="521" spans="1:17">
      <c r="A521" t="s">
        <v>574</v>
      </c>
      <c r="B521" s="1">
        <v>45662</v>
      </c>
      <c r="C521" t="s">
        <v>61</v>
      </c>
      <c r="D521" t="s">
        <v>19</v>
      </c>
      <c r="E521" t="s">
        <v>26</v>
      </c>
      <c r="F521" t="s">
        <v>35</v>
      </c>
      <c r="G521">
        <v>2</v>
      </c>
      <c r="H521">
        <v>4500</v>
      </c>
      <c r="I521">
        <v>0.15</v>
      </c>
      <c r="J521">
        <v>9000</v>
      </c>
      <c r="K521">
        <v>7650</v>
      </c>
      <c r="L521">
        <v>5850</v>
      </c>
      <c r="M521">
        <v>1115</v>
      </c>
      <c r="N521">
        <v>251</v>
      </c>
      <c r="O521">
        <v>434</v>
      </c>
      <c r="P521">
        <v>5.6732026143790852E-2</v>
      </c>
      <c r="Q521" t="s">
        <v>56</v>
      </c>
    </row>
    <row r="522" spans="1:17">
      <c r="A522" t="s">
        <v>575</v>
      </c>
      <c r="B522" s="1">
        <v>45819</v>
      </c>
      <c r="C522" t="s">
        <v>18</v>
      </c>
      <c r="D522" t="s">
        <v>25</v>
      </c>
      <c r="E522" t="s">
        <v>38</v>
      </c>
      <c r="F522" t="s">
        <v>27</v>
      </c>
      <c r="G522">
        <v>3</v>
      </c>
      <c r="H522">
        <v>32000</v>
      </c>
      <c r="I522">
        <v>0.03</v>
      </c>
      <c r="J522">
        <v>96000</v>
      </c>
      <c r="K522">
        <v>93120</v>
      </c>
      <c r="L522">
        <v>78720</v>
      </c>
      <c r="M522">
        <v>1779</v>
      </c>
      <c r="N522">
        <v>1810</v>
      </c>
      <c r="O522">
        <v>10811</v>
      </c>
      <c r="P522">
        <v>0.1160975085910653</v>
      </c>
      <c r="Q522" t="s">
        <v>39</v>
      </c>
    </row>
    <row r="523" spans="1:17">
      <c r="A523" t="s">
        <v>576</v>
      </c>
      <c r="B523" s="1">
        <v>46035</v>
      </c>
      <c r="C523" t="s">
        <v>18</v>
      </c>
      <c r="D523" t="s">
        <v>51</v>
      </c>
      <c r="E523" t="s">
        <v>20</v>
      </c>
      <c r="F523" t="s">
        <v>21</v>
      </c>
      <c r="G523">
        <v>3</v>
      </c>
      <c r="H523">
        <v>32000</v>
      </c>
      <c r="I523">
        <v>0</v>
      </c>
      <c r="J523">
        <v>96000</v>
      </c>
      <c r="K523">
        <v>96000</v>
      </c>
      <c r="L523">
        <v>78720</v>
      </c>
      <c r="M523">
        <v>1469</v>
      </c>
      <c r="N523">
        <v>1701</v>
      </c>
      <c r="O523">
        <v>14110</v>
      </c>
      <c r="P523">
        <v>0.14697916666666669</v>
      </c>
      <c r="Q523" t="s">
        <v>43</v>
      </c>
    </row>
    <row r="524" spans="1:17">
      <c r="A524" t="s">
        <v>577</v>
      </c>
      <c r="B524" s="1">
        <v>45951</v>
      </c>
      <c r="C524" t="s">
        <v>61</v>
      </c>
      <c r="D524" t="s">
        <v>51</v>
      </c>
      <c r="E524" t="s">
        <v>20</v>
      </c>
      <c r="F524" t="s">
        <v>35</v>
      </c>
      <c r="G524">
        <v>5</v>
      </c>
      <c r="H524">
        <v>4500</v>
      </c>
      <c r="I524">
        <v>0.1</v>
      </c>
      <c r="J524">
        <v>22500</v>
      </c>
      <c r="K524">
        <v>20250</v>
      </c>
      <c r="L524">
        <v>14625</v>
      </c>
      <c r="M524">
        <v>1704</v>
      </c>
      <c r="N524">
        <v>983</v>
      </c>
      <c r="O524">
        <v>2938</v>
      </c>
      <c r="P524">
        <v>0.14508641975308639</v>
      </c>
      <c r="Q524" t="s">
        <v>88</v>
      </c>
    </row>
    <row r="525" spans="1:17">
      <c r="A525" t="s">
        <v>578</v>
      </c>
      <c r="B525" s="1">
        <v>45727</v>
      </c>
      <c r="C525" t="s">
        <v>53</v>
      </c>
      <c r="D525" t="s">
        <v>63</v>
      </c>
      <c r="E525" t="s">
        <v>20</v>
      </c>
      <c r="F525" t="s">
        <v>35</v>
      </c>
      <c r="G525">
        <v>7</v>
      </c>
      <c r="H525">
        <v>1500</v>
      </c>
      <c r="I525">
        <v>0.05</v>
      </c>
      <c r="J525">
        <v>10500</v>
      </c>
      <c r="K525">
        <v>9975</v>
      </c>
      <c r="L525">
        <v>5775.0000000000009</v>
      </c>
      <c r="M525">
        <v>988</v>
      </c>
      <c r="N525">
        <v>1083</v>
      </c>
      <c r="O525">
        <v>2128.9999999999991</v>
      </c>
      <c r="P525">
        <v>0.2134335839598997</v>
      </c>
      <c r="Q525" t="s">
        <v>68</v>
      </c>
    </row>
    <row r="526" spans="1:17">
      <c r="A526" t="s">
        <v>579</v>
      </c>
      <c r="B526" s="1">
        <v>45849</v>
      </c>
      <c r="C526" t="s">
        <v>18</v>
      </c>
      <c r="D526" t="s">
        <v>19</v>
      </c>
      <c r="E526" t="s">
        <v>20</v>
      </c>
      <c r="F526" t="s">
        <v>21</v>
      </c>
      <c r="G526">
        <v>3</v>
      </c>
      <c r="H526">
        <v>32000</v>
      </c>
      <c r="I526">
        <v>0.15</v>
      </c>
      <c r="J526">
        <v>96000</v>
      </c>
      <c r="K526">
        <v>81600</v>
      </c>
      <c r="L526">
        <v>78720</v>
      </c>
      <c r="M526">
        <v>938</v>
      </c>
      <c r="N526">
        <v>971</v>
      </c>
      <c r="O526">
        <v>971</v>
      </c>
      <c r="P526">
        <v>1.1899509803921571E-2</v>
      </c>
      <c r="Q526" t="s">
        <v>36</v>
      </c>
    </row>
    <row r="527" spans="1:17">
      <c r="A527" t="s">
        <v>580</v>
      </c>
      <c r="B527" s="1">
        <v>45849</v>
      </c>
      <c r="C527" t="s">
        <v>53</v>
      </c>
      <c r="D527" t="s">
        <v>51</v>
      </c>
      <c r="E527" t="s">
        <v>20</v>
      </c>
      <c r="F527" t="s">
        <v>35</v>
      </c>
      <c r="G527">
        <v>1</v>
      </c>
      <c r="H527">
        <v>1500</v>
      </c>
      <c r="I527">
        <v>0</v>
      </c>
      <c r="J527">
        <v>1500</v>
      </c>
      <c r="K527">
        <v>1500</v>
      </c>
      <c r="L527">
        <v>825.00000000000011</v>
      </c>
      <c r="M527">
        <v>402</v>
      </c>
      <c r="N527">
        <v>672</v>
      </c>
      <c r="O527">
        <v>-399.00000000000011</v>
      </c>
      <c r="P527">
        <v>-0.26600000000000013</v>
      </c>
      <c r="Q527" t="s">
        <v>36</v>
      </c>
    </row>
    <row r="528" spans="1:17">
      <c r="A528" t="s">
        <v>581</v>
      </c>
      <c r="B528" s="1">
        <v>46171</v>
      </c>
      <c r="C528" t="s">
        <v>24</v>
      </c>
      <c r="D528" t="s">
        <v>63</v>
      </c>
      <c r="E528" t="s">
        <v>26</v>
      </c>
      <c r="F528" t="s">
        <v>21</v>
      </c>
      <c r="G528">
        <v>3</v>
      </c>
      <c r="H528">
        <v>3500</v>
      </c>
      <c r="I528">
        <v>0.2</v>
      </c>
      <c r="J528">
        <v>10500</v>
      </c>
      <c r="K528">
        <v>8400</v>
      </c>
      <c r="L528">
        <v>7140.0000000000009</v>
      </c>
      <c r="M528">
        <v>1420</v>
      </c>
      <c r="N528">
        <v>684</v>
      </c>
      <c r="O528">
        <v>-844.00000000000091</v>
      </c>
      <c r="P528">
        <v>-0.10047619047619059</v>
      </c>
      <c r="Q528" t="s">
        <v>73</v>
      </c>
    </row>
    <row r="529" spans="1:17">
      <c r="A529" t="s">
        <v>582</v>
      </c>
      <c r="B529" s="1">
        <v>46102</v>
      </c>
      <c r="C529" t="s">
        <v>50</v>
      </c>
      <c r="D529" t="s">
        <v>51</v>
      </c>
      <c r="E529" t="s">
        <v>38</v>
      </c>
      <c r="F529" t="s">
        <v>27</v>
      </c>
      <c r="G529">
        <v>4</v>
      </c>
      <c r="H529">
        <v>2500</v>
      </c>
      <c r="I529">
        <v>0.03</v>
      </c>
      <c r="J529">
        <v>10000</v>
      </c>
      <c r="K529">
        <v>9700</v>
      </c>
      <c r="L529">
        <v>6200</v>
      </c>
      <c r="M529">
        <v>916</v>
      </c>
      <c r="N529">
        <v>990</v>
      </c>
      <c r="O529">
        <v>1594</v>
      </c>
      <c r="P529">
        <v>0.1643298969072165</v>
      </c>
      <c r="Q529" t="s">
        <v>98</v>
      </c>
    </row>
    <row r="530" spans="1:17">
      <c r="A530" t="s">
        <v>583</v>
      </c>
      <c r="B530" s="1">
        <v>45904</v>
      </c>
      <c r="C530" t="s">
        <v>75</v>
      </c>
      <c r="D530" t="s">
        <v>31</v>
      </c>
      <c r="E530" t="s">
        <v>20</v>
      </c>
      <c r="F530" t="s">
        <v>21</v>
      </c>
      <c r="G530">
        <v>3</v>
      </c>
      <c r="H530">
        <v>65000</v>
      </c>
      <c r="I530">
        <v>0.2</v>
      </c>
      <c r="J530">
        <v>195000</v>
      </c>
      <c r="K530">
        <v>156000</v>
      </c>
      <c r="L530">
        <v>163800</v>
      </c>
      <c r="M530">
        <v>1718</v>
      </c>
      <c r="N530">
        <v>773</v>
      </c>
      <c r="O530">
        <v>-10291</v>
      </c>
      <c r="P530">
        <v>-6.5967948717948713E-2</v>
      </c>
      <c r="Q530" t="s">
        <v>32</v>
      </c>
    </row>
    <row r="531" spans="1:17">
      <c r="A531" t="s">
        <v>584</v>
      </c>
      <c r="B531" s="1">
        <v>46062</v>
      </c>
      <c r="C531" t="s">
        <v>61</v>
      </c>
      <c r="D531" t="s">
        <v>63</v>
      </c>
      <c r="E531" t="s">
        <v>20</v>
      </c>
      <c r="F531" t="s">
        <v>27</v>
      </c>
      <c r="G531">
        <v>5</v>
      </c>
      <c r="H531">
        <v>4500</v>
      </c>
      <c r="I531">
        <v>0.08</v>
      </c>
      <c r="J531">
        <v>22500</v>
      </c>
      <c r="K531">
        <v>20700</v>
      </c>
      <c r="L531">
        <v>14625</v>
      </c>
      <c r="M531">
        <v>960</v>
      </c>
      <c r="N531">
        <v>1549</v>
      </c>
      <c r="O531">
        <v>3566</v>
      </c>
      <c r="P531">
        <v>0.17227053140096621</v>
      </c>
      <c r="Q531" t="s">
        <v>54</v>
      </c>
    </row>
    <row r="532" spans="1:17">
      <c r="A532" t="s">
        <v>585</v>
      </c>
      <c r="B532" s="1">
        <v>45823</v>
      </c>
      <c r="C532" t="s">
        <v>46</v>
      </c>
      <c r="D532" t="s">
        <v>63</v>
      </c>
      <c r="E532" t="s">
        <v>20</v>
      </c>
      <c r="F532" t="s">
        <v>27</v>
      </c>
      <c r="G532">
        <v>2</v>
      </c>
      <c r="H532">
        <v>18000</v>
      </c>
      <c r="I532">
        <v>0.1</v>
      </c>
      <c r="J532">
        <v>36000</v>
      </c>
      <c r="K532">
        <v>32400</v>
      </c>
      <c r="L532">
        <v>28800</v>
      </c>
      <c r="M532">
        <v>728</v>
      </c>
      <c r="N532">
        <v>2137</v>
      </c>
      <c r="O532">
        <v>735</v>
      </c>
      <c r="P532">
        <v>2.268518518518519E-2</v>
      </c>
      <c r="Q532" t="s">
        <v>39</v>
      </c>
    </row>
    <row r="533" spans="1:17">
      <c r="A533" t="s">
        <v>586</v>
      </c>
      <c r="B533" s="1">
        <v>46166</v>
      </c>
      <c r="C533" t="s">
        <v>50</v>
      </c>
      <c r="D533" t="s">
        <v>19</v>
      </c>
      <c r="E533" t="s">
        <v>26</v>
      </c>
      <c r="F533" t="s">
        <v>35</v>
      </c>
      <c r="G533">
        <v>6</v>
      </c>
      <c r="H533">
        <v>2500</v>
      </c>
      <c r="I533">
        <v>0.03</v>
      </c>
      <c r="J533">
        <v>15000</v>
      </c>
      <c r="K533">
        <v>14550</v>
      </c>
      <c r="L533">
        <v>9300</v>
      </c>
      <c r="M533">
        <v>271</v>
      </c>
      <c r="N533">
        <v>754</v>
      </c>
      <c r="O533">
        <v>4225</v>
      </c>
      <c r="P533">
        <v>0.29037800687285231</v>
      </c>
      <c r="Q533" t="s">
        <v>73</v>
      </c>
    </row>
    <row r="534" spans="1:17">
      <c r="A534" t="s">
        <v>587</v>
      </c>
      <c r="B534" s="1">
        <v>45874</v>
      </c>
      <c r="C534" t="s">
        <v>46</v>
      </c>
      <c r="D534" t="s">
        <v>25</v>
      </c>
      <c r="E534" t="s">
        <v>20</v>
      </c>
      <c r="F534" t="s">
        <v>21</v>
      </c>
      <c r="G534">
        <v>3</v>
      </c>
      <c r="H534">
        <v>18000</v>
      </c>
      <c r="I534">
        <v>0</v>
      </c>
      <c r="J534">
        <v>54000</v>
      </c>
      <c r="K534">
        <v>54000</v>
      </c>
      <c r="L534">
        <v>43200</v>
      </c>
      <c r="M534">
        <v>1181</v>
      </c>
      <c r="N534">
        <v>506</v>
      </c>
      <c r="O534">
        <v>9113</v>
      </c>
      <c r="P534">
        <v>0.16875925925925919</v>
      </c>
      <c r="Q534" t="s">
        <v>58</v>
      </c>
    </row>
    <row r="535" spans="1:17">
      <c r="A535" t="s">
        <v>588</v>
      </c>
      <c r="B535" s="1">
        <v>45803</v>
      </c>
      <c r="C535" t="s">
        <v>53</v>
      </c>
      <c r="D535" t="s">
        <v>31</v>
      </c>
      <c r="E535" t="s">
        <v>26</v>
      </c>
      <c r="F535" t="s">
        <v>21</v>
      </c>
      <c r="G535">
        <v>6</v>
      </c>
      <c r="H535">
        <v>1500</v>
      </c>
      <c r="I535">
        <v>0.03</v>
      </c>
      <c r="J535">
        <v>9000</v>
      </c>
      <c r="K535">
        <v>8730</v>
      </c>
      <c r="L535">
        <v>4950</v>
      </c>
      <c r="M535">
        <v>1671</v>
      </c>
      <c r="N535">
        <v>853</v>
      </c>
      <c r="O535">
        <v>1256</v>
      </c>
      <c r="P535">
        <v>0.14387170675830471</v>
      </c>
      <c r="Q535" t="s">
        <v>22</v>
      </c>
    </row>
    <row r="536" spans="1:17">
      <c r="A536" t="s">
        <v>589</v>
      </c>
      <c r="B536" s="1">
        <v>46148</v>
      </c>
      <c r="C536" t="s">
        <v>24</v>
      </c>
      <c r="D536" t="s">
        <v>31</v>
      </c>
      <c r="E536" t="s">
        <v>26</v>
      </c>
      <c r="F536" t="s">
        <v>21</v>
      </c>
      <c r="G536">
        <v>7</v>
      </c>
      <c r="H536">
        <v>3500</v>
      </c>
      <c r="I536">
        <v>0.05</v>
      </c>
      <c r="J536">
        <v>24500</v>
      </c>
      <c r="K536">
        <v>23275</v>
      </c>
      <c r="L536">
        <v>16660</v>
      </c>
      <c r="M536">
        <v>1086</v>
      </c>
      <c r="N536">
        <v>118</v>
      </c>
      <c r="O536">
        <v>5411</v>
      </c>
      <c r="P536">
        <v>0.23248120300751879</v>
      </c>
      <c r="Q536" t="s">
        <v>73</v>
      </c>
    </row>
    <row r="537" spans="1:17">
      <c r="A537" t="s">
        <v>590</v>
      </c>
      <c r="B537" s="1">
        <v>45701</v>
      </c>
      <c r="C537" t="s">
        <v>53</v>
      </c>
      <c r="D537" t="s">
        <v>51</v>
      </c>
      <c r="E537" t="s">
        <v>20</v>
      </c>
      <c r="F537" t="s">
        <v>27</v>
      </c>
      <c r="G537">
        <v>4</v>
      </c>
      <c r="H537">
        <v>1500</v>
      </c>
      <c r="I537">
        <v>0.08</v>
      </c>
      <c r="J537">
        <v>6000</v>
      </c>
      <c r="K537">
        <v>5520</v>
      </c>
      <c r="L537">
        <v>3300</v>
      </c>
      <c r="M537">
        <v>321</v>
      </c>
      <c r="N537">
        <v>531</v>
      </c>
      <c r="O537">
        <v>1368</v>
      </c>
      <c r="P537">
        <v>0.2478260869565217</v>
      </c>
      <c r="Q537" t="s">
        <v>47</v>
      </c>
    </row>
    <row r="538" spans="1:17">
      <c r="A538" t="s">
        <v>591</v>
      </c>
      <c r="B538" s="1">
        <v>46055</v>
      </c>
      <c r="C538" t="s">
        <v>30</v>
      </c>
      <c r="D538" t="s">
        <v>51</v>
      </c>
      <c r="E538" t="s">
        <v>20</v>
      </c>
      <c r="F538" t="s">
        <v>35</v>
      </c>
      <c r="G538">
        <v>1</v>
      </c>
      <c r="H538">
        <v>28000</v>
      </c>
      <c r="I538">
        <v>0.05</v>
      </c>
      <c r="J538">
        <v>28000</v>
      </c>
      <c r="K538">
        <v>26600</v>
      </c>
      <c r="L538">
        <v>21840</v>
      </c>
      <c r="M538">
        <v>1387</v>
      </c>
      <c r="N538">
        <v>1251</v>
      </c>
      <c r="O538">
        <v>2122</v>
      </c>
      <c r="P538">
        <v>7.9774436090225567E-2</v>
      </c>
      <c r="Q538" t="s">
        <v>54</v>
      </c>
    </row>
    <row r="539" spans="1:17">
      <c r="A539" t="s">
        <v>592</v>
      </c>
      <c r="B539" s="1">
        <v>46086</v>
      </c>
      <c r="C539" t="s">
        <v>53</v>
      </c>
      <c r="D539" t="s">
        <v>25</v>
      </c>
      <c r="E539" t="s">
        <v>20</v>
      </c>
      <c r="F539" t="s">
        <v>27</v>
      </c>
      <c r="G539">
        <v>3</v>
      </c>
      <c r="H539">
        <v>1500</v>
      </c>
      <c r="I539">
        <v>0</v>
      </c>
      <c r="J539">
        <v>4500</v>
      </c>
      <c r="K539">
        <v>4500</v>
      </c>
      <c r="L539">
        <v>2475</v>
      </c>
      <c r="M539">
        <v>1413</v>
      </c>
      <c r="N539">
        <v>1511</v>
      </c>
      <c r="O539">
        <v>-899</v>
      </c>
      <c r="P539">
        <v>-0.1997777777777778</v>
      </c>
      <c r="Q539" t="s">
        <v>98</v>
      </c>
    </row>
    <row r="540" spans="1:17">
      <c r="A540" t="s">
        <v>593</v>
      </c>
      <c r="B540" s="1">
        <v>45816</v>
      </c>
      <c r="C540" t="s">
        <v>18</v>
      </c>
      <c r="D540" t="s">
        <v>63</v>
      </c>
      <c r="E540" t="s">
        <v>20</v>
      </c>
      <c r="F540" t="s">
        <v>21</v>
      </c>
      <c r="G540">
        <v>3</v>
      </c>
      <c r="H540">
        <v>32000</v>
      </c>
      <c r="I540">
        <v>0.03</v>
      </c>
      <c r="J540">
        <v>96000</v>
      </c>
      <c r="K540">
        <v>93120</v>
      </c>
      <c r="L540">
        <v>78720</v>
      </c>
      <c r="M540">
        <v>991</v>
      </c>
      <c r="N540">
        <v>270</v>
      </c>
      <c r="O540">
        <v>13139</v>
      </c>
      <c r="P540">
        <v>0.14109750859106529</v>
      </c>
      <c r="Q540" t="s">
        <v>39</v>
      </c>
    </row>
    <row r="541" spans="1:17">
      <c r="A541" t="s">
        <v>594</v>
      </c>
      <c r="B541" s="1">
        <v>45887</v>
      </c>
      <c r="C541" t="s">
        <v>18</v>
      </c>
      <c r="D541" t="s">
        <v>25</v>
      </c>
      <c r="E541" t="s">
        <v>20</v>
      </c>
      <c r="F541" t="s">
        <v>21</v>
      </c>
      <c r="G541">
        <v>3</v>
      </c>
      <c r="H541">
        <v>32000</v>
      </c>
      <c r="I541">
        <v>0.05</v>
      </c>
      <c r="J541">
        <v>96000</v>
      </c>
      <c r="K541">
        <v>91200</v>
      </c>
      <c r="L541">
        <v>78720</v>
      </c>
      <c r="M541">
        <v>1348</v>
      </c>
      <c r="N541">
        <v>1581</v>
      </c>
      <c r="O541">
        <v>9551</v>
      </c>
      <c r="P541">
        <v>0.1047258771929825</v>
      </c>
      <c r="Q541" t="s">
        <v>58</v>
      </c>
    </row>
    <row r="542" spans="1:17">
      <c r="A542" t="s">
        <v>595</v>
      </c>
      <c r="B542" s="1">
        <v>46007</v>
      </c>
      <c r="C542" t="s">
        <v>18</v>
      </c>
      <c r="D542" t="s">
        <v>34</v>
      </c>
      <c r="E542" t="s">
        <v>38</v>
      </c>
      <c r="F542" t="s">
        <v>35</v>
      </c>
      <c r="G542">
        <v>2</v>
      </c>
      <c r="H542">
        <v>32000</v>
      </c>
      <c r="I542">
        <v>0.1</v>
      </c>
      <c r="J542">
        <v>64000</v>
      </c>
      <c r="K542">
        <v>57600</v>
      </c>
      <c r="L542">
        <v>52480</v>
      </c>
      <c r="M542">
        <v>372</v>
      </c>
      <c r="N542">
        <v>552</v>
      </c>
      <c r="O542">
        <v>4196</v>
      </c>
      <c r="P542">
        <v>7.2847222222222216E-2</v>
      </c>
      <c r="Q542" t="s">
        <v>80</v>
      </c>
    </row>
    <row r="543" spans="1:17">
      <c r="A543" t="s">
        <v>596</v>
      </c>
      <c r="B543" s="1">
        <v>45803</v>
      </c>
      <c r="C543" t="s">
        <v>53</v>
      </c>
      <c r="D543" t="s">
        <v>25</v>
      </c>
      <c r="E543" t="s">
        <v>26</v>
      </c>
      <c r="F543" t="s">
        <v>35</v>
      </c>
      <c r="G543">
        <v>4</v>
      </c>
      <c r="H543">
        <v>1500</v>
      </c>
      <c r="I543">
        <v>0.1</v>
      </c>
      <c r="J543">
        <v>6000</v>
      </c>
      <c r="K543">
        <v>5400</v>
      </c>
      <c r="L543">
        <v>3300</v>
      </c>
      <c r="M543">
        <v>205</v>
      </c>
      <c r="N543">
        <v>387</v>
      </c>
      <c r="O543">
        <v>1508</v>
      </c>
      <c r="P543">
        <v>0.27925925925925921</v>
      </c>
      <c r="Q543" t="s">
        <v>22</v>
      </c>
    </row>
    <row r="544" spans="1:17">
      <c r="A544" t="s">
        <v>597</v>
      </c>
      <c r="B544" s="1">
        <v>45763</v>
      </c>
      <c r="C544" t="s">
        <v>53</v>
      </c>
      <c r="D544" t="s">
        <v>19</v>
      </c>
      <c r="E544" t="s">
        <v>26</v>
      </c>
      <c r="F544" t="s">
        <v>21</v>
      </c>
      <c r="G544">
        <v>6</v>
      </c>
      <c r="H544">
        <v>1500</v>
      </c>
      <c r="I544">
        <v>0.05</v>
      </c>
      <c r="J544">
        <v>9000</v>
      </c>
      <c r="K544">
        <v>8550</v>
      </c>
      <c r="L544">
        <v>4950</v>
      </c>
      <c r="M544">
        <v>646</v>
      </c>
      <c r="N544">
        <v>934</v>
      </c>
      <c r="O544">
        <v>2020</v>
      </c>
      <c r="P544">
        <v>0.2362573099415205</v>
      </c>
      <c r="Q544" t="s">
        <v>41</v>
      </c>
    </row>
    <row r="545" spans="1:17">
      <c r="A545" t="s">
        <v>598</v>
      </c>
      <c r="B545" s="1">
        <v>46161</v>
      </c>
      <c r="C545" t="s">
        <v>18</v>
      </c>
      <c r="D545" t="s">
        <v>34</v>
      </c>
      <c r="E545" t="s">
        <v>20</v>
      </c>
      <c r="F545" t="s">
        <v>35</v>
      </c>
      <c r="G545">
        <v>1</v>
      </c>
      <c r="H545">
        <v>32000</v>
      </c>
      <c r="I545">
        <v>0.1</v>
      </c>
      <c r="J545">
        <v>32000</v>
      </c>
      <c r="K545">
        <v>28800</v>
      </c>
      <c r="L545">
        <v>26240</v>
      </c>
      <c r="M545">
        <v>615</v>
      </c>
      <c r="N545">
        <v>825</v>
      </c>
      <c r="O545">
        <v>1120</v>
      </c>
      <c r="P545">
        <v>3.888888888888889E-2</v>
      </c>
      <c r="Q545" t="s">
        <v>73</v>
      </c>
    </row>
    <row r="546" spans="1:17">
      <c r="A546" t="s">
        <v>599</v>
      </c>
      <c r="B546" s="1">
        <v>46050</v>
      </c>
      <c r="C546" t="s">
        <v>61</v>
      </c>
      <c r="D546" t="s">
        <v>31</v>
      </c>
      <c r="E546" t="s">
        <v>20</v>
      </c>
      <c r="F546" t="s">
        <v>21</v>
      </c>
      <c r="G546">
        <v>7</v>
      </c>
      <c r="H546">
        <v>4500</v>
      </c>
      <c r="I546">
        <v>0.03</v>
      </c>
      <c r="J546">
        <v>31500</v>
      </c>
      <c r="K546">
        <v>30555</v>
      </c>
      <c r="L546">
        <v>20475</v>
      </c>
      <c r="M546">
        <v>962</v>
      </c>
      <c r="N546">
        <v>1638</v>
      </c>
      <c r="O546">
        <v>7480</v>
      </c>
      <c r="P546">
        <v>0.24480445099001799</v>
      </c>
      <c r="Q546" t="s">
        <v>43</v>
      </c>
    </row>
    <row r="547" spans="1:17">
      <c r="A547" t="s">
        <v>600</v>
      </c>
      <c r="B547" s="1">
        <v>45740</v>
      </c>
      <c r="C547" t="s">
        <v>30</v>
      </c>
      <c r="D547" t="s">
        <v>51</v>
      </c>
      <c r="E547" t="s">
        <v>20</v>
      </c>
      <c r="F547" t="s">
        <v>35</v>
      </c>
      <c r="G547">
        <v>1</v>
      </c>
      <c r="H547">
        <v>28000</v>
      </c>
      <c r="I547">
        <v>0.05</v>
      </c>
      <c r="J547">
        <v>28000</v>
      </c>
      <c r="K547">
        <v>26600</v>
      </c>
      <c r="L547">
        <v>21840</v>
      </c>
      <c r="M547">
        <v>1040</v>
      </c>
      <c r="N547">
        <v>1914</v>
      </c>
      <c r="O547">
        <v>1806</v>
      </c>
      <c r="P547">
        <v>6.7894736842105258E-2</v>
      </c>
      <c r="Q547" t="s">
        <v>68</v>
      </c>
    </row>
    <row r="548" spans="1:17">
      <c r="A548" t="s">
        <v>601</v>
      </c>
      <c r="B548" s="1">
        <v>45894</v>
      </c>
      <c r="C548" t="s">
        <v>46</v>
      </c>
      <c r="D548" t="s">
        <v>63</v>
      </c>
      <c r="E548" t="s">
        <v>26</v>
      </c>
      <c r="F548" t="s">
        <v>21</v>
      </c>
      <c r="G548">
        <v>3</v>
      </c>
      <c r="H548">
        <v>18000</v>
      </c>
      <c r="I548">
        <v>0.05</v>
      </c>
      <c r="J548">
        <v>54000</v>
      </c>
      <c r="K548">
        <v>51300</v>
      </c>
      <c r="L548">
        <v>43200</v>
      </c>
      <c r="M548">
        <v>1123</v>
      </c>
      <c r="N548">
        <v>2117</v>
      </c>
      <c r="O548">
        <v>4860</v>
      </c>
      <c r="P548">
        <v>9.4736842105263161E-2</v>
      </c>
      <c r="Q548" t="s">
        <v>58</v>
      </c>
    </row>
    <row r="549" spans="1:17">
      <c r="A549" t="s">
        <v>602</v>
      </c>
      <c r="B549" s="1">
        <v>45682</v>
      </c>
      <c r="C549" t="s">
        <v>61</v>
      </c>
      <c r="D549" t="s">
        <v>34</v>
      </c>
      <c r="E549" t="s">
        <v>20</v>
      </c>
      <c r="F549" t="s">
        <v>35</v>
      </c>
      <c r="G549">
        <v>2</v>
      </c>
      <c r="H549">
        <v>4500</v>
      </c>
      <c r="I549">
        <v>0.05</v>
      </c>
      <c r="J549">
        <v>9000</v>
      </c>
      <c r="K549">
        <v>8550</v>
      </c>
      <c r="L549">
        <v>5850</v>
      </c>
      <c r="M549">
        <v>838</v>
      </c>
      <c r="N549">
        <v>2060</v>
      </c>
      <c r="O549">
        <v>-198</v>
      </c>
      <c r="P549">
        <v>-2.315789473684211E-2</v>
      </c>
      <c r="Q549" t="s">
        <v>56</v>
      </c>
    </row>
    <row r="550" spans="1:17">
      <c r="A550" t="s">
        <v>603</v>
      </c>
      <c r="B550" s="1">
        <v>46160</v>
      </c>
      <c r="C550" t="s">
        <v>30</v>
      </c>
      <c r="D550" t="s">
        <v>63</v>
      </c>
      <c r="E550" t="s">
        <v>20</v>
      </c>
      <c r="F550" t="s">
        <v>27</v>
      </c>
      <c r="G550">
        <v>3</v>
      </c>
      <c r="H550">
        <v>28000</v>
      </c>
      <c r="I550">
        <v>0.03</v>
      </c>
      <c r="J550">
        <v>84000</v>
      </c>
      <c r="K550">
        <v>81480</v>
      </c>
      <c r="L550">
        <v>65520</v>
      </c>
      <c r="M550">
        <v>604</v>
      </c>
      <c r="N550">
        <v>784</v>
      </c>
      <c r="O550">
        <v>14572</v>
      </c>
      <c r="P550">
        <v>0.17884143348060871</v>
      </c>
      <c r="Q550" t="s">
        <v>73</v>
      </c>
    </row>
    <row r="551" spans="1:17">
      <c r="A551" t="s">
        <v>604</v>
      </c>
      <c r="B551" s="1">
        <v>45898</v>
      </c>
      <c r="C551" t="s">
        <v>53</v>
      </c>
      <c r="D551" t="s">
        <v>19</v>
      </c>
      <c r="E551" t="s">
        <v>20</v>
      </c>
      <c r="F551" t="s">
        <v>35</v>
      </c>
      <c r="G551">
        <v>1</v>
      </c>
      <c r="H551">
        <v>1500</v>
      </c>
      <c r="I551">
        <v>0.05</v>
      </c>
      <c r="J551">
        <v>1500</v>
      </c>
      <c r="K551">
        <v>1425</v>
      </c>
      <c r="L551">
        <v>825.00000000000011</v>
      </c>
      <c r="M551">
        <v>253</v>
      </c>
      <c r="N551">
        <v>1454</v>
      </c>
      <c r="O551">
        <v>-1107</v>
      </c>
      <c r="P551">
        <v>-0.77684210526315789</v>
      </c>
      <c r="Q551" t="s">
        <v>58</v>
      </c>
    </row>
    <row r="552" spans="1:17">
      <c r="A552" t="s">
        <v>605</v>
      </c>
      <c r="B552" s="1">
        <v>45896</v>
      </c>
      <c r="C552" t="s">
        <v>30</v>
      </c>
      <c r="D552" t="s">
        <v>25</v>
      </c>
      <c r="E552" t="s">
        <v>26</v>
      </c>
      <c r="F552" t="s">
        <v>35</v>
      </c>
      <c r="G552">
        <v>2</v>
      </c>
      <c r="H552">
        <v>28000</v>
      </c>
      <c r="I552">
        <v>0.1</v>
      </c>
      <c r="J552">
        <v>56000</v>
      </c>
      <c r="K552">
        <v>50400</v>
      </c>
      <c r="L552">
        <v>43680</v>
      </c>
      <c r="M552">
        <v>690</v>
      </c>
      <c r="N552">
        <v>530</v>
      </c>
      <c r="O552">
        <v>5500</v>
      </c>
      <c r="P552">
        <v>0.1091269841269841</v>
      </c>
      <c r="Q552" t="s">
        <v>58</v>
      </c>
    </row>
    <row r="553" spans="1:17">
      <c r="A553" t="s">
        <v>606</v>
      </c>
      <c r="B553" s="1">
        <v>45729</v>
      </c>
      <c r="C553" t="s">
        <v>18</v>
      </c>
      <c r="D553" t="s">
        <v>34</v>
      </c>
      <c r="E553" t="s">
        <v>20</v>
      </c>
      <c r="F553" t="s">
        <v>35</v>
      </c>
      <c r="G553">
        <v>2</v>
      </c>
      <c r="H553">
        <v>32000</v>
      </c>
      <c r="I553">
        <v>0.08</v>
      </c>
      <c r="J553">
        <v>64000</v>
      </c>
      <c r="K553">
        <v>58880</v>
      </c>
      <c r="L553">
        <v>52480</v>
      </c>
      <c r="M553">
        <v>1026</v>
      </c>
      <c r="N553">
        <v>2430</v>
      </c>
      <c r="O553">
        <v>2944</v>
      </c>
      <c r="P553">
        <v>0.05</v>
      </c>
      <c r="Q553" t="s">
        <v>68</v>
      </c>
    </row>
    <row r="554" spans="1:17">
      <c r="A554" t="s">
        <v>607</v>
      </c>
      <c r="B554" s="1">
        <v>46122</v>
      </c>
      <c r="C554" t="s">
        <v>24</v>
      </c>
      <c r="D554" t="s">
        <v>31</v>
      </c>
      <c r="E554" t="s">
        <v>38</v>
      </c>
      <c r="F554" t="s">
        <v>27</v>
      </c>
      <c r="G554">
        <v>6</v>
      </c>
      <c r="H554">
        <v>3500</v>
      </c>
      <c r="I554">
        <v>0.03</v>
      </c>
      <c r="J554">
        <v>21000</v>
      </c>
      <c r="K554">
        <v>20370</v>
      </c>
      <c r="L554">
        <v>14280</v>
      </c>
      <c r="M554">
        <v>1286</v>
      </c>
      <c r="N554">
        <v>352</v>
      </c>
      <c r="O554">
        <v>4451.9999999999982</v>
      </c>
      <c r="P554">
        <v>0.21855670103092781</v>
      </c>
      <c r="Q554" t="s">
        <v>65</v>
      </c>
    </row>
    <row r="555" spans="1:17">
      <c r="A555" t="s">
        <v>608</v>
      </c>
      <c r="B555" s="1">
        <v>46057</v>
      </c>
      <c r="C555" t="s">
        <v>46</v>
      </c>
      <c r="D555" t="s">
        <v>34</v>
      </c>
      <c r="E555" t="s">
        <v>26</v>
      </c>
      <c r="F555" t="s">
        <v>35</v>
      </c>
      <c r="G555">
        <v>2</v>
      </c>
      <c r="H555">
        <v>18000</v>
      </c>
      <c r="I555">
        <v>0.05</v>
      </c>
      <c r="J555">
        <v>36000</v>
      </c>
      <c r="K555">
        <v>34200</v>
      </c>
      <c r="L555">
        <v>28800</v>
      </c>
      <c r="M555">
        <v>275</v>
      </c>
      <c r="N555">
        <v>1025</v>
      </c>
      <c r="O555">
        <v>4100</v>
      </c>
      <c r="P555">
        <v>0.11988304093567249</v>
      </c>
      <c r="Q555" t="s">
        <v>54</v>
      </c>
    </row>
    <row r="556" spans="1:17">
      <c r="A556" t="s">
        <v>609</v>
      </c>
      <c r="B556" s="1">
        <v>46088</v>
      </c>
      <c r="C556" t="s">
        <v>53</v>
      </c>
      <c r="D556" t="s">
        <v>34</v>
      </c>
      <c r="E556" t="s">
        <v>26</v>
      </c>
      <c r="F556" t="s">
        <v>35</v>
      </c>
      <c r="G556">
        <v>5</v>
      </c>
      <c r="H556">
        <v>1500</v>
      </c>
      <c r="I556">
        <v>0.05</v>
      </c>
      <c r="J556">
        <v>7500</v>
      </c>
      <c r="K556">
        <v>7125</v>
      </c>
      <c r="L556">
        <v>4125</v>
      </c>
      <c r="M556">
        <v>394</v>
      </c>
      <c r="N556">
        <v>327</v>
      </c>
      <c r="O556">
        <v>2279</v>
      </c>
      <c r="P556">
        <v>0.31985964912280701</v>
      </c>
      <c r="Q556" t="s">
        <v>98</v>
      </c>
    </row>
    <row r="557" spans="1:17">
      <c r="A557" t="s">
        <v>610</v>
      </c>
      <c r="B557" s="1">
        <v>45938</v>
      </c>
      <c r="C557" t="s">
        <v>24</v>
      </c>
      <c r="D557" t="s">
        <v>34</v>
      </c>
      <c r="E557" t="s">
        <v>20</v>
      </c>
      <c r="F557" t="s">
        <v>35</v>
      </c>
      <c r="G557">
        <v>5</v>
      </c>
      <c r="H557">
        <v>3500</v>
      </c>
      <c r="I557">
        <v>0.1</v>
      </c>
      <c r="J557">
        <v>17500</v>
      </c>
      <c r="K557">
        <v>15750</v>
      </c>
      <c r="L557">
        <v>11900</v>
      </c>
      <c r="M557">
        <v>1211</v>
      </c>
      <c r="N557">
        <v>384</v>
      </c>
      <c r="O557">
        <v>2255</v>
      </c>
      <c r="P557">
        <v>0.1431746031746032</v>
      </c>
      <c r="Q557" t="s">
        <v>88</v>
      </c>
    </row>
    <row r="558" spans="1:17">
      <c r="A558" t="s">
        <v>611</v>
      </c>
      <c r="B558" s="1">
        <v>46128</v>
      </c>
      <c r="C558" t="s">
        <v>46</v>
      </c>
      <c r="D558" t="s">
        <v>25</v>
      </c>
      <c r="E558" t="s">
        <v>20</v>
      </c>
      <c r="F558" t="s">
        <v>21</v>
      </c>
      <c r="G558">
        <v>2</v>
      </c>
      <c r="H558">
        <v>18000</v>
      </c>
      <c r="I558">
        <v>0</v>
      </c>
      <c r="J558">
        <v>36000</v>
      </c>
      <c r="K558">
        <v>36000</v>
      </c>
      <c r="L558">
        <v>28800</v>
      </c>
      <c r="M558">
        <v>1253</v>
      </c>
      <c r="N558">
        <v>144</v>
      </c>
      <c r="O558">
        <v>5803</v>
      </c>
      <c r="P558">
        <v>0.16119444444444439</v>
      </c>
      <c r="Q558" t="s">
        <v>65</v>
      </c>
    </row>
    <row r="559" spans="1:17">
      <c r="A559" t="s">
        <v>612</v>
      </c>
      <c r="B559" s="1">
        <v>45773</v>
      </c>
      <c r="C559" t="s">
        <v>24</v>
      </c>
      <c r="D559" t="s">
        <v>63</v>
      </c>
      <c r="E559" t="s">
        <v>20</v>
      </c>
      <c r="F559" t="s">
        <v>21</v>
      </c>
      <c r="G559">
        <v>4</v>
      </c>
      <c r="H559">
        <v>3500</v>
      </c>
      <c r="I559">
        <v>0.15</v>
      </c>
      <c r="J559">
        <v>14000</v>
      </c>
      <c r="K559">
        <v>11900</v>
      </c>
      <c r="L559">
        <v>9520</v>
      </c>
      <c r="M559">
        <v>1590</v>
      </c>
      <c r="N559">
        <v>1031</v>
      </c>
      <c r="O559">
        <v>-241</v>
      </c>
      <c r="P559">
        <v>-2.025210084033614E-2</v>
      </c>
      <c r="Q559" t="s">
        <v>41</v>
      </c>
    </row>
    <row r="560" spans="1:17">
      <c r="A560" t="s">
        <v>613</v>
      </c>
      <c r="B560" s="1">
        <v>45957</v>
      </c>
      <c r="C560" t="s">
        <v>30</v>
      </c>
      <c r="D560" t="s">
        <v>25</v>
      </c>
      <c r="E560" t="s">
        <v>20</v>
      </c>
      <c r="F560" t="s">
        <v>35</v>
      </c>
      <c r="G560">
        <v>2</v>
      </c>
      <c r="H560">
        <v>28000</v>
      </c>
      <c r="I560">
        <v>0</v>
      </c>
      <c r="J560">
        <v>56000</v>
      </c>
      <c r="K560">
        <v>56000</v>
      </c>
      <c r="L560">
        <v>43680</v>
      </c>
      <c r="M560">
        <v>837</v>
      </c>
      <c r="N560">
        <v>377</v>
      </c>
      <c r="O560">
        <v>11106</v>
      </c>
      <c r="P560">
        <v>0.19832142857142859</v>
      </c>
      <c r="Q560" t="s">
        <v>88</v>
      </c>
    </row>
    <row r="561" spans="1:17">
      <c r="A561" t="s">
        <v>614</v>
      </c>
      <c r="B561" s="1">
        <v>46041</v>
      </c>
      <c r="C561" t="s">
        <v>18</v>
      </c>
      <c r="D561" t="s">
        <v>19</v>
      </c>
      <c r="E561" t="s">
        <v>26</v>
      </c>
      <c r="F561" t="s">
        <v>27</v>
      </c>
      <c r="G561">
        <v>3</v>
      </c>
      <c r="H561">
        <v>32000</v>
      </c>
      <c r="I561">
        <v>0</v>
      </c>
      <c r="J561">
        <v>96000</v>
      </c>
      <c r="K561">
        <v>96000</v>
      </c>
      <c r="L561">
        <v>78720</v>
      </c>
      <c r="M561">
        <v>689</v>
      </c>
      <c r="N561">
        <v>1282</v>
      </c>
      <c r="O561">
        <v>15309</v>
      </c>
      <c r="P561">
        <v>0.15946874999999999</v>
      </c>
      <c r="Q561" t="s">
        <v>43</v>
      </c>
    </row>
    <row r="562" spans="1:17">
      <c r="A562" t="s">
        <v>615</v>
      </c>
      <c r="B562" s="1">
        <v>45795</v>
      </c>
      <c r="C562" t="s">
        <v>50</v>
      </c>
      <c r="D562" t="s">
        <v>25</v>
      </c>
      <c r="E562" t="s">
        <v>26</v>
      </c>
      <c r="F562" t="s">
        <v>21</v>
      </c>
      <c r="G562">
        <v>7</v>
      </c>
      <c r="H562">
        <v>2500</v>
      </c>
      <c r="I562">
        <v>0.05</v>
      </c>
      <c r="J562">
        <v>17500</v>
      </c>
      <c r="K562">
        <v>16625</v>
      </c>
      <c r="L562">
        <v>10850</v>
      </c>
      <c r="M562">
        <v>386</v>
      </c>
      <c r="N562">
        <v>2007</v>
      </c>
      <c r="O562">
        <v>3382</v>
      </c>
      <c r="P562">
        <v>0.2034285714285714</v>
      </c>
      <c r="Q562" t="s">
        <v>22</v>
      </c>
    </row>
    <row r="563" spans="1:17">
      <c r="A563" t="s">
        <v>616</v>
      </c>
      <c r="B563" s="1">
        <v>45998</v>
      </c>
      <c r="C563" t="s">
        <v>46</v>
      </c>
      <c r="D563" t="s">
        <v>31</v>
      </c>
      <c r="E563" t="s">
        <v>26</v>
      </c>
      <c r="F563" t="s">
        <v>21</v>
      </c>
      <c r="G563">
        <v>2</v>
      </c>
      <c r="H563">
        <v>18000</v>
      </c>
      <c r="I563">
        <v>0</v>
      </c>
      <c r="J563">
        <v>36000</v>
      </c>
      <c r="K563">
        <v>36000</v>
      </c>
      <c r="L563">
        <v>28800</v>
      </c>
      <c r="M563">
        <v>1126</v>
      </c>
      <c r="N563">
        <v>2276</v>
      </c>
      <c r="O563">
        <v>3798</v>
      </c>
      <c r="P563">
        <v>0.1055</v>
      </c>
      <c r="Q563" t="s">
        <v>80</v>
      </c>
    </row>
    <row r="564" spans="1:17">
      <c r="A564" t="s">
        <v>617</v>
      </c>
      <c r="B564" s="1">
        <v>45838</v>
      </c>
      <c r="C564" t="s">
        <v>53</v>
      </c>
      <c r="D564" t="s">
        <v>25</v>
      </c>
      <c r="E564" t="s">
        <v>26</v>
      </c>
      <c r="F564" t="s">
        <v>21</v>
      </c>
      <c r="G564">
        <v>7</v>
      </c>
      <c r="H564">
        <v>1500</v>
      </c>
      <c r="I564">
        <v>0.05</v>
      </c>
      <c r="J564">
        <v>10500</v>
      </c>
      <c r="K564">
        <v>9975</v>
      </c>
      <c r="L564">
        <v>5775.0000000000009</v>
      </c>
      <c r="M564">
        <v>1571</v>
      </c>
      <c r="N564">
        <v>420</v>
      </c>
      <c r="O564">
        <v>2208.9999999999991</v>
      </c>
      <c r="P564">
        <v>0.2214536340852129</v>
      </c>
      <c r="Q564" t="s">
        <v>39</v>
      </c>
    </row>
    <row r="565" spans="1:17">
      <c r="A565" t="s">
        <v>618</v>
      </c>
      <c r="B565" s="1">
        <v>45828</v>
      </c>
      <c r="C565" t="s">
        <v>53</v>
      </c>
      <c r="D565" t="s">
        <v>19</v>
      </c>
      <c r="E565" t="s">
        <v>38</v>
      </c>
      <c r="F565" t="s">
        <v>35</v>
      </c>
      <c r="G565">
        <v>4</v>
      </c>
      <c r="H565">
        <v>1500</v>
      </c>
      <c r="I565">
        <v>0</v>
      </c>
      <c r="J565">
        <v>6000</v>
      </c>
      <c r="K565">
        <v>6000</v>
      </c>
      <c r="L565">
        <v>3300</v>
      </c>
      <c r="M565">
        <v>1519</v>
      </c>
      <c r="N565">
        <v>917</v>
      </c>
      <c r="O565">
        <v>263.99999999999949</v>
      </c>
      <c r="P565">
        <v>4.3999999999999921E-2</v>
      </c>
      <c r="Q565" t="s">
        <v>39</v>
      </c>
    </row>
    <row r="566" spans="1:17">
      <c r="A566" t="s">
        <v>619</v>
      </c>
      <c r="B566" s="1">
        <v>45973</v>
      </c>
      <c r="C566" t="s">
        <v>30</v>
      </c>
      <c r="D566" t="s">
        <v>34</v>
      </c>
      <c r="E566" t="s">
        <v>20</v>
      </c>
      <c r="F566" t="s">
        <v>35</v>
      </c>
      <c r="G566">
        <v>3</v>
      </c>
      <c r="H566">
        <v>28000</v>
      </c>
      <c r="I566">
        <v>0.08</v>
      </c>
      <c r="J566">
        <v>84000</v>
      </c>
      <c r="K566">
        <v>77280</v>
      </c>
      <c r="L566">
        <v>65520</v>
      </c>
      <c r="M566">
        <v>1161</v>
      </c>
      <c r="N566">
        <v>755</v>
      </c>
      <c r="O566">
        <v>9844</v>
      </c>
      <c r="P566">
        <v>0.1273809523809524</v>
      </c>
      <c r="Q566" t="s">
        <v>28</v>
      </c>
    </row>
    <row r="567" spans="1:17">
      <c r="A567" t="s">
        <v>620</v>
      </c>
      <c r="B567" s="1">
        <v>46018</v>
      </c>
      <c r="C567" t="s">
        <v>75</v>
      </c>
      <c r="D567" t="s">
        <v>34</v>
      </c>
      <c r="E567" t="s">
        <v>20</v>
      </c>
      <c r="F567" t="s">
        <v>35</v>
      </c>
      <c r="G567">
        <v>1</v>
      </c>
      <c r="H567">
        <v>65000</v>
      </c>
      <c r="I567">
        <v>0.05</v>
      </c>
      <c r="J567">
        <v>65000</v>
      </c>
      <c r="K567">
        <v>61750</v>
      </c>
      <c r="L567">
        <v>54600</v>
      </c>
      <c r="M567">
        <v>497</v>
      </c>
      <c r="N567">
        <v>907</v>
      </c>
      <c r="O567">
        <v>5746</v>
      </c>
      <c r="P567">
        <v>9.3052631578947373E-2</v>
      </c>
      <c r="Q567" t="s">
        <v>80</v>
      </c>
    </row>
    <row r="568" spans="1:17">
      <c r="A568" t="s">
        <v>621</v>
      </c>
      <c r="B568" s="1">
        <v>45993</v>
      </c>
      <c r="C568" t="s">
        <v>46</v>
      </c>
      <c r="D568" t="s">
        <v>25</v>
      </c>
      <c r="E568" t="s">
        <v>20</v>
      </c>
      <c r="F568" t="s">
        <v>21</v>
      </c>
      <c r="G568">
        <v>1</v>
      </c>
      <c r="H568">
        <v>18000</v>
      </c>
      <c r="I568">
        <v>0.08</v>
      </c>
      <c r="J568">
        <v>18000</v>
      </c>
      <c r="K568">
        <v>16560</v>
      </c>
      <c r="L568">
        <v>14400</v>
      </c>
      <c r="M568">
        <v>667</v>
      </c>
      <c r="N568">
        <v>1406</v>
      </c>
      <c r="O568">
        <v>87</v>
      </c>
      <c r="P568">
        <v>5.2536231884057968E-3</v>
      </c>
      <c r="Q568" t="s">
        <v>80</v>
      </c>
    </row>
    <row r="569" spans="1:17">
      <c r="A569" t="s">
        <v>622</v>
      </c>
      <c r="B569" s="1">
        <v>46162</v>
      </c>
      <c r="C569" t="s">
        <v>53</v>
      </c>
      <c r="D569" t="s">
        <v>25</v>
      </c>
      <c r="E569" t="s">
        <v>38</v>
      </c>
      <c r="F569" t="s">
        <v>21</v>
      </c>
      <c r="G569">
        <v>1</v>
      </c>
      <c r="H569">
        <v>1500</v>
      </c>
      <c r="I569">
        <v>0.05</v>
      </c>
      <c r="J569">
        <v>1500</v>
      </c>
      <c r="K569">
        <v>1425</v>
      </c>
      <c r="L569">
        <v>825.00000000000011</v>
      </c>
      <c r="M569">
        <v>400</v>
      </c>
      <c r="N569">
        <v>621</v>
      </c>
      <c r="O569">
        <v>-421.00000000000011</v>
      </c>
      <c r="P569">
        <v>-0.29543859649122822</v>
      </c>
      <c r="Q569" t="s">
        <v>73</v>
      </c>
    </row>
    <row r="570" spans="1:17">
      <c r="A570" t="s">
        <v>623</v>
      </c>
      <c r="B570" s="1">
        <v>46043</v>
      </c>
      <c r="C570" t="s">
        <v>30</v>
      </c>
      <c r="D570" t="s">
        <v>63</v>
      </c>
      <c r="E570" t="s">
        <v>38</v>
      </c>
      <c r="F570" t="s">
        <v>35</v>
      </c>
      <c r="G570">
        <v>1</v>
      </c>
      <c r="H570">
        <v>28000</v>
      </c>
      <c r="I570">
        <v>0.08</v>
      </c>
      <c r="J570">
        <v>28000</v>
      </c>
      <c r="K570">
        <v>25760</v>
      </c>
      <c r="L570">
        <v>21840</v>
      </c>
      <c r="M570">
        <v>1631</v>
      </c>
      <c r="N570">
        <v>2137</v>
      </c>
      <c r="O570">
        <v>152</v>
      </c>
      <c r="P570">
        <v>5.9006211180124227E-3</v>
      </c>
      <c r="Q570" t="s">
        <v>43</v>
      </c>
    </row>
    <row r="571" spans="1:17">
      <c r="A571" t="s">
        <v>624</v>
      </c>
      <c r="B571" s="1">
        <v>45937</v>
      </c>
      <c r="C571" t="s">
        <v>53</v>
      </c>
      <c r="D571" t="s">
        <v>51</v>
      </c>
      <c r="E571" t="s">
        <v>20</v>
      </c>
      <c r="F571" t="s">
        <v>35</v>
      </c>
      <c r="G571">
        <v>5</v>
      </c>
      <c r="H571">
        <v>1500</v>
      </c>
      <c r="I571">
        <v>0.08</v>
      </c>
      <c r="J571">
        <v>7500</v>
      </c>
      <c r="K571">
        <v>6900</v>
      </c>
      <c r="L571">
        <v>4125</v>
      </c>
      <c r="M571">
        <v>324</v>
      </c>
      <c r="N571">
        <v>970</v>
      </c>
      <c r="O571">
        <v>1481</v>
      </c>
      <c r="P571">
        <v>0.21463768115942031</v>
      </c>
      <c r="Q571" t="s">
        <v>88</v>
      </c>
    </row>
    <row r="572" spans="1:17">
      <c r="A572" t="s">
        <v>625</v>
      </c>
      <c r="B572" s="1">
        <v>45807</v>
      </c>
      <c r="C572" t="s">
        <v>30</v>
      </c>
      <c r="D572" t="s">
        <v>34</v>
      </c>
      <c r="E572" t="s">
        <v>26</v>
      </c>
      <c r="F572" t="s">
        <v>35</v>
      </c>
      <c r="G572">
        <v>2</v>
      </c>
      <c r="H572">
        <v>28000</v>
      </c>
      <c r="I572">
        <v>0.1</v>
      </c>
      <c r="J572">
        <v>56000</v>
      </c>
      <c r="K572">
        <v>50400</v>
      </c>
      <c r="L572">
        <v>43680</v>
      </c>
      <c r="M572">
        <v>513</v>
      </c>
      <c r="N572">
        <v>431</v>
      </c>
      <c r="O572">
        <v>5776</v>
      </c>
      <c r="P572">
        <v>0.1146031746031746</v>
      </c>
      <c r="Q572" t="s">
        <v>22</v>
      </c>
    </row>
    <row r="573" spans="1:17">
      <c r="A573" t="s">
        <v>626</v>
      </c>
      <c r="B573" s="1">
        <v>45753</v>
      </c>
      <c r="C573" t="s">
        <v>61</v>
      </c>
      <c r="D573" t="s">
        <v>63</v>
      </c>
      <c r="E573" t="s">
        <v>38</v>
      </c>
      <c r="F573" t="s">
        <v>21</v>
      </c>
      <c r="G573">
        <v>7</v>
      </c>
      <c r="H573">
        <v>4500</v>
      </c>
      <c r="I573">
        <v>0.1</v>
      </c>
      <c r="J573">
        <v>31500</v>
      </c>
      <c r="K573">
        <v>28350</v>
      </c>
      <c r="L573">
        <v>20475</v>
      </c>
      <c r="M573">
        <v>1579</v>
      </c>
      <c r="N573">
        <v>539</v>
      </c>
      <c r="O573">
        <v>5757</v>
      </c>
      <c r="P573">
        <v>0.20306878306878309</v>
      </c>
      <c r="Q573" t="s">
        <v>41</v>
      </c>
    </row>
    <row r="574" spans="1:17">
      <c r="A574" t="s">
        <v>627</v>
      </c>
      <c r="B574" s="1">
        <v>46109</v>
      </c>
      <c r="C574" t="s">
        <v>61</v>
      </c>
      <c r="D574" t="s">
        <v>51</v>
      </c>
      <c r="E574" t="s">
        <v>26</v>
      </c>
      <c r="F574" t="s">
        <v>21</v>
      </c>
      <c r="G574">
        <v>3</v>
      </c>
      <c r="H574">
        <v>4500</v>
      </c>
      <c r="I574">
        <v>0.03</v>
      </c>
      <c r="J574">
        <v>13500</v>
      </c>
      <c r="K574">
        <v>13095</v>
      </c>
      <c r="L574">
        <v>8775</v>
      </c>
      <c r="M574">
        <v>322</v>
      </c>
      <c r="N574">
        <v>1523</v>
      </c>
      <c r="O574">
        <v>2475</v>
      </c>
      <c r="P574">
        <v>0.18900343642611681</v>
      </c>
      <c r="Q574" t="s">
        <v>98</v>
      </c>
    </row>
    <row r="575" spans="1:17">
      <c r="A575" t="s">
        <v>628</v>
      </c>
      <c r="B575" s="1">
        <v>45799</v>
      </c>
      <c r="C575" t="s">
        <v>18</v>
      </c>
      <c r="D575" t="s">
        <v>51</v>
      </c>
      <c r="E575" t="s">
        <v>20</v>
      </c>
      <c r="F575" t="s">
        <v>35</v>
      </c>
      <c r="G575">
        <v>2</v>
      </c>
      <c r="H575">
        <v>32000</v>
      </c>
      <c r="I575">
        <v>0.1</v>
      </c>
      <c r="J575">
        <v>64000</v>
      </c>
      <c r="K575">
        <v>57600</v>
      </c>
      <c r="L575">
        <v>52480</v>
      </c>
      <c r="M575">
        <v>1111</v>
      </c>
      <c r="N575">
        <v>1460</v>
      </c>
      <c r="O575">
        <v>2549</v>
      </c>
      <c r="P575">
        <v>4.4253472222222222E-2</v>
      </c>
      <c r="Q575" t="s">
        <v>22</v>
      </c>
    </row>
    <row r="576" spans="1:17">
      <c r="A576" t="s">
        <v>629</v>
      </c>
      <c r="B576" s="1">
        <v>45766</v>
      </c>
      <c r="C576" t="s">
        <v>53</v>
      </c>
      <c r="D576" t="s">
        <v>19</v>
      </c>
      <c r="E576" t="s">
        <v>20</v>
      </c>
      <c r="F576" t="s">
        <v>21</v>
      </c>
      <c r="G576">
        <v>1</v>
      </c>
      <c r="H576">
        <v>1500</v>
      </c>
      <c r="I576">
        <v>0.1</v>
      </c>
      <c r="J576">
        <v>1500</v>
      </c>
      <c r="K576">
        <v>1350</v>
      </c>
      <c r="L576">
        <v>825.00000000000011</v>
      </c>
      <c r="M576">
        <v>694</v>
      </c>
      <c r="N576">
        <v>655</v>
      </c>
      <c r="O576">
        <v>-824.00000000000011</v>
      </c>
      <c r="P576">
        <v>-0.61037037037037045</v>
      </c>
      <c r="Q576" t="s">
        <v>41</v>
      </c>
    </row>
    <row r="577" spans="1:17">
      <c r="A577" t="s">
        <v>630</v>
      </c>
      <c r="B577" s="1">
        <v>45944</v>
      </c>
      <c r="C577" t="s">
        <v>50</v>
      </c>
      <c r="D577" t="s">
        <v>19</v>
      </c>
      <c r="E577" t="s">
        <v>20</v>
      </c>
      <c r="F577" t="s">
        <v>35</v>
      </c>
      <c r="G577">
        <v>6</v>
      </c>
      <c r="H577">
        <v>2500</v>
      </c>
      <c r="I577">
        <v>0</v>
      </c>
      <c r="J577">
        <v>15000</v>
      </c>
      <c r="K577">
        <v>15000</v>
      </c>
      <c r="L577">
        <v>9300</v>
      </c>
      <c r="M577">
        <v>1064</v>
      </c>
      <c r="N577">
        <v>1368</v>
      </c>
      <c r="O577">
        <v>3268</v>
      </c>
      <c r="P577">
        <v>0.21786666666666671</v>
      </c>
      <c r="Q577" t="s">
        <v>88</v>
      </c>
    </row>
    <row r="578" spans="1:17">
      <c r="A578" t="s">
        <v>631</v>
      </c>
      <c r="B578" s="1">
        <v>45948</v>
      </c>
      <c r="C578" t="s">
        <v>61</v>
      </c>
      <c r="D578" t="s">
        <v>51</v>
      </c>
      <c r="E578" t="s">
        <v>26</v>
      </c>
      <c r="F578" t="s">
        <v>35</v>
      </c>
      <c r="G578">
        <v>6</v>
      </c>
      <c r="H578">
        <v>4500</v>
      </c>
      <c r="I578">
        <v>0.08</v>
      </c>
      <c r="J578">
        <v>27000</v>
      </c>
      <c r="K578">
        <v>24840</v>
      </c>
      <c r="L578">
        <v>17550</v>
      </c>
      <c r="M578">
        <v>1135</v>
      </c>
      <c r="N578">
        <v>2398</v>
      </c>
      <c r="O578">
        <v>3757</v>
      </c>
      <c r="P578">
        <v>0.1512479871175523</v>
      </c>
      <c r="Q578" t="s">
        <v>88</v>
      </c>
    </row>
    <row r="579" spans="1:17">
      <c r="A579" t="s">
        <v>632</v>
      </c>
      <c r="B579" s="1">
        <v>45729</v>
      </c>
      <c r="C579" t="s">
        <v>75</v>
      </c>
      <c r="D579" t="s">
        <v>63</v>
      </c>
      <c r="E579" t="s">
        <v>20</v>
      </c>
      <c r="F579" t="s">
        <v>35</v>
      </c>
      <c r="G579">
        <v>3</v>
      </c>
      <c r="H579">
        <v>65000</v>
      </c>
      <c r="I579">
        <v>0.05</v>
      </c>
      <c r="J579">
        <v>195000</v>
      </c>
      <c r="K579">
        <v>185250</v>
      </c>
      <c r="L579">
        <v>163800</v>
      </c>
      <c r="M579">
        <v>1036</v>
      </c>
      <c r="N579">
        <v>607</v>
      </c>
      <c r="O579">
        <v>19807</v>
      </c>
      <c r="P579">
        <v>0.1069203778677463</v>
      </c>
      <c r="Q579" t="s">
        <v>68</v>
      </c>
    </row>
    <row r="580" spans="1:17">
      <c r="A580" t="s">
        <v>633</v>
      </c>
      <c r="B580" s="1">
        <v>46185</v>
      </c>
      <c r="C580" t="s">
        <v>50</v>
      </c>
      <c r="D580" t="s">
        <v>19</v>
      </c>
      <c r="E580" t="s">
        <v>38</v>
      </c>
      <c r="F580" t="s">
        <v>21</v>
      </c>
      <c r="G580">
        <v>7</v>
      </c>
      <c r="H580">
        <v>2500</v>
      </c>
      <c r="I580">
        <v>0.2</v>
      </c>
      <c r="J580">
        <v>17500</v>
      </c>
      <c r="K580">
        <v>14000</v>
      </c>
      <c r="L580">
        <v>10850</v>
      </c>
      <c r="M580">
        <v>1567</v>
      </c>
      <c r="N580">
        <v>2201</v>
      </c>
      <c r="O580">
        <v>-618</v>
      </c>
      <c r="P580">
        <v>-4.4142857142857143E-2</v>
      </c>
      <c r="Q580" t="s">
        <v>135</v>
      </c>
    </row>
    <row r="581" spans="1:17">
      <c r="A581" t="s">
        <v>634</v>
      </c>
      <c r="B581" s="1">
        <v>45983</v>
      </c>
      <c r="C581" t="s">
        <v>18</v>
      </c>
      <c r="D581" t="s">
        <v>51</v>
      </c>
      <c r="E581" t="s">
        <v>26</v>
      </c>
      <c r="F581" t="s">
        <v>35</v>
      </c>
      <c r="G581">
        <v>2</v>
      </c>
      <c r="H581">
        <v>32000</v>
      </c>
      <c r="I581">
        <v>0.05</v>
      </c>
      <c r="J581">
        <v>64000</v>
      </c>
      <c r="K581">
        <v>60800</v>
      </c>
      <c r="L581">
        <v>52480</v>
      </c>
      <c r="M581">
        <v>328</v>
      </c>
      <c r="N581">
        <v>1972</v>
      </c>
      <c r="O581">
        <v>6020</v>
      </c>
      <c r="P581">
        <v>9.9013157894736845E-2</v>
      </c>
      <c r="Q581" t="s">
        <v>28</v>
      </c>
    </row>
    <row r="582" spans="1:17">
      <c r="A582" t="s">
        <v>635</v>
      </c>
      <c r="B582" s="1">
        <v>45933</v>
      </c>
      <c r="C582" t="s">
        <v>53</v>
      </c>
      <c r="D582" t="s">
        <v>63</v>
      </c>
      <c r="E582" t="s">
        <v>38</v>
      </c>
      <c r="F582" t="s">
        <v>35</v>
      </c>
      <c r="G582">
        <v>3</v>
      </c>
      <c r="H582">
        <v>1500</v>
      </c>
      <c r="I582">
        <v>0.08</v>
      </c>
      <c r="J582">
        <v>4500</v>
      </c>
      <c r="K582">
        <v>4140</v>
      </c>
      <c r="L582">
        <v>2475</v>
      </c>
      <c r="M582">
        <v>1587</v>
      </c>
      <c r="N582">
        <v>2359</v>
      </c>
      <c r="O582">
        <v>-2281</v>
      </c>
      <c r="P582">
        <v>-0.55096618357487925</v>
      </c>
      <c r="Q582" t="s">
        <v>88</v>
      </c>
    </row>
    <row r="583" spans="1:17">
      <c r="A583" t="s">
        <v>636</v>
      </c>
      <c r="B583" s="1">
        <v>45845</v>
      </c>
      <c r="C583" t="s">
        <v>50</v>
      </c>
      <c r="D583" t="s">
        <v>63</v>
      </c>
      <c r="E583" t="s">
        <v>20</v>
      </c>
      <c r="F583" t="s">
        <v>35</v>
      </c>
      <c r="G583">
        <v>6</v>
      </c>
      <c r="H583">
        <v>2500</v>
      </c>
      <c r="I583">
        <v>0</v>
      </c>
      <c r="J583">
        <v>15000</v>
      </c>
      <c r="K583">
        <v>15000</v>
      </c>
      <c r="L583">
        <v>9300</v>
      </c>
      <c r="M583">
        <v>370</v>
      </c>
      <c r="N583">
        <v>752</v>
      </c>
      <c r="O583">
        <v>4578</v>
      </c>
      <c r="P583">
        <v>0.30520000000000003</v>
      </c>
      <c r="Q583" t="s">
        <v>36</v>
      </c>
    </row>
    <row r="584" spans="1:17">
      <c r="A584" t="s">
        <v>637</v>
      </c>
      <c r="B584" s="1">
        <v>45857</v>
      </c>
      <c r="C584" t="s">
        <v>24</v>
      </c>
      <c r="D584" t="s">
        <v>25</v>
      </c>
      <c r="E584" t="s">
        <v>26</v>
      </c>
      <c r="F584" t="s">
        <v>35</v>
      </c>
      <c r="G584">
        <v>5</v>
      </c>
      <c r="H584">
        <v>3500</v>
      </c>
      <c r="I584">
        <v>0.1</v>
      </c>
      <c r="J584">
        <v>17500</v>
      </c>
      <c r="K584">
        <v>15750</v>
      </c>
      <c r="L584">
        <v>11900</v>
      </c>
      <c r="M584">
        <v>410</v>
      </c>
      <c r="N584">
        <v>2135</v>
      </c>
      <c r="O584">
        <v>1305</v>
      </c>
      <c r="P584">
        <v>8.2857142857142851E-2</v>
      </c>
      <c r="Q584" t="s">
        <v>36</v>
      </c>
    </row>
    <row r="585" spans="1:17">
      <c r="A585" t="s">
        <v>638</v>
      </c>
      <c r="B585" s="1">
        <v>46097</v>
      </c>
      <c r="C585" t="s">
        <v>18</v>
      </c>
      <c r="D585" t="s">
        <v>19</v>
      </c>
      <c r="E585" t="s">
        <v>38</v>
      </c>
      <c r="F585" t="s">
        <v>27</v>
      </c>
      <c r="G585">
        <v>3</v>
      </c>
      <c r="H585">
        <v>32000</v>
      </c>
      <c r="I585">
        <v>0.05</v>
      </c>
      <c r="J585">
        <v>96000</v>
      </c>
      <c r="K585">
        <v>91200</v>
      </c>
      <c r="L585">
        <v>78720</v>
      </c>
      <c r="M585">
        <v>336</v>
      </c>
      <c r="N585">
        <v>1143</v>
      </c>
      <c r="O585">
        <v>11001</v>
      </c>
      <c r="P585">
        <v>0.120625</v>
      </c>
      <c r="Q585" t="s">
        <v>98</v>
      </c>
    </row>
    <row r="586" spans="1:17">
      <c r="A586" t="s">
        <v>639</v>
      </c>
      <c r="B586" s="1">
        <v>46068</v>
      </c>
      <c r="C586" t="s">
        <v>18</v>
      </c>
      <c r="D586" t="s">
        <v>19</v>
      </c>
      <c r="E586" t="s">
        <v>20</v>
      </c>
      <c r="F586" t="s">
        <v>21</v>
      </c>
      <c r="G586">
        <v>3</v>
      </c>
      <c r="H586">
        <v>32000</v>
      </c>
      <c r="I586">
        <v>0</v>
      </c>
      <c r="J586">
        <v>96000</v>
      </c>
      <c r="K586">
        <v>96000</v>
      </c>
      <c r="L586">
        <v>78720</v>
      </c>
      <c r="M586">
        <v>865</v>
      </c>
      <c r="N586">
        <v>1165</v>
      </c>
      <c r="O586">
        <v>15250</v>
      </c>
      <c r="P586">
        <v>0.15885416666666671</v>
      </c>
      <c r="Q586" t="s">
        <v>54</v>
      </c>
    </row>
    <row r="587" spans="1:17">
      <c r="A587" t="s">
        <v>640</v>
      </c>
      <c r="B587" s="1">
        <v>45877</v>
      </c>
      <c r="C587" t="s">
        <v>46</v>
      </c>
      <c r="D587" t="s">
        <v>63</v>
      </c>
      <c r="E587" t="s">
        <v>38</v>
      </c>
      <c r="F587" t="s">
        <v>21</v>
      </c>
      <c r="G587">
        <v>2</v>
      </c>
      <c r="H587">
        <v>18000</v>
      </c>
      <c r="I587">
        <v>0.03</v>
      </c>
      <c r="J587">
        <v>36000</v>
      </c>
      <c r="K587">
        <v>34920</v>
      </c>
      <c r="L587">
        <v>28800</v>
      </c>
      <c r="M587">
        <v>941</v>
      </c>
      <c r="N587">
        <v>1492</v>
      </c>
      <c r="O587">
        <v>3687</v>
      </c>
      <c r="P587">
        <v>0.1055841924398625</v>
      </c>
      <c r="Q587" t="s">
        <v>58</v>
      </c>
    </row>
    <row r="588" spans="1:17">
      <c r="A588" t="s">
        <v>641</v>
      </c>
      <c r="B588" s="1">
        <v>46016</v>
      </c>
      <c r="C588" t="s">
        <v>53</v>
      </c>
      <c r="D588" t="s">
        <v>51</v>
      </c>
      <c r="E588" t="s">
        <v>38</v>
      </c>
      <c r="F588" t="s">
        <v>21</v>
      </c>
      <c r="G588">
        <v>6</v>
      </c>
      <c r="H588">
        <v>1500</v>
      </c>
      <c r="I588">
        <v>0.15</v>
      </c>
      <c r="J588">
        <v>9000</v>
      </c>
      <c r="K588">
        <v>7650</v>
      </c>
      <c r="L588">
        <v>4950</v>
      </c>
      <c r="M588">
        <v>462</v>
      </c>
      <c r="N588">
        <v>366</v>
      </c>
      <c r="O588">
        <v>1872</v>
      </c>
      <c r="P588">
        <v>0.24470588235294119</v>
      </c>
      <c r="Q588" t="s">
        <v>80</v>
      </c>
    </row>
    <row r="589" spans="1:17">
      <c r="A589" t="s">
        <v>642</v>
      </c>
      <c r="B589" s="1">
        <v>46078</v>
      </c>
      <c r="C589" t="s">
        <v>61</v>
      </c>
      <c r="D589" t="s">
        <v>34</v>
      </c>
      <c r="E589" t="s">
        <v>26</v>
      </c>
      <c r="F589" t="s">
        <v>27</v>
      </c>
      <c r="G589">
        <v>6</v>
      </c>
      <c r="H589">
        <v>4500</v>
      </c>
      <c r="I589">
        <v>0.05</v>
      </c>
      <c r="J589">
        <v>27000</v>
      </c>
      <c r="K589">
        <v>25650</v>
      </c>
      <c r="L589">
        <v>17550</v>
      </c>
      <c r="M589">
        <v>1786</v>
      </c>
      <c r="N589">
        <v>1752</v>
      </c>
      <c r="O589">
        <v>4562</v>
      </c>
      <c r="P589">
        <v>0.17785575048732941</v>
      </c>
      <c r="Q589" t="s">
        <v>54</v>
      </c>
    </row>
    <row r="590" spans="1:17">
      <c r="A590" t="s">
        <v>643</v>
      </c>
      <c r="B590" s="1">
        <v>45917</v>
      </c>
      <c r="C590" t="s">
        <v>24</v>
      </c>
      <c r="D590" t="s">
        <v>19</v>
      </c>
      <c r="E590" t="s">
        <v>38</v>
      </c>
      <c r="F590" t="s">
        <v>21</v>
      </c>
      <c r="G590">
        <v>1</v>
      </c>
      <c r="H590">
        <v>3500</v>
      </c>
      <c r="I590">
        <v>0.1</v>
      </c>
      <c r="J590">
        <v>3500</v>
      </c>
      <c r="K590">
        <v>3150</v>
      </c>
      <c r="L590">
        <v>2380</v>
      </c>
      <c r="M590">
        <v>1789</v>
      </c>
      <c r="N590">
        <v>2263</v>
      </c>
      <c r="O590">
        <v>-3282</v>
      </c>
      <c r="P590">
        <v>-1.0419047619047619</v>
      </c>
      <c r="Q590" t="s">
        <v>32</v>
      </c>
    </row>
    <row r="591" spans="1:17">
      <c r="A591" t="s">
        <v>644</v>
      </c>
      <c r="B591" s="1">
        <v>46155</v>
      </c>
      <c r="C591" t="s">
        <v>30</v>
      </c>
      <c r="D591" t="s">
        <v>31</v>
      </c>
      <c r="E591" t="s">
        <v>26</v>
      </c>
      <c r="F591" t="s">
        <v>35</v>
      </c>
      <c r="G591">
        <v>3</v>
      </c>
      <c r="H591">
        <v>28000</v>
      </c>
      <c r="I591">
        <v>0.05</v>
      </c>
      <c r="J591">
        <v>84000</v>
      </c>
      <c r="K591">
        <v>79800</v>
      </c>
      <c r="L591">
        <v>65520</v>
      </c>
      <c r="M591">
        <v>1438</v>
      </c>
      <c r="N591">
        <v>890</v>
      </c>
      <c r="O591">
        <v>11952</v>
      </c>
      <c r="P591">
        <v>0.14977443609022559</v>
      </c>
      <c r="Q591" t="s">
        <v>73</v>
      </c>
    </row>
    <row r="592" spans="1:17">
      <c r="A592" t="s">
        <v>645</v>
      </c>
      <c r="B592" s="1">
        <v>46005</v>
      </c>
      <c r="C592" t="s">
        <v>75</v>
      </c>
      <c r="D592" t="s">
        <v>63</v>
      </c>
      <c r="E592" t="s">
        <v>20</v>
      </c>
      <c r="F592" t="s">
        <v>35</v>
      </c>
      <c r="G592">
        <v>2</v>
      </c>
      <c r="H592">
        <v>65000</v>
      </c>
      <c r="I592">
        <v>0.05</v>
      </c>
      <c r="J592">
        <v>130000</v>
      </c>
      <c r="K592">
        <v>123500</v>
      </c>
      <c r="L592">
        <v>109200</v>
      </c>
      <c r="M592">
        <v>1064</v>
      </c>
      <c r="N592">
        <v>2481</v>
      </c>
      <c r="O592">
        <v>10755</v>
      </c>
      <c r="P592">
        <v>8.7085020242914979E-2</v>
      </c>
      <c r="Q592" t="s">
        <v>80</v>
      </c>
    </row>
    <row r="593" spans="1:17">
      <c r="A593" t="s">
        <v>646</v>
      </c>
      <c r="B593" s="1">
        <v>45874</v>
      </c>
      <c r="C593" t="s">
        <v>53</v>
      </c>
      <c r="D593" t="s">
        <v>19</v>
      </c>
      <c r="E593" t="s">
        <v>20</v>
      </c>
      <c r="F593" t="s">
        <v>21</v>
      </c>
      <c r="G593">
        <v>5</v>
      </c>
      <c r="H593">
        <v>1500</v>
      </c>
      <c r="I593">
        <v>0.15</v>
      </c>
      <c r="J593">
        <v>7500</v>
      </c>
      <c r="K593">
        <v>6375</v>
      </c>
      <c r="L593">
        <v>4125</v>
      </c>
      <c r="M593">
        <v>821</v>
      </c>
      <c r="N593">
        <v>2139</v>
      </c>
      <c r="O593">
        <v>-710</v>
      </c>
      <c r="P593">
        <v>-0.1113725490196078</v>
      </c>
      <c r="Q593" t="s">
        <v>58</v>
      </c>
    </row>
    <row r="594" spans="1:17">
      <c r="A594" t="s">
        <v>647</v>
      </c>
      <c r="B594" s="1">
        <v>46147</v>
      </c>
      <c r="C594" t="s">
        <v>24</v>
      </c>
      <c r="D594" t="s">
        <v>34</v>
      </c>
      <c r="E594" t="s">
        <v>20</v>
      </c>
      <c r="F594" t="s">
        <v>35</v>
      </c>
      <c r="G594">
        <v>6</v>
      </c>
      <c r="H594">
        <v>3500</v>
      </c>
      <c r="I594">
        <v>0.08</v>
      </c>
      <c r="J594">
        <v>21000</v>
      </c>
      <c r="K594">
        <v>19320</v>
      </c>
      <c r="L594">
        <v>14280</v>
      </c>
      <c r="M594">
        <v>621</v>
      </c>
      <c r="N594">
        <v>2364</v>
      </c>
      <c r="O594">
        <v>2054.9999999999982</v>
      </c>
      <c r="P594">
        <v>0.1063664596273291</v>
      </c>
      <c r="Q594" t="s">
        <v>73</v>
      </c>
    </row>
    <row r="595" spans="1:17">
      <c r="A595" t="s">
        <v>648</v>
      </c>
      <c r="B595" s="1">
        <v>45963</v>
      </c>
      <c r="C595" t="s">
        <v>30</v>
      </c>
      <c r="D595" t="s">
        <v>34</v>
      </c>
      <c r="E595" t="s">
        <v>38</v>
      </c>
      <c r="F595" t="s">
        <v>35</v>
      </c>
      <c r="G595">
        <v>2</v>
      </c>
      <c r="H595">
        <v>28000</v>
      </c>
      <c r="I595">
        <v>0.03</v>
      </c>
      <c r="J595">
        <v>56000</v>
      </c>
      <c r="K595">
        <v>54320</v>
      </c>
      <c r="L595">
        <v>43680</v>
      </c>
      <c r="M595">
        <v>1719</v>
      </c>
      <c r="N595">
        <v>480</v>
      </c>
      <c r="O595">
        <v>8441</v>
      </c>
      <c r="P595">
        <v>0.1553939617083947</v>
      </c>
      <c r="Q595" t="s">
        <v>28</v>
      </c>
    </row>
    <row r="596" spans="1:17">
      <c r="A596" t="s">
        <v>649</v>
      </c>
      <c r="B596" s="1">
        <v>46084</v>
      </c>
      <c r="C596" t="s">
        <v>53</v>
      </c>
      <c r="D596" t="s">
        <v>34</v>
      </c>
      <c r="E596" t="s">
        <v>20</v>
      </c>
      <c r="F596" t="s">
        <v>21</v>
      </c>
      <c r="G596">
        <v>5</v>
      </c>
      <c r="H596">
        <v>1500</v>
      </c>
      <c r="I596">
        <v>0.08</v>
      </c>
      <c r="J596">
        <v>7500</v>
      </c>
      <c r="K596">
        <v>6900</v>
      </c>
      <c r="L596">
        <v>4125</v>
      </c>
      <c r="M596">
        <v>1739</v>
      </c>
      <c r="N596">
        <v>1012</v>
      </c>
      <c r="O596">
        <v>24</v>
      </c>
      <c r="P596">
        <v>3.478260869565218E-3</v>
      </c>
      <c r="Q596" t="s">
        <v>98</v>
      </c>
    </row>
    <row r="597" spans="1:17">
      <c r="A597" t="s">
        <v>650</v>
      </c>
      <c r="B597" s="1">
        <v>45949</v>
      </c>
      <c r="C597" t="s">
        <v>61</v>
      </c>
      <c r="D597" t="s">
        <v>25</v>
      </c>
      <c r="E597" t="s">
        <v>26</v>
      </c>
      <c r="F597" t="s">
        <v>21</v>
      </c>
      <c r="G597">
        <v>2</v>
      </c>
      <c r="H597">
        <v>4500</v>
      </c>
      <c r="I597">
        <v>0.15</v>
      </c>
      <c r="J597">
        <v>9000</v>
      </c>
      <c r="K597">
        <v>7650</v>
      </c>
      <c r="L597">
        <v>5850</v>
      </c>
      <c r="M597">
        <v>490</v>
      </c>
      <c r="N597">
        <v>1019</v>
      </c>
      <c r="O597">
        <v>291</v>
      </c>
      <c r="P597">
        <v>3.8039215686274511E-2</v>
      </c>
      <c r="Q597" t="s">
        <v>88</v>
      </c>
    </row>
    <row r="598" spans="1:17">
      <c r="A598" t="s">
        <v>651</v>
      </c>
      <c r="B598" s="1">
        <v>46070</v>
      </c>
      <c r="C598" t="s">
        <v>46</v>
      </c>
      <c r="D598" t="s">
        <v>19</v>
      </c>
      <c r="E598" t="s">
        <v>20</v>
      </c>
      <c r="F598" t="s">
        <v>35</v>
      </c>
      <c r="G598">
        <v>2</v>
      </c>
      <c r="H598">
        <v>18000</v>
      </c>
      <c r="I598">
        <v>0</v>
      </c>
      <c r="J598">
        <v>36000</v>
      </c>
      <c r="K598">
        <v>36000</v>
      </c>
      <c r="L598">
        <v>28800</v>
      </c>
      <c r="M598">
        <v>1379</v>
      </c>
      <c r="N598">
        <v>607</v>
      </c>
      <c r="O598">
        <v>5214</v>
      </c>
      <c r="P598">
        <v>0.14483333333333329</v>
      </c>
      <c r="Q598" t="s">
        <v>54</v>
      </c>
    </row>
    <row r="599" spans="1:17">
      <c r="A599" t="s">
        <v>652</v>
      </c>
      <c r="B599" s="1">
        <v>45696</v>
      </c>
      <c r="C599" t="s">
        <v>53</v>
      </c>
      <c r="D599" t="s">
        <v>63</v>
      </c>
      <c r="E599" t="s">
        <v>38</v>
      </c>
      <c r="F599" t="s">
        <v>35</v>
      </c>
      <c r="G599">
        <v>5</v>
      </c>
      <c r="H599">
        <v>1500</v>
      </c>
      <c r="I599">
        <v>0</v>
      </c>
      <c r="J599">
        <v>7500</v>
      </c>
      <c r="K599">
        <v>7500</v>
      </c>
      <c r="L599">
        <v>4125</v>
      </c>
      <c r="M599">
        <v>503</v>
      </c>
      <c r="N599">
        <v>1041</v>
      </c>
      <c r="O599">
        <v>1831</v>
      </c>
      <c r="P599">
        <v>0.24413333333333331</v>
      </c>
      <c r="Q599" t="s">
        <v>47</v>
      </c>
    </row>
    <row r="600" spans="1:17">
      <c r="A600" t="s">
        <v>653</v>
      </c>
      <c r="B600" s="1">
        <v>46187</v>
      </c>
      <c r="C600" t="s">
        <v>50</v>
      </c>
      <c r="D600" t="s">
        <v>25</v>
      </c>
      <c r="E600" t="s">
        <v>20</v>
      </c>
      <c r="F600" t="s">
        <v>27</v>
      </c>
      <c r="G600">
        <v>2</v>
      </c>
      <c r="H600">
        <v>2500</v>
      </c>
      <c r="I600">
        <v>0.08</v>
      </c>
      <c r="J600">
        <v>5000</v>
      </c>
      <c r="K600">
        <v>4600</v>
      </c>
      <c r="L600">
        <v>3100</v>
      </c>
      <c r="M600">
        <v>421</v>
      </c>
      <c r="N600">
        <v>1927</v>
      </c>
      <c r="O600">
        <v>-848</v>
      </c>
      <c r="P600">
        <v>-0.18434782608695649</v>
      </c>
      <c r="Q600" t="s">
        <v>135</v>
      </c>
    </row>
    <row r="601" spans="1:17">
      <c r="A601" t="s">
        <v>654</v>
      </c>
      <c r="B601" s="1">
        <v>46047</v>
      </c>
      <c r="C601" t="s">
        <v>75</v>
      </c>
      <c r="D601" t="s">
        <v>34</v>
      </c>
      <c r="E601" t="s">
        <v>26</v>
      </c>
      <c r="F601" t="s">
        <v>21</v>
      </c>
      <c r="G601">
        <v>3</v>
      </c>
      <c r="H601">
        <v>65000</v>
      </c>
      <c r="I601">
        <v>0.15</v>
      </c>
      <c r="J601">
        <v>195000</v>
      </c>
      <c r="K601">
        <v>165750</v>
      </c>
      <c r="L601">
        <v>163800</v>
      </c>
      <c r="M601">
        <v>798</v>
      </c>
      <c r="N601">
        <v>1213</v>
      </c>
      <c r="O601">
        <v>-61</v>
      </c>
      <c r="P601">
        <v>-3.6802413273001507E-4</v>
      </c>
      <c r="Q601" t="s">
        <v>43</v>
      </c>
    </row>
    <row r="602" spans="1:17">
      <c r="A602" t="s">
        <v>655</v>
      </c>
      <c r="B602" s="1">
        <v>45690</v>
      </c>
      <c r="C602" t="s">
        <v>50</v>
      </c>
      <c r="D602" t="s">
        <v>25</v>
      </c>
      <c r="E602" t="s">
        <v>38</v>
      </c>
      <c r="F602" t="s">
        <v>27</v>
      </c>
      <c r="G602">
        <v>5</v>
      </c>
      <c r="H602">
        <v>2500</v>
      </c>
      <c r="I602">
        <v>0.05</v>
      </c>
      <c r="J602">
        <v>12500</v>
      </c>
      <c r="K602">
        <v>11875</v>
      </c>
      <c r="L602">
        <v>7750</v>
      </c>
      <c r="M602">
        <v>1580</v>
      </c>
      <c r="N602">
        <v>1665</v>
      </c>
      <c r="O602">
        <v>880</v>
      </c>
      <c r="P602">
        <v>7.4105263157894743E-2</v>
      </c>
      <c r="Q602" t="s">
        <v>47</v>
      </c>
    </row>
    <row r="603" spans="1:17">
      <c r="A603" t="s">
        <v>656</v>
      </c>
      <c r="B603" s="1">
        <v>46198</v>
      </c>
      <c r="C603" t="s">
        <v>50</v>
      </c>
      <c r="D603" t="s">
        <v>63</v>
      </c>
      <c r="E603" t="s">
        <v>26</v>
      </c>
      <c r="F603" t="s">
        <v>35</v>
      </c>
      <c r="G603">
        <v>7</v>
      </c>
      <c r="H603">
        <v>2500</v>
      </c>
      <c r="I603">
        <v>0.2</v>
      </c>
      <c r="J603">
        <v>17500</v>
      </c>
      <c r="K603">
        <v>14000</v>
      </c>
      <c r="L603">
        <v>10850</v>
      </c>
      <c r="M603">
        <v>604</v>
      </c>
      <c r="N603">
        <v>943</v>
      </c>
      <c r="O603">
        <v>1603</v>
      </c>
      <c r="P603">
        <v>0.1145</v>
      </c>
      <c r="Q603" t="s">
        <v>135</v>
      </c>
    </row>
    <row r="604" spans="1:17">
      <c r="A604" t="s">
        <v>657</v>
      </c>
      <c r="B604" s="1">
        <v>45792</v>
      </c>
      <c r="C604" t="s">
        <v>30</v>
      </c>
      <c r="D604" t="s">
        <v>19</v>
      </c>
      <c r="E604" t="s">
        <v>20</v>
      </c>
      <c r="F604" t="s">
        <v>21</v>
      </c>
      <c r="G604">
        <v>3</v>
      </c>
      <c r="H604">
        <v>28000</v>
      </c>
      <c r="I604">
        <v>0.05</v>
      </c>
      <c r="J604">
        <v>84000</v>
      </c>
      <c r="K604">
        <v>79800</v>
      </c>
      <c r="L604">
        <v>65520</v>
      </c>
      <c r="M604">
        <v>473</v>
      </c>
      <c r="N604">
        <v>2406</v>
      </c>
      <c r="O604">
        <v>11401</v>
      </c>
      <c r="P604">
        <v>0.14286967418546359</v>
      </c>
      <c r="Q604" t="s">
        <v>22</v>
      </c>
    </row>
    <row r="605" spans="1:17">
      <c r="A605" t="s">
        <v>658</v>
      </c>
      <c r="B605" s="1">
        <v>45853</v>
      </c>
      <c r="C605" t="s">
        <v>30</v>
      </c>
      <c r="D605" t="s">
        <v>63</v>
      </c>
      <c r="E605" t="s">
        <v>26</v>
      </c>
      <c r="F605" t="s">
        <v>35</v>
      </c>
      <c r="G605">
        <v>1</v>
      </c>
      <c r="H605">
        <v>28000</v>
      </c>
      <c r="I605">
        <v>0.1</v>
      </c>
      <c r="J605">
        <v>28000</v>
      </c>
      <c r="K605">
        <v>25200</v>
      </c>
      <c r="L605">
        <v>21840</v>
      </c>
      <c r="M605">
        <v>577</v>
      </c>
      <c r="N605">
        <v>679</v>
      </c>
      <c r="O605">
        <v>2104</v>
      </c>
      <c r="P605">
        <v>8.3492063492063492E-2</v>
      </c>
      <c r="Q605" t="s">
        <v>36</v>
      </c>
    </row>
    <row r="606" spans="1:17">
      <c r="A606" t="s">
        <v>659</v>
      </c>
      <c r="B606" s="1">
        <v>45801</v>
      </c>
      <c r="C606" t="s">
        <v>30</v>
      </c>
      <c r="D606" t="s">
        <v>34</v>
      </c>
      <c r="E606" t="s">
        <v>20</v>
      </c>
      <c r="F606" t="s">
        <v>35</v>
      </c>
      <c r="G606">
        <v>3</v>
      </c>
      <c r="H606">
        <v>28000</v>
      </c>
      <c r="I606">
        <v>0.08</v>
      </c>
      <c r="J606">
        <v>84000</v>
      </c>
      <c r="K606">
        <v>77280</v>
      </c>
      <c r="L606">
        <v>65520</v>
      </c>
      <c r="M606">
        <v>1248</v>
      </c>
      <c r="N606">
        <v>1690</v>
      </c>
      <c r="O606">
        <v>8822</v>
      </c>
      <c r="P606">
        <v>0.114156314699793</v>
      </c>
      <c r="Q606" t="s">
        <v>22</v>
      </c>
    </row>
    <row r="607" spans="1:17">
      <c r="A607" t="s">
        <v>660</v>
      </c>
      <c r="B607" s="1">
        <v>46073</v>
      </c>
      <c r="C607" t="s">
        <v>50</v>
      </c>
      <c r="D607" t="s">
        <v>51</v>
      </c>
      <c r="E607" t="s">
        <v>26</v>
      </c>
      <c r="F607" t="s">
        <v>21</v>
      </c>
      <c r="G607">
        <v>7</v>
      </c>
      <c r="H607">
        <v>2500</v>
      </c>
      <c r="I607">
        <v>0.05</v>
      </c>
      <c r="J607">
        <v>17500</v>
      </c>
      <c r="K607">
        <v>16625</v>
      </c>
      <c r="L607">
        <v>10850</v>
      </c>
      <c r="M607">
        <v>1153</v>
      </c>
      <c r="N607">
        <v>528</v>
      </c>
      <c r="O607">
        <v>4094</v>
      </c>
      <c r="P607">
        <v>0.24625563909774439</v>
      </c>
      <c r="Q607" t="s">
        <v>54</v>
      </c>
    </row>
    <row r="608" spans="1:17">
      <c r="A608" t="s">
        <v>661</v>
      </c>
      <c r="B608" s="1">
        <v>45780</v>
      </c>
      <c r="C608" t="s">
        <v>46</v>
      </c>
      <c r="D608" t="s">
        <v>19</v>
      </c>
      <c r="E608" t="s">
        <v>20</v>
      </c>
      <c r="F608" t="s">
        <v>35</v>
      </c>
      <c r="G608">
        <v>3</v>
      </c>
      <c r="H608">
        <v>18000</v>
      </c>
      <c r="I608">
        <v>0.03</v>
      </c>
      <c r="J608">
        <v>54000</v>
      </c>
      <c r="K608">
        <v>52380</v>
      </c>
      <c r="L608">
        <v>43200</v>
      </c>
      <c r="M608">
        <v>1089</v>
      </c>
      <c r="N608">
        <v>1024</v>
      </c>
      <c r="O608">
        <v>7067</v>
      </c>
      <c r="P608">
        <v>0.13491790759832001</v>
      </c>
      <c r="Q608" t="s">
        <v>22</v>
      </c>
    </row>
    <row r="609" spans="1:17">
      <c r="A609" t="s">
        <v>662</v>
      </c>
      <c r="B609" s="1">
        <v>46006</v>
      </c>
      <c r="C609" t="s">
        <v>18</v>
      </c>
      <c r="D609" t="s">
        <v>19</v>
      </c>
      <c r="E609" t="s">
        <v>38</v>
      </c>
      <c r="F609" t="s">
        <v>35</v>
      </c>
      <c r="G609">
        <v>3</v>
      </c>
      <c r="H609">
        <v>32000</v>
      </c>
      <c r="I609">
        <v>0</v>
      </c>
      <c r="J609">
        <v>96000</v>
      </c>
      <c r="K609">
        <v>96000</v>
      </c>
      <c r="L609">
        <v>78720</v>
      </c>
      <c r="M609">
        <v>822</v>
      </c>
      <c r="N609">
        <v>688</v>
      </c>
      <c r="O609">
        <v>15770</v>
      </c>
      <c r="P609">
        <v>0.16427083333333331</v>
      </c>
      <c r="Q609" t="s">
        <v>80</v>
      </c>
    </row>
    <row r="610" spans="1:17">
      <c r="A610" t="s">
        <v>663</v>
      </c>
      <c r="B610" s="1">
        <v>45793</v>
      </c>
      <c r="C610" t="s">
        <v>30</v>
      </c>
      <c r="D610" t="s">
        <v>51</v>
      </c>
      <c r="E610" t="s">
        <v>38</v>
      </c>
      <c r="F610" t="s">
        <v>35</v>
      </c>
      <c r="G610">
        <v>3</v>
      </c>
      <c r="H610">
        <v>28000</v>
      </c>
      <c r="I610">
        <v>0.08</v>
      </c>
      <c r="J610">
        <v>84000</v>
      </c>
      <c r="K610">
        <v>77280</v>
      </c>
      <c r="L610">
        <v>65520</v>
      </c>
      <c r="M610">
        <v>796</v>
      </c>
      <c r="N610">
        <v>550</v>
      </c>
      <c r="O610">
        <v>10414</v>
      </c>
      <c r="P610">
        <v>0.13475672877846789</v>
      </c>
      <c r="Q610" t="s">
        <v>22</v>
      </c>
    </row>
    <row r="611" spans="1:17">
      <c r="A611" t="s">
        <v>664</v>
      </c>
      <c r="B611" s="1">
        <v>45883</v>
      </c>
      <c r="C611" t="s">
        <v>61</v>
      </c>
      <c r="D611" t="s">
        <v>63</v>
      </c>
      <c r="E611" t="s">
        <v>38</v>
      </c>
      <c r="F611" t="s">
        <v>21</v>
      </c>
      <c r="G611">
        <v>5</v>
      </c>
      <c r="H611">
        <v>4500</v>
      </c>
      <c r="I611">
        <v>0</v>
      </c>
      <c r="J611">
        <v>22500</v>
      </c>
      <c r="K611">
        <v>22500</v>
      </c>
      <c r="L611">
        <v>14625</v>
      </c>
      <c r="M611">
        <v>526</v>
      </c>
      <c r="N611">
        <v>2162</v>
      </c>
      <c r="O611">
        <v>5187</v>
      </c>
      <c r="P611">
        <v>0.23053333333333331</v>
      </c>
      <c r="Q611" t="s">
        <v>58</v>
      </c>
    </row>
    <row r="612" spans="1:17">
      <c r="A612" t="s">
        <v>665</v>
      </c>
      <c r="B612" s="1">
        <v>46026</v>
      </c>
      <c r="C612" t="s">
        <v>53</v>
      </c>
      <c r="D612" t="s">
        <v>63</v>
      </c>
      <c r="E612" t="s">
        <v>38</v>
      </c>
      <c r="F612" t="s">
        <v>27</v>
      </c>
      <c r="G612">
        <v>1</v>
      </c>
      <c r="H612">
        <v>1500</v>
      </c>
      <c r="I612">
        <v>0.05</v>
      </c>
      <c r="J612">
        <v>1500</v>
      </c>
      <c r="K612">
        <v>1425</v>
      </c>
      <c r="L612">
        <v>825.00000000000011</v>
      </c>
      <c r="M612">
        <v>1431</v>
      </c>
      <c r="N612">
        <v>1745</v>
      </c>
      <c r="O612">
        <v>-2576</v>
      </c>
      <c r="P612">
        <v>-1.8077192982456141</v>
      </c>
      <c r="Q612" t="s">
        <v>43</v>
      </c>
    </row>
    <row r="613" spans="1:17">
      <c r="A613" t="s">
        <v>666</v>
      </c>
      <c r="B613" s="1">
        <v>45828</v>
      </c>
      <c r="C613" t="s">
        <v>53</v>
      </c>
      <c r="D613" t="s">
        <v>34</v>
      </c>
      <c r="E613" t="s">
        <v>26</v>
      </c>
      <c r="F613" t="s">
        <v>27</v>
      </c>
      <c r="G613">
        <v>2</v>
      </c>
      <c r="H613">
        <v>1500</v>
      </c>
      <c r="I613">
        <v>0.1</v>
      </c>
      <c r="J613">
        <v>3000</v>
      </c>
      <c r="K613">
        <v>2700</v>
      </c>
      <c r="L613">
        <v>1650</v>
      </c>
      <c r="M613">
        <v>1136</v>
      </c>
      <c r="N613">
        <v>519</v>
      </c>
      <c r="O613">
        <v>-605.00000000000023</v>
      </c>
      <c r="P613">
        <v>-0.22407407407407409</v>
      </c>
      <c r="Q613" t="s">
        <v>39</v>
      </c>
    </row>
    <row r="614" spans="1:17">
      <c r="A614" t="s">
        <v>667</v>
      </c>
      <c r="B614" s="1">
        <v>46098</v>
      </c>
      <c r="C614" t="s">
        <v>30</v>
      </c>
      <c r="D614" t="s">
        <v>31</v>
      </c>
      <c r="E614" t="s">
        <v>26</v>
      </c>
      <c r="F614" t="s">
        <v>35</v>
      </c>
      <c r="G614">
        <v>2</v>
      </c>
      <c r="H614">
        <v>28000</v>
      </c>
      <c r="I614">
        <v>0.05</v>
      </c>
      <c r="J614">
        <v>56000</v>
      </c>
      <c r="K614">
        <v>53200</v>
      </c>
      <c r="L614">
        <v>43680</v>
      </c>
      <c r="M614">
        <v>857</v>
      </c>
      <c r="N614">
        <v>1442</v>
      </c>
      <c r="O614">
        <v>7221</v>
      </c>
      <c r="P614">
        <v>0.1357330827067669</v>
      </c>
      <c r="Q614" t="s">
        <v>98</v>
      </c>
    </row>
    <row r="615" spans="1:17">
      <c r="A615" t="s">
        <v>668</v>
      </c>
      <c r="B615" s="1">
        <v>45906</v>
      </c>
      <c r="C615" t="s">
        <v>18</v>
      </c>
      <c r="D615" t="s">
        <v>25</v>
      </c>
      <c r="E615" t="s">
        <v>20</v>
      </c>
      <c r="F615" t="s">
        <v>27</v>
      </c>
      <c r="G615">
        <v>1</v>
      </c>
      <c r="H615">
        <v>32000</v>
      </c>
      <c r="I615">
        <v>0.05</v>
      </c>
      <c r="J615">
        <v>32000</v>
      </c>
      <c r="K615">
        <v>30400</v>
      </c>
      <c r="L615">
        <v>26240</v>
      </c>
      <c r="M615">
        <v>667</v>
      </c>
      <c r="N615">
        <v>913</v>
      </c>
      <c r="O615">
        <v>2580</v>
      </c>
      <c r="P615">
        <v>8.4868421052631579E-2</v>
      </c>
      <c r="Q615" t="s">
        <v>32</v>
      </c>
    </row>
    <row r="616" spans="1:17">
      <c r="A616" t="s">
        <v>669</v>
      </c>
      <c r="B616" s="1">
        <v>45775</v>
      </c>
      <c r="C616" t="s">
        <v>61</v>
      </c>
      <c r="D616" t="s">
        <v>25</v>
      </c>
      <c r="E616" t="s">
        <v>26</v>
      </c>
      <c r="F616" t="s">
        <v>21</v>
      </c>
      <c r="G616">
        <v>7</v>
      </c>
      <c r="H616">
        <v>4500</v>
      </c>
      <c r="I616">
        <v>0.05</v>
      </c>
      <c r="J616">
        <v>31500</v>
      </c>
      <c r="K616">
        <v>29925</v>
      </c>
      <c r="L616">
        <v>20475</v>
      </c>
      <c r="M616">
        <v>1492</v>
      </c>
      <c r="N616">
        <v>247</v>
      </c>
      <c r="O616">
        <v>7711</v>
      </c>
      <c r="P616">
        <v>0.25767752715121128</v>
      </c>
      <c r="Q616" t="s">
        <v>41</v>
      </c>
    </row>
    <row r="617" spans="1:17">
      <c r="A617" t="s">
        <v>670</v>
      </c>
      <c r="B617" s="1">
        <v>45771</v>
      </c>
      <c r="C617" t="s">
        <v>18</v>
      </c>
      <c r="D617" t="s">
        <v>63</v>
      </c>
      <c r="E617" t="s">
        <v>26</v>
      </c>
      <c r="F617" t="s">
        <v>21</v>
      </c>
      <c r="G617">
        <v>1</v>
      </c>
      <c r="H617">
        <v>32000</v>
      </c>
      <c r="I617">
        <v>0.05</v>
      </c>
      <c r="J617">
        <v>32000</v>
      </c>
      <c r="K617">
        <v>30400</v>
      </c>
      <c r="L617">
        <v>26240</v>
      </c>
      <c r="M617">
        <v>787</v>
      </c>
      <c r="N617">
        <v>594</v>
      </c>
      <c r="O617">
        <v>2779</v>
      </c>
      <c r="P617">
        <v>9.1414473684210532E-2</v>
      </c>
      <c r="Q617" t="s">
        <v>41</v>
      </c>
    </row>
    <row r="618" spans="1:17">
      <c r="A618" t="s">
        <v>671</v>
      </c>
      <c r="B618" s="1">
        <v>46085</v>
      </c>
      <c r="C618" t="s">
        <v>18</v>
      </c>
      <c r="D618" t="s">
        <v>63</v>
      </c>
      <c r="E618" t="s">
        <v>26</v>
      </c>
      <c r="F618" t="s">
        <v>21</v>
      </c>
      <c r="G618">
        <v>1</v>
      </c>
      <c r="H618">
        <v>32000</v>
      </c>
      <c r="I618">
        <v>0.08</v>
      </c>
      <c r="J618">
        <v>32000</v>
      </c>
      <c r="K618">
        <v>29440</v>
      </c>
      <c r="L618">
        <v>26240</v>
      </c>
      <c r="M618">
        <v>1237</v>
      </c>
      <c r="N618">
        <v>473</v>
      </c>
      <c r="O618">
        <v>1490</v>
      </c>
      <c r="P618">
        <v>5.0611413043478257E-2</v>
      </c>
      <c r="Q618" t="s">
        <v>98</v>
      </c>
    </row>
    <row r="619" spans="1:17">
      <c r="A619" t="s">
        <v>672</v>
      </c>
      <c r="B619" s="1">
        <v>45733</v>
      </c>
      <c r="C619" t="s">
        <v>61</v>
      </c>
      <c r="D619" t="s">
        <v>31</v>
      </c>
      <c r="E619" t="s">
        <v>20</v>
      </c>
      <c r="F619" t="s">
        <v>21</v>
      </c>
      <c r="G619">
        <v>7</v>
      </c>
      <c r="H619">
        <v>4500</v>
      </c>
      <c r="I619">
        <v>0</v>
      </c>
      <c r="J619">
        <v>31500</v>
      </c>
      <c r="K619">
        <v>31500</v>
      </c>
      <c r="L619">
        <v>20475</v>
      </c>
      <c r="M619">
        <v>1498</v>
      </c>
      <c r="N619">
        <v>1973</v>
      </c>
      <c r="O619">
        <v>7554</v>
      </c>
      <c r="P619">
        <v>0.23980952380952381</v>
      </c>
      <c r="Q619" t="s">
        <v>68</v>
      </c>
    </row>
    <row r="620" spans="1:17">
      <c r="A620" t="s">
        <v>673</v>
      </c>
      <c r="B620" s="1">
        <v>45694</v>
      </c>
      <c r="C620" t="s">
        <v>50</v>
      </c>
      <c r="D620" t="s">
        <v>25</v>
      </c>
      <c r="E620" t="s">
        <v>38</v>
      </c>
      <c r="F620" t="s">
        <v>21</v>
      </c>
      <c r="G620">
        <v>4</v>
      </c>
      <c r="H620">
        <v>2500</v>
      </c>
      <c r="I620">
        <v>0.1</v>
      </c>
      <c r="J620">
        <v>10000</v>
      </c>
      <c r="K620">
        <v>9000</v>
      </c>
      <c r="L620">
        <v>6200</v>
      </c>
      <c r="M620">
        <v>452</v>
      </c>
      <c r="N620">
        <v>1300</v>
      </c>
      <c r="O620">
        <v>1048</v>
      </c>
      <c r="P620">
        <v>0.11644444444444441</v>
      </c>
      <c r="Q620" t="s">
        <v>47</v>
      </c>
    </row>
    <row r="621" spans="1:17">
      <c r="A621" t="s">
        <v>674</v>
      </c>
      <c r="B621" s="1">
        <v>45967</v>
      </c>
      <c r="C621" t="s">
        <v>46</v>
      </c>
      <c r="D621" t="s">
        <v>34</v>
      </c>
      <c r="E621" t="s">
        <v>20</v>
      </c>
      <c r="F621" t="s">
        <v>21</v>
      </c>
      <c r="G621">
        <v>2</v>
      </c>
      <c r="H621">
        <v>18000</v>
      </c>
      <c r="I621">
        <v>0.05</v>
      </c>
      <c r="J621">
        <v>36000</v>
      </c>
      <c r="K621">
        <v>34200</v>
      </c>
      <c r="L621">
        <v>28800</v>
      </c>
      <c r="M621">
        <v>1566</v>
      </c>
      <c r="N621">
        <v>1119</v>
      </c>
      <c r="O621">
        <v>2715</v>
      </c>
      <c r="P621">
        <v>7.9385964912280699E-2</v>
      </c>
      <c r="Q621" t="s">
        <v>28</v>
      </c>
    </row>
    <row r="622" spans="1:17">
      <c r="A622" t="s">
        <v>675</v>
      </c>
      <c r="B622" s="1">
        <v>45871</v>
      </c>
      <c r="C622" t="s">
        <v>53</v>
      </c>
      <c r="D622" t="s">
        <v>51</v>
      </c>
      <c r="E622" t="s">
        <v>20</v>
      </c>
      <c r="F622" t="s">
        <v>35</v>
      </c>
      <c r="G622">
        <v>5</v>
      </c>
      <c r="H622">
        <v>1500</v>
      </c>
      <c r="I622">
        <v>0</v>
      </c>
      <c r="J622">
        <v>7500</v>
      </c>
      <c r="K622">
        <v>7500</v>
      </c>
      <c r="L622">
        <v>4125</v>
      </c>
      <c r="M622">
        <v>435</v>
      </c>
      <c r="N622">
        <v>1562</v>
      </c>
      <c r="O622">
        <v>1378</v>
      </c>
      <c r="P622">
        <v>0.1837333333333333</v>
      </c>
      <c r="Q622" t="s">
        <v>58</v>
      </c>
    </row>
    <row r="623" spans="1:17">
      <c r="A623" t="s">
        <v>676</v>
      </c>
      <c r="B623" s="1">
        <v>46000</v>
      </c>
      <c r="C623" t="s">
        <v>75</v>
      </c>
      <c r="D623" t="s">
        <v>19</v>
      </c>
      <c r="E623" t="s">
        <v>26</v>
      </c>
      <c r="F623" t="s">
        <v>21</v>
      </c>
      <c r="G623">
        <v>1</v>
      </c>
      <c r="H623">
        <v>65000</v>
      </c>
      <c r="I623">
        <v>0.05</v>
      </c>
      <c r="J623">
        <v>65000</v>
      </c>
      <c r="K623">
        <v>61750</v>
      </c>
      <c r="L623">
        <v>54600</v>
      </c>
      <c r="M623">
        <v>826</v>
      </c>
      <c r="N623">
        <v>163</v>
      </c>
      <c r="O623">
        <v>6161</v>
      </c>
      <c r="P623">
        <v>9.9773279352226726E-2</v>
      </c>
      <c r="Q623" t="s">
        <v>80</v>
      </c>
    </row>
    <row r="624" spans="1:17">
      <c r="A624" t="s">
        <v>677</v>
      </c>
      <c r="B624" s="1">
        <v>45970</v>
      </c>
      <c r="C624" t="s">
        <v>24</v>
      </c>
      <c r="D624" t="s">
        <v>19</v>
      </c>
      <c r="E624" t="s">
        <v>26</v>
      </c>
      <c r="F624" t="s">
        <v>35</v>
      </c>
      <c r="G624">
        <v>3</v>
      </c>
      <c r="H624">
        <v>3500</v>
      </c>
      <c r="I624">
        <v>0.05</v>
      </c>
      <c r="J624">
        <v>10500</v>
      </c>
      <c r="K624">
        <v>9975</v>
      </c>
      <c r="L624">
        <v>7140.0000000000009</v>
      </c>
      <c r="M624">
        <v>1686</v>
      </c>
      <c r="N624">
        <v>2040</v>
      </c>
      <c r="O624">
        <v>-891.00000000000091</v>
      </c>
      <c r="P624">
        <v>-8.9323308270676777E-2</v>
      </c>
      <c r="Q624" t="s">
        <v>28</v>
      </c>
    </row>
    <row r="625" spans="1:17">
      <c r="A625" t="s">
        <v>678</v>
      </c>
      <c r="B625" s="1">
        <v>45707</v>
      </c>
      <c r="C625" t="s">
        <v>50</v>
      </c>
      <c r="D625" t="s">
        <v>31</v>
      </c>
      <c r="E625" t="s">
        <v>26</v>
      </c>
      <c r="F625" t="s">
        <v>35</v>
      </c>
      <c r="G625">
        <v>7</v>
      </c>
      <c r="H625">
        <v>2500</v>
      </c>
      <c r="I625">
        <v>0</v>
      </c>
      <c r="J625">
        <v>17500</v>
      </c>
      <c r="K625">
        <v>17500</v>
      </c>
      <c r="L625">
        <v>10850</v>
      </c>
      <c r="M625">
        <v>881</v>
      </c>
      <c r="N625">
        <v>1258</v>
      </c>
      <c r="O625">
        <v>4511</v>
      </c>
      <c r="P625">
        <v>0.2577714285714286</v>
      </c>
      <c r="Q625" t="s">
        <v>47</v>
      </c>
    </row>
    <row r="626" spans="1:17">
      <c r="A626" t="s">
        <v>679</v>
      </c>
      <c r="B626" s="1">
        <v>45769</v>
      </c>
      <c r="C626" t="s">
        <v>24</v>
      </c>
      <c r="D626" t="s">
        <v>51</v>
      </c>
      <c r="E626" t="s">
        <v>20</v>
      </c>
      <c r="F626" t="s">
        <v>35</v>
      </c>
      <c r="G626">
        <v>5</v>
      </c>
      <c r="H626">
        <v>3500</v>
      </c>
      <c r="I626">
        <v>0.05</v>
      </c>
      <c r="J626">
        <v>17500</v>
      </c>
      <c r="K626">
        <v>16625</v>
      </c>
      <c r="L626">
        <v>11900</v>
      </c>
      <c r="M626">
        <v>732</v>
      </c>
      <c r="N626">
        <v>395</v>
      </c>
      <c r="O626">
        <v>3598</v>
      </c>
      <c r="P626">
        <v>0.21642105263157899</v>
      </c>
      <c r="Q626" t="s">
        <v>41</v>
      </c>
    </row>
    <row r="627" spans="1:17">
      <c r="A627" t="s">
        <v>680</v>
      </c>
      <c r="B627" s="1">
        <v>46194</v>
      </c>
      <c r="C627" t="s">
        <v>24</v>
      </c>
      <c r="D627" t="s">
        <v>25</v>
      </c>
      <c r="E627" t="s">
        <v>20</v>
      </c>
      <c r="F627" t="s">
        <v>21</v>
      </c>
      <c r="G627">
        <v>6</v>
      </c>
      <c r="H627">
        <v>3500</v>
      </c>
      <c r="I627">
        <v>0.05</v>
      </c>
      <c r="J627">
        <v>21000</v>
      </c>
      <c r="K627">
        <v>19950</v>
      </c>
      <c r="L627">
        <v>14280</v>
      </c>
      <c r="M627">
        <v>1624</v>
      </c>
      <c r="N627">
        <v>127</v>
      </c>
      <c r="O627">
        <v>3918.9999999999982</v>
      </c>
      <c r="P627">
        <v>0.19644110275689211</v>
      </c>
      <c r="Q627" t="s">
        <v>135</v>
      </c>
    </row>
    <row r="628" spans="1:17">
      <c r="A628" t="s">
        <v>681</v>
      </c>
      <c r="B628" s="1">
        <v>45825</v>
      </c>
      <c r="C628" t="s">
        <v>75</v>
      </c>
      <c r="D628" t="s">
        <v>19</v>
      </c>
      <c r="E628" t="s">
        <v>20</v>
      </c>
      <c r="F628" t="s">
        <v>21</v>
      </c>
      <c r="G628">
        <v>1</v>
      </c>
      <c r="H628">
        <v>65000</v>
      </c>
      <c r="I628">
        <v>0.1</v>
      </c>
      <c r="J628">
        <v>65000</v>
      </c>
      <c r="K628">
        <v>58500</v>
      </c>
      <c r="L628">
        <v>54600</v>
      </c>
      <c r="M628">
        <v>1298</v>
      </c>
      <c r="N628">
        <v>1777</v>
      </c>
      <c r="O628">
        <v>825</v>
      </c>
      <c r="P628">
        <v>1.4102564102564099E-2</v>
      </c>
      <c r="Q628" t="s">
        <v>39</v>
      </c>
    </row>
    <row r="629" spans="1:17">
      <c r="A629" t="s">
        <v>682</v>
      </c>
      <c r="B629" s="1">
        <v>46001</v>
      </c>
      <c r="C629" t="s">
        <v>46</v>
      </c>
      <c r="D629" t="s">
        <v>51</v>
      </c>
      <c r="E629" t="s">
        <v>20</v>
      </c>
      <c r="F629" t="s">
        <v>21</v>
      </c>
      <c r="G629">
        <v>3</v>
      </c>
      <c r="H629">
        <v>18000</v>
      </c>
      <c r="I629">
        <v>0.08</v>
      </c>
      <c r="J629">
        <v>54000</v>
      </c>
      <c r="K629">
        <v>49680</v>
      </c>
      <c r="L629">
        <v>43200</v>
      </c>
      <c r="M629">
        <v>1464</v>
      </c>
      <c r="N629">
        <v>2007</v>
      </c>
      <c r="O629">
        <v>3009</v>
      </c>
      <c r="P629">
        <v>6.0567632850241547E-2</v>
      </c>
      <c r="Q629" t="s">
        <v>80</v>
      </c>
    </row>
    <row r="630" spans="1:17">
      <c r="A630" t="s">
        <v>683</v>
      </c>
      <c r="B630" s="1">
        <v>46139</v>
      </c>
      <c r="C630" t="s">
        <v>75</v>
      </c>
      <c r="D630" t="s">
        <v>63</v>
      </c>
      <c r="E630" t="s">
        <v>20</v>
      </c>
      <c r="F630" t="s">
        <v>21</v>
      </c>
      <c r="G630">
        <v>1</v>
      </c>
      <c r="H630">
        <v>65000</v>
      </c>
      <c r="I630">
        <v>0.08</v>
      </c>
      <c r="J630">
        <v>65000</v>
      </c>
      <c r="K630">
        <v>59800</v>
      </c>
      <c r="L630">
        <v>54600</v>
      </c>
      <c r="M630">
        <v>1349</v>
      </c>
      <c r="N630">
        <v>590</v>
      </c>
      <c r="O630">
        <v>3261</v>
      </c>
      <c r="P630">
        <v>5.4531772575250839E-2</v>
      </c>
      <c r="Q630" t="s">
        <v>65</v>
      </c>
    </row>
    <row r="631" spans="1:17">
      <c r="A631" t="s">
        <v>684</v>
      </c>
      <c r="B631" s="1">
        <v>45699</v>
      </c>
      <c r="C631" t="s">
        <v>18</v>
      </c>
      <c r="D631" t="s">
        <v>19</v>
      </c>
      <c r="E631" t="s">
        <v>20</v>
      </c>
      <c r="F631" t="s">
        <v>35</v>
      </c>
      <c r="G631">
        <v>3</v>
      </c>
      <c r="H631">
        <v>32000</v>
      </c>
      <c r="I631">
        <v>0.08</v>
      </c>
      <c r="J631">
        <v>96000</v>
      </c>
      <c r="K631">
        <v>88320</v>
      </c>
      <c r="L631">
        <v>78720</v>
      </c>
      <c r="M631">
        <v>1405</v>
      </c>
      <c r="N631">
        <v>1622</v>
      </c>
      <c r="O631">
        <v>6573</v>
      </c>
      <c r="P631">
        <v>7.4422554347826089E-2</v>
      </c>
      <c r="Q631" t="s">
        <v>47</v>
      </c>
    </row>
    <row r="632" spans="1:17">
      <c r="A632" t="s">
        <v>685</v>
      </c>
      <c r="B632" s="1">
        <v>45678</v>
      </c>
      <c r="C632" t="s">
        <v>46</v>
      </c>
      <c r="D632" t="s">
        <v>25</v>
      </c>
      <c r="E632" t="s">
        <v>20</v>
      </c>
      <c r="F632" t="s">
        <v>21</v>
      </c>
      <c r="G632">
        <v>3</v>
      </c>
      <c r="H632">
        <v>18000</v>
      </c>
      <c r="I632">
        <v>0.05</v>
      </c>
      <c r="J632">
        <v>54000</v>
      </c>
      <c r="K632">
        <v>51300</v>
      </c>
      <c r="L632">
        <v>43200</v>
      </c>
      <c r="M632">
        <v>544</v>
      </c>
      <c r="N632">
        <v>144</v>
      </c>
      <c r="O632">
        <v>7412</v>
      </c>
      <c r="P632">
        <v>0.1444834307992203</v>
      </c>
      <c r="Q632" t="s">
        <v>56</v>
      </c>
    </row>
    <row r="633" spans="1:17">
      <c r="A633" t="s">
        <v>686</v>
      </c>
      <c r="B633" s="1">
        <v>45931</v>
      </c>
      <c r="C633" t="s">
        <v>50</v>
      </c>
      <c r="D633" t="s">
        <v>31</v>
      </c>
      <c r="E633" t="s">
        <v>20</v>
      </c>
      <c r="F633" t="s">
        <v>35</v>
      </c>
      <c r="G633">
        <v>7</v>
      </c>
      <c r="H633">
        <v>2500</v>
      </c>
      <c r="I633">
        <v>0.1</v>
      </c>
      <c r="J633">
        <v>17500</v>
      </c>
      <c r="K633">
        <v>15750</v>
      </c>
      <c r="L633">
        <v>10850</v>
      </c>
      <c r="M633">
        <v>1233</v>
      </c>
      <c r="N633">
        <v>2140</v>
      </c>
      <c r="O633">
        <v>1527</v>
      </c>
      <c r="P633">
        <v>9.6952380952380957E-2</v>
      </c>
      <c r="Q633" t="s">
        <v>88</v>
      </c>
    </row>
    <row r="634" spans="1:17">
      <c r="A634" t="s">
        <v>687</v>
      </c>
      <c r="B634" s="1">
        <v>45811</v>
      </c>
      <c r="C634" t="s">
        <v>18</v>
      </c>
      <c r="D634" t="s">
        <v>31</v>
      </c>
      <c r="E634" t="s">
        <v>20</v>
      </c>
      <c r="F634" t="s">
        <v>35</v>
      </c>
      <c r="G634">
        <v>3</v>
      </c>
      <c r="H634">
        <v>32000</v>
      </c>
      <c r="I634">
        <v>0.05</v>
      </c>
      <c r="J634">
        <v>96000</v>
      </c>
      <c r="K634">
        <v>91200</v>
      </c>
      <c r="L634">
        <v>78720</v>
      </c>
      <c r="M634">
        <v>1391</v>
      </c>
      <c r="N634">
        <v>1260</v>
      </c>
      <c r="O634">
        <v>9829</v>
      </c>
      <c r="P634">
        <v>0.10777412280701749</v>
      </c>
      <c r="Q634" t="s">
        <v>39</v>
      </c>
    </row>
    <row r="635" spans="1:17">
      <c r="A635" t="s">
        <v>688</v>
      </c>
      <c r="B635" s="1">
        <v>46182</v>
      </c>
      <c r="C635" t="s">
        <v>75</v>
      </c>
      <c r="D635" t="s">
        <v>31</v>
      </c>
      <c r="E635" t="s">
        <v>38</v>
      </c>
      <c r="F635" t="s">
        <v>21</v>
      </c>
      <c r="G635">
        <v>1</v>
      </c>
      <c r="H635">
        <v>65000</v>
      </c>
      <c r="I635">
        <v>0.05</v>
      </c>
      <c r="J635">
        <v>65000</v>
      </c>
      <c r="K635">
        <v>61750</v>
      </c>
      <c r="L635">
        <v>54600</v>
      </c>
      <c r="M635">
        <v>987</v>
      </c>
      <c r="N635">
        <v>2226</v>
      </c>
      <c r="O635">
        <v>3937</v>
      </c>
      <c r="P635">
        <v>6.375708502024291E-2</v>
      </c>
      <c r="Q635" t="s">
        <v>135</v>
      </c>
    </row>
    <row r="636" spans="1:17">
      <c r="A636" t="s">
        <v>689</v>
      </c>
      <c r="B636" s="1">
        <v>46023</v>
      </c>
      <c r="C636" t="s">
        <v>18</v>
      </c>
      <c r="D636" t="s">
        <v>63</v>
      </c>
      <c r="E636" t="s">
        <v>20</v>
      </c>
      <c r="F636" t="s">
        <v>35</v>
      </c>
      <c r="G636">
        <v>1</v>
      </c>
      <c r="H636">
        <v>32000</v>
      </c>
      <c r="I636">
        <v>0.15</v>
      </c>
      <c r="J636">
        <v>32000</v>
      </c>
      <c r="K636">
        <v>27200</v>
      </c>
      <c r="L636">
        <v>26240</v>
      </c>
      <c r="M636">
        <v>1719</v>
      </c>
      <c r="N636">
        <v>290</v>
      </c>
      <c r="O636">
        <v>-1049</v>
      </c>
      <c r="P636">
        <v>-3.8566176470588243E-2</v>
      </c>
      <c r="Q636" t="s">
        <v>43</v>
      </c>
    </row>
    <row r="637" spans="1:17">
      <c r="A637" t="s">
        <v>690</v>
      </c>
      <c r="B637" s="1">
        <v>45925</v>
      </c>
      <c r="C637" t="s">
        <v>24</v>
      </c>
      <c r="D637" t="s">
        <v>51</v>
      </c>
      <c r="E637" t="s">
        <v>20</v>
      </c>
      <c r="F637" t="s">
        <v>21</v>
      </c>
      <c r="G637">
        <v>5</v>
      </c>
      <c r="H637">
        <v>3500</v>
      </c>
      <c r="I637">
        <v>0</v>
      </c>
      <c r="J637">
        <v>17500</v>
      </c>
      <c r="K637">
        <v>17500</v>
      </c>
      <c r="L637">
        <v>11900</v>
      </c>
      <c r="M637">
        <v>1387</v>
      </c>
      <c r="N637">
        <v>475</v>
      </c>
      <c r="O637">
        <v>3738</v>
      </c>
      <c r="P637">
        <v>0.21360000000000001</v>
      </c>
      <c r="Q637" t="s">
        <v>32</v>
      </c>
    </row>
    <row r="638" spans="1:17">
      <c r="A638" t="s">
        <v>691</v>
      </c>
      <c r="B638" s="1">
        <v>46144</v>
      </c>
      <c r="C638" t="s">
        <v>53</v>
      </c>
      <c r="D638" t="s">
        <v>51</v>
      </c>
      <c r="E638" t="s">
        <v>38</v>
      </c>
      <c r="F638" t="s">
        <v>35</v>
      </c>
      <c r="G638">
        <v>7</v>
      </c>
      <c r="H638">
        <v>1500</v>
      </c>
      <c r="I638">
        <v>0.05</v>
      </c>
      <c r="J638">
        <v>10500</v>
      </c>
      <c r="K638">
        <v>9975</v>
      </c>
      <c r="L638">
        <v>5775.0000000000009</v>
      </c>
      <c r="M638">
        <v>771</v>
      </c>
      <c r="N638">
        <v>890</v>
      </c>
      <c r="O638">
        <v>2538.9999999999991</v>
      </c>
      <c r="P638">
        <v>0.25453634085213023</v>
      </c>
      <c r="Q638" t="s">
        <v>73</v>
      </c>
    </row>
    <row r="639" spans="1:17">
      <c r="A639" t="s">
        <v>692</v>
      </c>
      <c r="B639" s="1">
        <v>46091</v>
      </c>
      <c r="C639" t="s">
        <v>50</v>
      </c>
      <c r="D639" t="s">
        <v>31</v>
      </c>
      <c r="E639" t="s">
        <v>20</v>
      </c>
      <c r="F639" t="s">
        <v>35</v>
      </c>
      <c r="G639">
        <v>5</v>
      </c>
      <c r="H639">
        <v>2500</v>
      </c>
      <c r="I639">
        <v>0.1</v>
      </c>
      <c r="J639">
        <v>12500</v>
      </c>
      <c r="K639">
        <v>11250</v>
      </c>
      <c r="L639">
        <v>7750</v>
      </c>
      <c r="M639">
        <v>288</v>
      </c>
      <c r="N639">
        <v>898</v>
      </c>
      <c r="O639">
        <v>2314</v>
      </c>
      <c r="P639">
        <v>0.20568888888888889</v>
      </c>
      <c r="Q639" t="s">
        <v>98</v>
      </c>
    </row>
    <row r="640" spans="1:17">
      <c r="A640" t="s">
        <v>693</v>
      </c>
      <c r="B640" s="1">
        <v>45763</v>
      </c>
      <c r="C640" t="s">
        <v>30</v>
      </c>
      <c r="D640" t="s">
        <v>34</v>
      </c>
      <c r="E640" t="s">
        <v>20</v>
      </c>
      <c r="F640" t="s">
        <v>35</v>
      </c>
      <c r="G640">
        <v>1</v>
      </c>
      <c r="H640">
        <v>28000</v>
      </c>
      <c r="I640">
        <v>0.1</v>
      </c>
      <c r="J640">
        <v>28000</v>
      </c>
      <c r="K640">
        <v>25200</v>
      </c>
      <c r="L640">
        <v>21840</v>
      </c>
      <c r="M640">
        <v>1070</v>
      </c>
      <c r="N640">
        <v>831</v>
      </c>
      <c r="O640">
        <v>1459</v>
      </c>
      <c r="P640">
        <v>5.7896825396825398E-2</v>
      </c>
      <c r="Q640" t="s">
        <v>41</v>
      </c>
    </row>
    <row r="641" spans="1:17">
      <c r="A641" t="s">
        <v>694</v>
      </c>
      <c r="B641" s="1">
        <v>46124</v>
      </c>
      <c r="C641" t="s">
        <v>50</v>
      </c>
      <c r="D641" t="s">
        <v>34</v>
      </c>
      <c r="E641" t="s">
        <v>20</v>
      </c>
      <c r="F641" t="s">
        <v>21</v>
      </c>
      <c r="G641">
        <v>6</v>
      </c>
      <c r="H641">
        <v>2500</v>
      </c>
      <c r="I641">
        <v>0.05</v>
      </c>
      <c r="J641">
        <v>15000</v>
      </c>
      <c r="K641">
        <v>14250</v>
      </c>
      <c r="L641">
        <v>9300</v>
      </c>
      <c r="M641">
        <v>524</v>
      </c>
      <c r="N641">
        <v>1078</v>
      </c>
      <c r="O641">
        <v>3348</v>
      </c>
      <c r="P641">
        <v>0.2349473684210526</v>
      </c>
      <c r="Q641" t="s">
        <v>65</v>
      </c>
    </row>
    <row r="642" spans="1:17">
      <c r="A642" t="s">
        <v>695</v>
      </c>
      <c r="B642" s="1">
        <v>45840</v>
      </c>
      <c r="C642" t="s">
        <v>46</v>
      </c>
      <c r="D642" t="s">
        <v>34</v>
      </c>
      <c r="E642" t="s">
        <v>20</v>
      </c>
      <c r="F642" t="s">
        <v>27</v>
      </c>
      <c r="G642">
        <v>1</v>
      </c>
      <c r="H642">
        <v>18000</v>
      </c>
      <c r="I642">
        <v>0.05</v>
      </c>
      <c r="J642">
        <v>18000</v>
      </c>
      <c r="K642">
        <v>17100</v>
      </c>
      <c r="L642">
        <v>14400</v>
      </c>
      <c r="M642">
        <v>416</v>
      </c>
      <c r="N642">
        <v>1615</v>
      </c>
      <c r="O642">
        <v>669</v>
      </c>
      <c r="P642">
        <v>3.9122807017543858E-2</v>
      </c>
      <c r="Q642" t="s">
        <v>36</v>
      </c>
    </row>
    <row r="643" spans="1:17">
      <c r="A643" t="s">
        <v>696</v>
      </c>
      <c r="B643" s="1">
        <v>45889</v>
      </c>
      <c r="C643" t="s">
        <v>18</v>
      </c>
      <c r="D643" t="s">
        <v>19</v>
      </c>
      <c r="E643" t="s">
        <v>20</v>
      </c>
      <c r="F643" t="s">
        <v>35</v>
      </c>
      <c r="G643">
        <v>2</v>
      </c>
      <c r="H643">
        <v>32000</v>
      </c>
      <c r="I643">
        <v>0.05</v>
      </c>
      <c r="J643">
        <v>64000</v>
      </c>
      <c r="K643">
        <v>60800</v>
      </c>
      <c r="L643">
        <v>52480</v>
      </c>
      <c r="M643">
        <v>1367</v>
      </c>
      <c r="N643">
        <v>210</v>
      </c>
      <c r="O643">
        <v>6743</v>
      </c>
      <c r="P643">
        <v>0.1109046052631579</v>
      </c>
      <c r="Q643" t="s">
        <v>58</v>
      </c>
    </row>
    <row r="644" spans="1:17">
      <c r="A644" t="s">
        <v>697</v>
      </c>
      <c r="B644" s="1">
        <v>45664</v>
      </c>
      <c r="C644" t="s">
        <v>53</v>
      </c>
      <c r="D644" t="s">
        <v>19</v>
      </c>
      <c r="E644" t="s">
        <v>26</v>
      </c>
      <c r="F644" t="s">
        <v>35</v>
      </c>
      <c r="G644">
        <v>3</v>
      </c>
      <c r="H644">
        <v>1500</v>
      </c>
      <c r="I644">
        <v>0.15</v>
      </c>
      <c r="J644">
        <v>4500</v>
      </c>
      <c r="K644">
        <v>3825</v>
      </c>
      <c r="L644">
        <v>2475</v>
      </c>
      <c r="M644">
        <v>372</v>
      </c>
      <c r="N644">
        <v>1072</v>
      </c>
      <c r="O644">
        <v>-94</v>
      </c>
      <c r="P644">
        <v>-2.4575163398692808E-2</v>
      </c>
      <c r="Q644" t="s">
        <v>56</v>
      </c>
    </row>
    <row r="645" spans="1:17">
      <c r="A645" t="s">
        <v>698</v>
      </c>
      <c r="B645" s="1">
        <v>46096</v>
      </c>
      <c r="C645" t="s">
        <v>61</v>
      </c>
      <c r="D645" t="s">
        <v>63</v>
      </c>
      <c r="E645" t="s">
        <v>26</v>
      </c>
      <c r="F645" t="s">
        <v>35</v>
      </c>
      <c r="G645">
        <v>2</v>
      </c>
      <c r="H645">
        <v>4500</v>
      </c>
      <c r="I645">
        <v>0.15</v>
      </c>
      <c r="J645">
        <v>9000</v>
      </c>
      <c r="K645">
        <v>7650</v>
      </c>
      <c r="L645">
        <v>5850</v>
      </c>
      <c r="M645">
        <v>484</v>
      </c>
      <c r="N645">
        <v>2044</v>
      </c>
      <c r="O645">
        <v>-728</v>
      </c>
      <c r="P645">
        <v>-9.5163398692810458E-2</v>
      </c>
      <c r="Q645" t="s">
        <v>98</v>
      </c>
    </row>
    <row r="646" spans="1:17">
      <c r="A646" t="s">
        <v>699</v>
      </c>
      <c r="B646" s="1">
        <v>45732</v>
      </c>
      <c r="C646" t="s">
        <v>18</v>
      </c>
      <c r="D646" t="s">
        <v>34</v>
      </c>
      <c r="E646" t="s">
        <v>20</v>
      </c>
      <c r="F646" t="s">
        <v>35</v>
      </c>
      <c r="G646">
        <v>3</v>
      </c>
      <c r="H646">
        <v>32000</v>
      </c>
      <c r="I646">
        <v>0.05</v>
      </c>
      <c r="J646">
        <v>96000</v>
      </c>
      <c r="K646">
        <v>91200</v>
      </c>
      <c r="L646">
        <v>78720</v>
      </c>
      <c r="M646">
        <v>1507</v>
      </c>
      <c r="N646">
        <v>998</v>
      </c>
      <c r="O646">
        <v>9975</v>
      </c>
      <c r="P646">
        <v>0.109375</v>
      </c>
      <c r="Q646" t="s">
        <v>68</v>
      </c>
    </row>
    <row r="647" spans="1:17">
      <c r="A647" t="s">
        <v>700</v>
      </c>
      <c r="B647" s="1">
        <v>45985</v>
      </c>
      <c r="C647" t="s">
        <v>46</v>
      </c>
      <c r="D647" t="s">
        <v>19</v>
      </c>
      <c r="E647" t="s">
        <v>38</v>
      </c>
      <c r="F647" t="s">
        <v>35</v>
      </c>
      <c r="G647">
        <v>1</v>
      </c>
      <c r="H647">
        <v>18000</v>
      </c>
      <c r="I647">
        <v>0.08</v>
      </c>
      <c r="J647">
        <v>18000</v>
      </c>
      <c r="K647">
        <v>16560</v>
      </c>
      <c r="L647">
        <v>14400</v>
      </c>
      <c r="M647">
        <v>1445</v>
      </c>
      <c r="N647">
        <v>926</v>
      </c>
      <c r="O647">
        <v>-211</v>
      </c>
      <c r="P647">
        <v>-1.274154589371981E-2</v>
      </c>
      <c r="Q647" t="s">
        <v>28</v>
      </c>
    </row>
    <row r="648" spans="1:17">
      <c r="A648" t="s">
        <v>701</v>
      </c>
      <c r="B648" s="1">
        <v>45857</v>
      </c>
      <c r="C648" t="s">
        <v>50</v>
      </c>
      <c r="D648" t="s">
        <v>34</v>
      </c>
      <c r="E648" t="s">
        <v>20</v>
      </c>
      <c r="F648" t="s">
        <v>27</v>
      </c>
      <c r="G648">
        <v>7</v>
      </c>
      <c r="H648">
        <v>2500</v>
      </c>
      <c r="I648">
        <v>0</v>
      </c>
      <c r="J648">
        <v>17500</v>
      </c>
      <c r="K648">
        <v>17500</v>
      </c>
      <c r="L648">
        <v>10850</v>
      </c>
      <c r="M648">
        <v>868</v>
      </c>
      <c r="N648">
        <v>290</v>
      </c>
      <c r="O648">
        <v>5492</v>
      </c>
      <c r="P648">
        <v>0.3138285714285714</v>
      </c>
      <c r="Q648" t="s">
        <v>36</v>
      </c>
    </row>
    <row r="649" spans="1:17">
      <c r="A649" t="s">
        <v>702</v>
      </c>
      <c r="B649" s="1">
        <v>46121</v>
      </c>
      <c r="C649" t="s">
        <v>61</v>
      </c>
      <c r="D649" t="s">
        <v>34</v>
      </c>
      <c r="E649" t="s">
        <v>20</v>
      </c>
      <c r="F649" t="s">
        <v>35</v>
      </c>
      <c r="G649">
        <v>5</v>
      </c>
      <c r="H649">
        <v>4500</v>
      </c>
      <c r="I649">
        <v>0</v>
      </c>
      <c r="J649">
        <v>22500</v>
      </c>
      <c r="K649">
        <v>22500</v>
      </c>
      <c r="L649">
        <v>14625</v>
      </c>
      <c r="M649">
        <v>482</v>
      </c>
      <c r="N649">
        <v>2148</v>
      </c>
      <c r="O649">
        <v>5245</v>
      </c>
      <c r="P649">
        <v>0.2331111111111111</v>
      </c>
      <c r="Q649" t="s">
        <v>65</v>
      </c>
    </row>
    <row r="650" spans="1:17">
      <c r="A650" t="s">
        <v>703</v>
      </c>
      <c r="B650" s="1">
        <v>45822</v>
      </c>
      <c r="C650" t="s">
        <v>50</v>
      </c>
      <c r="D650" t="s">
        <v>63</v>
      </c>
      <c r="E650" t="s">
        <v>20</v>
      </c>
      <c r="F650" t="s">
        <v>21</v>
      </c>
      <c r="G650">
        <v>3</v>
      </c>
      <c r="H650">
        <v>2500</v>
      </c>
      <c r="I650">
        <v>0.08</v>
      </c>
      <c r="J650">
        <v>7500</v>
      </c>
      <c r="K650">
        <v>6900</v>
      </c>
      <c r="L650">
        <v>4650</v>
      </c>
      <c r="M650">
        <v>889</v>
      </c>
      <c r="N650">
        <v>1607</v>
      </c>
      <c r="O650">
        <v>-246</v>
      </c>
      <c r="P650">
        <v>-3.5652173913043483E-2</v>
      </c>
      <c r="Q650" t="s">
        <v>39</v>
      </c>
    </row>
    <row r="651" spans="1:17">
      <c r="A651" t="s">
        <v>704</v>
      </c>
      <c r="B651" s="1">
        <v>46103</v>
      </c>
      <c r="C651" t="s">
        <v>46</v>
      </c>
      <c r="D651" t="s">
        <v>19</v>
      </c>
      <c r="E651" t="s">
        <v>38</v>
      </c>
      <c r="F651" t="s">
        <v>21</v>
      </c>
      <c r="G651">
        <v>1</v>
      </c>
      <c r="H651">
        <v>18000</v>
      </c>
      <c r="I651">
        <v>0.2</v>
      </c>
      <c r="J651">
        <v>18000</v>
      </c>
      <c r="K651">
        <v>14400</v>
      </c>
      <c r="L651">
        <v>14400</v>
      </c>
      <c r="M651">
        <v>202</v>
      </c>
      <c r="N651">
        <v>471</v>
      </c>
      <c r="O651">
        <v>-673</v>
      </c>
      <c r="P651">
        <v>-4.673611111111111E-2</v>
      </c>
      <c r="Q651" t="s">
        <v>98</v>
      </c>
    </row>
    <row r="652" spans="1:17">
      <c r="A652" t="s">
        <v>705</v>
      </c>
      <c r="B652" s="1">
        <v>45707</v>
      </c>
      <c r="C652" t="s">
        <v>24</v>
      </c>
      <c r="D652" t="s">
        <v>34</v>
      </c>
      <c r="E652" t="s">
        <v>38</v>
      </c>
      <c r="F652" t="s">
        <v>35</v>
      </c>
      <c r="G652">
        <v>5</v>
      </c>
      <c r="H652">
        <v>3500</v>
      </c>
      <c r="I652">
        <v>0.05</v>
      </c>
      <c r="J652">
        <v>17500</v>
      </c>
      <c r="K652">
        <v>16625</v>
      </c>
      <c r="L652">
        <v>11900</v>
      </c>
      <c r="M652">
        <v>1091</v>
      </c>
      <c r="N652">
        <v>1147</v>
      </c>
      <c r="O652">
        <v>2487</v>
      </c>
      <c r="P652">
        <v>0.149593984962406</v>
      </c>
      <c r="Q652" t="s">
        <v>47</v>
      </c>
    </row>
    <row r="653" spans="1:17">
      <c r="A653" t="s">
        <v>706</v>
      </c>
      <c r="B653" s="1">
        <v>46044</v>
      </c>
      <c r="C653" t="s">
        <v>61</v>
      </c>
      <c r="D653" t="s">
        <v>34</v>
      </c>
      <c r="E653" t="s">
        <v>38</v>
      </c>
      <c r="F653" t="s">
        <v>35</v>
      </c>
      <c r="G653">
        <v>3</v>
      </c>
      <c r="H653">
        <v>4500</v>
      </c>
      <c r="I653">
        <v>0.08</v>
      </c>
      <c r="J653">
        <v>13500</v>
      </c>
      <c r="K653">
        <v>12420</v>
      </c>
      <c r="L653">
        <v>8775</v>
      </c>
      <c r="M653">
        <v>1003</v>
      </c>
      <c r="N653">
        <v>2394</v>
      </c>
      <c r="O653">
        <v>248</v>
      </c>
      <c r="P653">
        <v>1.9967793880837359E-2</v>
      </c>
      <c r="Q653" t="s">
        <v>43</v>
      </c>
    </row>
    <row r="654" spans="1:17">
      <c r="A654" t="s">
        <v>707</v>
      </c>
      <c r="B654" s="1">
        <v>45658</v>
      </c>
      <c r="C654" t="s">
        <v>46</v>
      </c>
      <c r="D654" t="s">
        <v>25</v>
      </c>
      <c r="E654" t="s">
        <v>20</v>
      </c>
      <c r="F654" t="s">
        <v>35</v>
      </c>
      <c r="G654">
        <v>1</v>
      </c>
      <c r="H654">
        <v>18000</v>
      </c>
      <c r="I654">
        <v>0</v>
      </c>
      <c r="J654">
        <v>18000</v>
      </c>
      <c r="K654">
        <v>18000</v>
      </c>
      <c r="L654">
        <v>14400</v>
      </c>
      <c r="M654">
        <v>1445</v>
      </c>
      <c r="N654">
        <v>2007</v>
      </c>
      <c r="O654">
        <v>148</v>
      </c>
      <c r="P654">
        <v>8.2222222222222228E-3</v>
      </c>
      <c r="Q654" t="s">
        <v>56</v>
      </c>
    </row>
    <row r="655" spans="1:17">
      <c r="A655" t="s">
        <v>708</v>
      </c>
      <c r="B655" s="1">
        <v>46134</v>
      </c>
      <c r="C655" t="s">
        <v>75</v>
      </c>
      <c r="D655" t="s">
        <v>51</v>
      </c>
      <c r="E655" t="s">
        <v>20</v>
      </c>
      <c r="F655" t="s">
        <v>35</v>
      </c>
      <c r="G655">
        <v>1</v>
      </c>
      <c r="H655">
        <v>65000</v>
      </c>
      <c r="I655">
        <v>0.08</v>
      </c>
      <c r="J655">
        <v>65000</v>
      </c>
      <c r="K655">
        <v>59800</v>
      </c>
      <c r="L655">
        <v>54600</v>
      </c>
      <c r="M655">
        <v>701</v>
      </c>
      <c r="N655">
        <v>2090</v>
      </c>
      <c r="O655">
        <v>2409</v>
      </c>
      <c r="P655">
        <v>4.028428093645485E-2</v>
      </c>
      <c r="Q655" t="s">
        <v>65</v>
      </c>
    </row>
    <row r="656" spans="1:17">
      <c r="A656" t="s">
        <v>709</v>
      </c>
      <c r="B656" s="1">
        <v>45751</v>
      </c>
      <c r="C656" t="s">
        <v>50</v>
      </c>
      <c r="D656" t="s">
        <v>51</v>
      </c>
      <c r="E656" t="s">
        <v>20</v>
      </c>
      <c r="F656" t="s">
        <v>35</v>
      </c>
      <c r="G656">
        <v>6</v>
      </c>
      <c r="H656">
        <v>2500</v>
      </c>
      <c r="I656">
        <v>0.05</v>
      </c>
      <c r="J656">
        <v>15000</v>
      </c>
      <c r="K656">
        <v>14250</v>
      </c>
      <c r="L656">
        <v>9300</v>
      </c>
      <c r="M656">
        <v>1580</v>
      </c>
      <c r="N656">
        <v>1073</v>
      </c>
      <c r="O656">
        <v>2297</v>
      </c>
      <c r="P656">
        <v>0.16119298245614039</v>
      </c>
      <c r="Q656" t="s">
        <v>41</v>
      </c>
    </row>
    <row r="657" spans="1:17">
      <c r="A657" t="s">
        <v>710</v>
      </c>
      <c r="B657" s="1">
        <v>45930</v>
      </c>
      <c r="C657" t="s">
        <v>61</v>
      </c>
      <c r="D657" t="s">
        <v>25</v>
      </c>
      <c r="E657" t="s">
        <v>20</v>
      </c>
      <c r="F657" t="s">
        <v>27</v>
      </c>
      <c r="G657">
        <v>3</v>
      </c>
      <c r="H657">
        <v>4500</v>
      </c>
      <c r="I657">
        <v>0.15</v>
      </c>
      <c r="J657">
        <v>13500</v>
      </c>
      <c r="K657">
        <v>11475</v>
      </c>
      <c r="L657">
        <v>8775</v>
      </c>
      <c r="M657">
        <v>505</v>
      </c>
      <c r="N657">
        <v>1038</v>
      </c>
      <c r="O657">
        <v>1157</v>
      </c>
      <c r="P657">
        <v>0.10082788671023971</v>
      </c>
      <c r="Q657" t="s">
        <v>32</v>
      </c>
    </row>
    <row r="658" spans="1:17">
      <c r="A658" t="s">
        <v>711</v>
      </c>
      <c r="B658" s="1">
        <v>45982</v>
      </c>
      <c r="C658" t="s">
        <v>18</v>
      </c>
      <c r="D658" t="s">
        <v>51</v>
      </c>
      <c r="E658" t="s">
        <v>38</v>
      </c>
      <c r="F658" t="s">
        <v>35</v>
      </c>
      <c r="G658">
        <v>2</v>
      </c>
      <c r="H658">
        <v>32000</v>
      </c>
      <c r="I658">
        <v>0.1</v>
      </c>
      <c r="J658">
        <v>64000</v>
      </c>
      <c r="K658">
        <v>57600</v>
      </c>
      <c r="L658">
        <v>52480</v>
      </c>
      <c r="M658">
        <v>792</v>
      </c>
      <c r="N658">
        <v>1098</v>
      </c>
      <c r="O658">
        <v>3230</v>
      </c>
      <c r="P658">
        <v>5.6076388888888891E-2</v>
      </c>
      <c r="Q658" t="s">
        <v>28</v>
      </c>
    </row>
    <row r="659" spans="1:17">
      <c r="A659" t="s">
        <v>712</v>
      </c>
      <c r="B659" s="1">
        <v>45922</v>
      </c>
      <c r="C659" t="s">
        <v>75</v>
      </c>
      <c r="D659" t="s">
        <v>19</v>
      </c>
      <c r="E659" t="s">
        <v>38</v>
      </c>
      <c r="F659" t="s">
        <v>21</v>
      </c>
      <c r="G659">
        <v>1</v>
      </c>
      <c r="H659">
        <v>65000</v>
      </c>
      <c r="I659">
        <v>0.03</v>
      </c>
      <c r="J659">
        <v>65000</v>
      </c>
      <c r="K659">
        <v>63050</v>
      </c>
      <c r="L659">
        <v>54600</v>
      </c>
      <c r="M659">
        <v>908</v>
      </c>
      <c r="N659">
        <v>1549</v>
      </c>
      <c r="O659">
        <v>5993</v>
      </c>
      <c r="P659">
        <v>9.5051546391752575E-2</v>
      </c>
      <c r="Q659" t="s">
        <v>32</v>
      </c>
    </row>
    <row r="660" spans="1:17">
      <c r="A660" t="s">
        <v>713</v>
      </c>
      <c r="B660" s="1">
        <v>46187</v>
      </c>
      <c r="C660" t="s">
        <v>61</v>
      </c>
      <c r="D660" t="s">
        <v>63</v>
      </c>
      <c r="E660" t="s">
        <v>20</v>
      </c>
      <c r="F660" t="s">
        <v>21</v>
      </c>
      <c r="G660">
        <v>2</v>
      </c>
      <c r="H660">
        <v>4500</v>
      </c>
      <c r="I660">
        <v>0.03</v>
      </c>
      <c r="J660">
        <v>9000</v>
      </c>
      <c r="K660">
        <v>8730</v>
      </c>
      <c r="L660">
        <v>5850</v>
      </c>
      <c r="M660">
        <v>1645</v>
      </c>
      <c r="N660">
        <v>2398</v>
      </c>
      <c r="O660">
        <v>-1163</v>
      </c>
      <c r="P660">
        <v>-0.13321878579610541</v>
      </c>
      <c r="Q660" t="s">
        <v>135</v>
      </c>
    </row>
    <row r="661" spans="1:17">
      <c r="A661" t="s">
        <v>714</v>
      </c>
      <c r="B661" s="1">
        <v>45716</v>
      </c>
      <c r="C661" t="s">
        <v>53</v>
      </c>
      <c r="D661" t="s">
        <v>63</v>
      </c>
      <c r="E661" t="s">
        <v>26</v>
      </c>
      <c r="F661" t="s">
        <v>35</v>
      </c>
      <c r="G661">
        <v>4</v>
      </c>
      <c r="H661">
        <v>1500</v>
      </c>
      <c r="I661">
        <v>0.03</v>
      </c>
      <c r="J661">
        <v>6000</v>
      </c>
      <c r="K661">
        <v>5820</v>
      </c>
      <c r="L661">
        <v>3300</v>
      </c>
      <c r="M661">
        <v>1506</v>
      </c>
      <c r="N661">
        <v>1806</v>
      </c>
      <c r="O661">
        <v>-792.00000000000045</v>
      </c>
      <c r="P661">
        <v>-0.1360824742268042</v>
      </c>
      <c r="Q661" t="s">
        <v>47</v>
      </c>
    </row>
    <row r="662" spans="1:17">
      <c r="A662" t="s">
        <v>715</v>
      </c>
      <c r="B662" s="1">
        <v>46129</v>
      </c>
      <c r="C662" t="s">
        <v>53</v>
      </c>
      <c r="D662" t="s">
        <v>63</v>
      </c>
      <c r="E662" t="s">
        <v>20</v>
      </c>
      <c r="F662" t="s">
        <v>21</v>
      </c>
      <c r="G662">
        <v>4</v>
      </c>
      <c r="H662">
        <v>1500</v>
      </c>
      <c r="I662">
        <v>0.2</v>
      </c>
      <c r="J662">
        <v>6000</v>
      </c>
      <c r="K662">
        <v>4800</v>
      </c>
      <c r="L662">
        <v>3300</v>
      </c>
      <c r="M662">
        <v>1687</v>
      </c>
      <c r="N662">
        <v>901</v>
      </c>
      <c r="O662">
        <v>-1088</v>
      </c>
      <c r="P662">
        <v>-0.22666666666666679</v>
      </c>
      <c r="Q662" t="s">
        <v>65</v>
      </c>
    </row>
    <row r="663" spans="1:17">
      <c r="A663" t="s">
        <v>716</v>
      </c>
      <c r="B663" s="1">
        <v>46083</v>
      </c>
      <c r="C663" t="s">
        <v>24</v>
      </c>
      <c r="D663" t="s">
        <v>63</v>
      </c>
      <c r="E663" t="s">
        <v>38</v>
      </c>
      <c r="F663" t="s">
        <v>27</v>
      </c>
      <c r="G663">
        <v>1</v>
      </c>
      <c r="H663">
        <v>3500</v>
      </c>
      <c r="I663">
        <v>0.05</v>
      </c>
      <c r="J663">
        <v>3500</v>
      </c>
      <c r="K663">
        <v>3325</v>
      </c>
      <c r="L663">
        <v>2380</v>
      </c>
      <c r="M663">
        <v>494</v>
      </c>
      <c r="N663">
        <v>288</v>
      </c>
      <c r="O663">
        <v>163</v>
      </c>
      <c r="P663">
        <v>4.9022556390977447E-2</v>
      </c>
      <c r="Q663" t="s">
        <v>98</v>
      </c>
    </row>
    <row r="664" spans="1:17">
      <c r="A664" t="s">
        <v>717</v>
      </c>
      <c r="B664" s="1">
        <v>45728</v>
      </c>
      <c r="C664" t="s">
        <v>50</v>
      </c>
      <c r="D664" t="s">
        <v>25</v>
      </c>
      <c r="E664" t="s">
        <v>38</v>
      </c>
      <c r="F664" t="s">
        <v>21</v>
      </c>
      <c r="G664">
        <v>6</v>
      </c>
      <c r="H664">
        <v>2500</v>
      </c>
      <c r="I664">
        <v>0.1</v>
      </c>
      <c r="J664">
        <v>15000</v>
      </c>
      <c r="K664">
        <v>13500</v>
      </c>
      <c r="L664">
        <v>9300</v>
      </c>
      <c r="M664">
        <v>1025</v>
      </c>
      <c r="N664">
        <v>1958</v>
      </c>
      <c r="O664">
        <v>1217</v>
      </c>
      <c r="P664">
        <v>9.0148148148148144E-2</v>
      </c>
      <c r="Q664" t="s">
        <v>68</v>
      </c>
    </row>
    <row r="665" spans="1:17">
      <c r="A665" t="s">
        <v>718</v>
      </c>
      <c r="B665" s="1">
        <v>46020</v>
      </c>
      <c r="C665" t="s">
        <v>61</v>
      </c>
      <c r="D665" t="s">
        <v>51</v>
      </c>
      <c r="E665" t="s">
        <v>26</v>
      </c>
      <c r="F665" t="s">
        <v>35</v>
      </c>
      <c r="G665">
        <v>2</v>
      </c>
      <c r="H665">
        <v>4500</v>
      </c>
      <c r="I665">
        <v>0.08</v>
      </c>
      <c r="J665">
        <v>9000</v>
      </c>
      <c r="K665">
        <v>8280</v>
      </c>
      <c r="L665">
        <v>5850</v>
      </c>
      <c r="M665">
        <v>693</v>
      </c>
      <c r="N665">
        <v>151</v>
      </c>
      <c r="O665">
        <v>1586</v>
      </c>
      <c r="P665">
        <v>0.19154589371980679</v>
      </c>
      <c r="Q665" t="s">
        <v>80</v>
      </c>
    </row>
    <row r="666" spans="1:17">
      <c r="A666" t="s">
        <v>719</v>
      </c>
      <c r="B666" s="1">
        <v>46068</v>
      </c>
      <c r="C666" t="s">
        <v>50</v>
      </c>
      <c r="D666" t="s">
        <v>34</v>
      </c>
      <c r="E666" t="s">
        <v>38</v>
      </c>
      <c r="F666" t="s">
        <v>27</v>
      </c>
      <c r="G666">
        <v>7</v>
      </c>
      <c r="H666">
        <v>2500</v>
      </c>
      <c r="I666">
        <v>0.05</v>
      </c>
      <c r="J666">
        <v>17500</v>
      </c>
      <c r="K666">
        <v>16625</v>
      </c>
      <c r="L666">
        <v>10850</v>
      </c>
      <c r="M666">
        <v>1658</v>
      </c>
      <c r="N666">
        <v>2107</v>
      </c>
      <c r="O666">
        <v>2010</v>
      </c>
      <c r="P666">
        <v>0.12090225563909771</v>
      </c>
      <c r="Q666" t="s">
        <v>54</v>
      </c>
    </row>
    <row r="667" spans="1:17">
      <c r="A667" t="s">
        <v>720</v>
      </c>
      <c r="B667" s="1">
        <v>45943</v>
      </c>
      <c r="C667" t="s">
        <v>75</v>
      </c>
      <c r="D667" t="s">
        <v>51</v>
      </c>
      <c r="E667" t="s">
        <v>38</v>
      </c>
      <c r="F667" t="s">
        <v>27</v>
      </c>
      <c r="G667">
        <v>3</v>
      </c>
      <c r="H667">
        <v>65000</v>
      </c>
      <c r="I667">
        <v>0.03</v>
      </c>
      <c r="J667">
        <v>195000</v>
      </c>
      <c r="K667">
        <v>189150</v>
      </c>
      <c r="L667">
        <v>163800</v>
      </c>
      <c r="M667">
        <v>1181</v>
      </c>
      <c r="N667">
        <v>1050</v>
      </c>
      <c r="O667">
        <v>23119</v>
      </c>
      <c r="P667">
        <v>0.12222574676182919</v>
      </c>
      <c r="Q667" t="s">
        <v>88</v>
      </c>
    </row>
    <row r="668" spans="1:17">
      <c r="A668" t="s">
        <v>721</v>
      </c>
      <c r="B668" s="1">
        <v>46200</v>
      </c>
      <c r="C668" t="s">
        <v>24</v>
      </c>
      <c r="D668" t="s">
        <v>34</v>
      </c>
      <c r="E668" t="s">
        <v>20</v>
      </c>
      <c r="F668" t="s">
        <v>35</v>
      </c>
      <c r="G668">
        <v>3</v>
      </c>
      <c r="H668">
        <v>3500</v>
      </c>
      <c r="I668">
        <v>0.05</v>
      </c>
      <c r="J668">
        <v>10500</v>
      </c>
      <c r="K668">
        <v>9975</v>
      </c>
      <c r="L668">
        <v>7140.0000000000009</v>
      </c>
      <c r="M668">
        <v>809</v>
      </c>
      <c r="N668">
        <v>2084</v>
      </c>
      <c r="O668">
        <v>-58.000000000000909</v>
      </c>
      <c r="P668">
        <v>-5.8145363408522218E-3</v>
      </c>
      <c r="Q668" t="s">
        <v>135</v>
      </c>
    </row>
    <row r="669" spans="1:17">
      <c r="A669" t="s">
        <v>722</v>
      </c>
      <c r="B669" s="1">
        <v>45767</v>
      </c>
      <c r="C669" t="s">
        <v>75</v>
      </c>
      <c r="D669" t="s">
        <v>34</v>
      </c>
      <c r="E669" t="s">
        <v>26</v>
      </c>
      <c r="F669" t="s">
        <v>35</v>
      </c>
      <c r="G669">
        <v>2</v>
      </c>
      <c r="H669">
        <v>65000</v>
      </c>
      <c r="I669">
        <v>0.05</v>
      </c>
      <c r="J669">
        <v>130000</v>
      </c>
      <c r="K669">
        <v>123500</v>
      </c>
      <c r="L669">
        <v>109200</v>
      </c>
      <c r="M669">
        <v>1184</v>
      </c>
      <c r="N669">
        <v>1330</v>
      </c>
      <c r="O669">
        <v>11786</v>
      </c>
      <c r="P669">
        <v>9.5433198380566797E-2</v>
      </c>
      <c r="Q669" t="s">
        <v>41</v>
      </c>
    </row>
    <row r="670" spans="1:17">
      <c r="A670" t="s">
        <v>723</v>
      </c>
      <c r="B670" s="1">
        <v>46134</v>
      </c>
      <c r="C670" t="s">
        <v>75</v>
      </c>
      <c r="D670" t="s">
        <v>34</v>
      </c>
      <c r="E670" t="s">
        <v>20</v>
      </c>
      <c r="F670" t="s">
        <v>27</v>
      </c>
      <c r="G670">
        <v>2</v>
      </c>
      <c r="H670">
        <v>65000</v>
      </c>
      <c r="I670">
        <v>0.15</v>
      </c>
      <c r="J670">
        <v>130000</v>
      </c>
      <c r="K670">
        <v>110500</v>
      </c>
      <c r="L670">
        <v>109200</v>
      </c>
      <c r="M670">
        <v>1096</v>
      </c>
      <c r="N670">
        <v>919</v>
      </c>
      <c r="O670">
        <v>-715</v>
      </c>
      <c r="P670">
        <v>-6.4705882352941177E-3</v>
      </c>
      <c r="Q670" t="s">
        <v>65</v>
      </c>
    </row>
    <row r="671" spans="1:17">
      <c r="A671" t="s">
        <v>724</v>
      </c>
      <c r="B671" s="1">
        <v>45711</v>
      </c>
      <c r="C671" t="s">
        <v>50</v>
      </c>
      <c r="D671" t="s">
        <v>25</v>
      </c>
      <c r="E671" t="s">
        <v>26</v>
      </c>
      <c r="F671" t="s">
        <v>21</v>
      </c>
      <c r="G671">
        <v>5</v>
      </c>
      <c r="H671">
        <v>2500</v>
      </c>
      <c r="I671">
        <v>0.15</v>
      </c>
      <c r="J671">
        <v>12500</v>
      </c>
      <c r="K671">
        <v>10625</v>
      </c>
      <c r="L671">
        <v>7750</v>
      </c>
      <c r="M671">
        <v>691</v>
      </c>
      <c r="N671">
        <v>160</v>
      </c>
      <c r="O671">
        <v>2024</v>
      </c>
      <c r="P671">
        <v>0.19049411764705881</v>
      </c>
      <c r="Q671" t="s">
        <v>47</v>
      </c>
    </row>
    <row r="672" spans="1:17">
      <c r="A672" t="s">
        <v>725</v>
      </c>
      <c r="B672" s="1">
        <v>45819</v>
      </c>
      <c r="C672" t="s">
        <v>30</v>
      </c>
      <c r="D672" t="s">
        <v>34</v>
      </c>
      <c r="E672" t="s">
        <v>38</v>
      </c>
      <c r="F672" t="s">
        <v>21</v>
      </c>
      <c r="G672">
        <v>3</v>
      </c>
      <c r="H672">
        <v>28000</v>
      </c>
      <c r="I672">
        <v>0</v>
      </c>
      <c r="J672">
        <v>84000</v>
      </c>
      <c r="K672">
        <v>84000</v>
      </c>
      <c r="L672">
        <v>65520</v>
      </c>
      <c r="M672">
        <v>734</v>
      </c>
      <c r="N672">
        <v>2255</v>
      </c>
      <c r="O672">
        <v>15491</v>
      </c>
      <c r="P672">
        <v>0.1844166666666667</v>
      </c>
      <c r="Q672" t="s">
        <v>39</v>
      </c>
    </row>
    <row r="673" spans="1:17">
      <c r="A673" t="s">
        <v>726</v>
      </c>
      <c r="B673" s="1">
        <v>46091</v>
      </c>
      <c r="C673" t="s">
        <v>46</v>
      </c>
      <c r="D673" t="s">
        <v>51</v>
      </c>
      <c r="E673" t="s">
        <v>20</v>
      </c>
      <c r="F673" t="s">
        <v>21</v>
      </c>
      <c r="G673">
        <v>3</v>
      </c>
      <c r="H673">
        <v>18000</v>
      </c>
      <c r="I673">
        <v>0.08</v>
      </c>
      <c r="J673">
        <v>54000</v>
      </c>
      <c r="K673">
        <v>49680</v>
      </c>
      <c r="L673">
        <v>43200</v>
      </c>
      <c r="M673">
        <v>201</v>
      </c>
      <c r="N673">
        <v>1133</v>
      </c>
      <c r="O673">
        <v>5146</v>
      </c>
      <c r="P673">
        <v>0.1035829307568438</v>
      </c>
      <c r="Q673" t="s">
        <v>98</v>
      </c>
    </row>
    <row r="674" spans="1:17">
      <c r="A674" t="s">
        <v>727</v>
      </c>
      <c r="B674" s="1">
        <v>46158</v>
      </c>
      <c r="C674" t="s">
        <v>61</v>
      </c>
      <c r="D674" t="s">
        <v>25</v>
      </c>
      <c r="E674" t="s">
        <v>20</v>
      </c>
      <c r="F674" t="s">
        <v>35</v>
      </c>
      <c r="G674">
        <v>1</v>
      </c>
      <c r="H674">
        <v>4500</v>
      </c>
      <c r="I674">
        <v>0.08</v>
      </c>
      <c r="J674">
        <v>4500</v>
      </c>
      <c r="K674">
        <v>4140</v>
      </c>
      <c r="L674">
        <v>2925</v>
      </c>
      <c r="M674">
        <v>637</v>
      </c>
      <c r="N674">
        <v>850</v>
      </c>
      <c r="O674">
        <v>-272</v>
      </c>
      <c r="P674">
        <v>-6.5700483091787443E-2</v>
      </c>
      <c r="Q674" t="s">
        <v>73</v>
      </c>
    </row>
    <row r="675" spans="1:17">
      <c r="A675" t="s">
        <v>728</v>
      </c>
      <c r="B675" s="1">
        <v>45701</v>
      </c>
      <c r="C675" t="s">
        <v>24</v>
      </c>
      <c r="D675" t="s">
        <v>19</v>
      </c>
      <c r="E675" t="s">
        <v>20</v>
      </c>
      <c r="F675" t="s">
        <v>35</v>
      </c>
      <c r="G675">
        <v>1</v>
      </c>
      <c r="H675">
        <v>3500</v>
      </c>
      <c r="I675">
        <v>0</v>
      </c>
      <c r="J675">
        <v>3500</v>
      </c>
      <c r="K675">
        <v>3500</v>
      </c>
      <c r="L675">
        <v>2380</v>
      </c>
      <c r="M675">
        <v>1633</v>
      </c>
      <c r="N675">
        <v>490</v>
      </c>
      <c r="O675">
        <v>-1003</v>
      </c>
      <c r="P675">
        <v>-0.28657142857142859</v>
      </c>
      <c r="Q675" t="s">
        <v>47</v>
      </c>
    </row>
    <row r="676" spans="1:17">
      <c r="A676" t="s">
        <v>729</v>
      </c>
      <c r="B676" s="1">
        <v>45991</v>
      </c>
      <c r="C676" t="s">
        <v>24</v>
      </c>
      <c r="D676" t="s">
        <v>51</v>
      </c>
      <c r="E676" t="s">
        <v>20</v>
      </c>
      <c r="F676" t="s">
        <v>21</v>
      </c>
      <c r="G676">
        <v>7</v>
      </c>
      <c r="H676">
        <v>3500</v>
      </c>
      <c r="I676">
        <v>0.05</v>
      </c>
      <c r="J676">
        <v>24500</v>
      </c>
      <c r="K676">
        <v>23275</v>
      </c>
      <c r="L676">
        <v>16660</v>
      </c>
      <c r="M676">
        <v>384</v>
      </c>
      <c r="N676">
        <v>1690</v>
      </c>
      <c r="O676">
        <v>4541</v>
      </c>
      <c r="P676">
        <v>0.19510204081632651</v>
      </c>
      <c r="Q676" t="s">
        <v>28</v>
      </c>
    </row>
    <row r="677" spans="1:17">
      <c r="A677" t="s">
        <v>730</v>
      </c>
      <c r="B677" s="1">
        <v>45944</v>
      </c>
      <c r="C677" t="s">
        <v>18</v>
      </c>
      <c r="D677" t="s">
        <v>25</v>
      </c>
      <c r="E677" t="s">
        <v>38</v>
      </c>
      <c r="F677" t="s">
        <v>21</v>
      </c>
      <c r="G677">
        <v>1</v>
      </c>
      <c r="H677">
        <v>32000</v>
      </c>
      <c r="I677">
        <v>0</v>
      </c>
      <c r="J677">
        <v>32000</v>
      </c>
      <c r="K677">
        <v>32000</v>
      </c>
      <c r="L677">
        <v>26240</v>
      </c>
      <c r="M677">
        <v>368</v>
      </c>
      <c r="N677">
        <v>2179</v>
      </c>
      <c r="O677">
        <v>3213</v>
      </c>
      <c r="P677">
        <v>0.10040625</v>
      </c>
      <c r="Q677" t="s">
        <v>88</v>
      </c>
    </row>
    <row r="678" spans="1:17">
      <c r="A678" t="s">
        <v>731</v>
      </c>
      <c r="B678" s="1">
        <v>45783</v>
      </c>
      <c r="C678" t="s">
        <v>24</v>
      </c>
      <c r="D678" t="s">
        <v>31</v>
      </c>
      <c r="E678" t="s">
        <v>20</v>
      </c>
      <c r="F678" t="s">
        <v>35</v>
      </c>
      <c r="G678">
        <v>6</v>
      </c>
      <c r="H678">
        <v>3500</v>
      </c>
      <c r="I678">
        <v>0.08</v>
      </c>
      <c r="J678">
        <v>21000</v>
      </c>
      <c r="K678">
        <v>19320</v>
      </c>
      <c r="L678">
        <v>14280</v>
      </c>
      <c r="M678">
        <v>717</v>
      </c>
      <c r="N678">
        <v>325</v>
      </c>
      <c r="O678">
        <v>3997.9999999999982</v>
      </c>
      <c r="P678">
        <v>0.20693581780538289</v>
      </c>
      <c r="Q678" t="s">
        <v>22</v>
      </c>
    </row>
    <row r="679" spans="1:17">
      <c r="A679" t="s">
        <v>732</v>
      </c>
      <c r="B679" s="1">
        <v>45689</v>
      </c>
      <c r="C679" t="s">
        <v>18</v>
      </c>
      <c r="D679" t="s">
        <v>34</v>
      </c>
      <c r="E679" t="s">
        <v>38</v>
      </c>
      <c r="F679" t="s">
        <v>35</v>
      </c>
      <c r="G679">
        <v>3</v>
      </c>
      <c r="H679">
        <v>32000</v>
      </c>
      <c r="I679">
        <v>0.05</v>
      </c>
      <c r="J679">
        <v>96000</v>
      </c>
      <c r="K679">
        <v>91200</v>
      </c>
      <c r="L679">
        <v>78720</v>
      </c>
      <c r="M679">
        <v>255</v>
      </c>
      <c r="N679">
        <v>819</v>
      </c>
      <c r="O679">
        <v>11406</v>
      </c>
      <c r="P679">
        <v>0.12506578947368421</v>
      </c>
      <c r="Q679" t="s">
        <v>47</v>
      </c>
    </row>
    <row r="680" spans="1:17">
      <c r="A680" t="s">
        <v>733</v>
      </c>
      <c r="B680" s="1">
        <v>45949</v>
      </c>
      <c r="C680" t="s">
        <v>61</v>
      </c>
      <c r="D680" t="s">
        <v>25</v>
      </c>
      <c r="E680" t="s">
        <v>38</v>
      </c>
      <c r="F680" t="s">
        <v>35</v>
      </c>
      <c r="G680">
        <v>3</v>
      </c>
      <c r="H680">
        <v>4500</v>
      </c>
      <c r="I680">
        <v>0.1</v>
      </c>
      <c r="J680">
        <v>13500</v>
      </c>
      <c r="K680">
        <v>12150</v>
      </c>
      <c r="L680">
        <v>8775</v>
      </c>
      <c r="M680">
        <v>329</v>
      </c>
      <c r="N680">
        <v>738</v>
      </c>
      <c r="O680">
        <v>2308</v>
      </c>
      <c r="P680">
        <v>0.1899588477366255</v>
      </c>
      <c r="Q680" t="s">
        <v>88</v>
      </c>
    </row>
    <row r="681" spans="1:17">
      <c r="A681" t="s">
        <v>734</v>
      </c>
      <c r="B681" s="1">
        <v>45731</v>
      </c>
      <c r="C681" t="s">
        <v>18</v>
      </c>
      <c r="D681" t="s">
        <v>63</v>
      </c>
      <c r="E681" t="s">
        <v>26</v>
      </c>
      <c r="F681" t="s">
        <v>35</v>
      </c>
      <c r="G681">
        <v>2</v>
      </c>
      <c r="H681">
        <v>32000</v>
      </c>
      <c r="I681">
        <v>0</v>
      </c>
      <c r="J681">
        <v>64000</v>
      </c>
      <c r="K681">
        <v>64000</v>
      </c>
      <c r="L681">
        <v>52480</v>
      </c>
      <c r="M681">
        <v>1185</v>
      </c>
      <c r="N681">
        <v>1092</v>
      </c>
      <c r="O681">
        <v>9243</v>
      </c>
      <c r="P681">
        <v>0.14442187500000001</v>
      </c>
      <c r="Q681" t="s">
        <v>68</v>
      </c>
    </row>
    <row r="682" spans="1:17">
      <c r="A682" t="s">
        <v>735</v>
      </c>
      <c r="B682" s="1">
        <v>45777</v>
      </c>
      <c r="C682" t="s">
        <v>61</v>
      </c>
      <c r="D682" t="s">
        <v>63</v>
      </c>
      <c r="E682" t="s">
        <v>20</v>
      </c>
      <c r="F682" t="s">
        <v>27</v>
      </c>
      <c r="G682">
        <v>1</v>
      </c>
      <c r="H682">
        <v>4500</v>
      </c>
      <c r="I682">
        <v>0</v>
      </c>
      <c r="J682">
        <v>4500</v>
      </c>
      <c r="K682">
        <v>4500</v>
      </c>
      <c r="L682">
        <v>2925</v>
      </c>
      <c r="M682">
        <v>1647</v>
      </c>
      <c r="N682">
        <v>465</v>
      </c>
      <c r="O682">
        <v>-537</v>
      </c>
      <c r="P682">
        <v>-0.11933333333333331</v>
      </c>
      <c r="Q682" t="s">
        <v>41</v>
      </c>
    </row>
    <row r="683" spans="1:17">
      <c r="A683" t="s">
        <v>736</v>
      </c>
      <c r="B683" s="1">
        <v>45774</v>
      </c>
      <c r="C683" t="s">
        <v>30</v>
      </c>
      <c r="D683" t="s">
        <v>25</v>
      </c>
      <c r="E683" t="s">
        <v>38</v>
      </c>
      <c r="F683" t="s">
        <v>35</v>
      </c>
      <c r="G683">
        <v>1</v>
      </c>
      <c r="H683">
        <v>28000</v>
      </c>
      <c r="I683">
        <v>0.03</v>
      </c>
      <c r="J683">
        <v>28000</v>
      </c>
      <c r="K683">
        <v>27160</v>
      </c>
      <c r="L683">
        <v>21840</v>
      </c>
      <c r="M683">
        <v>1183</v>
      </c>
      <c r="N683">
        <v>1396</v>
      </c>
      <c r="O683">
        <v>2741</v>
      </c>
      <c r="P683">
        <v>0.100920471281296</v>
      </c>
      <c r="Q683" t="s">
        <v>41</v>
      </c>
    </row>
    <row r="684" spans="1:17">
      <c r="A684" t="s">
        <v>737</v>
      </c>
      <c r="B684" s="1">
        <v>45809</v>
      </c>
      <c r="C684" t="s">
        <v>50</v>
      </c>
      <c r="D684" t="s">
        <v>25</v>
      </c>
      <c r="E684" t="s">
        <v>26</v>
      </c>
      <c r="F684" t="s">
        <v>35</v>
      </c>
      <c r="G684">
        <v>5</v>
      </c>
      <c r="H684">
        <v>2500</v>
      </c>
      <c r="I684">
        <v>0.08</v>
      </c>
      <c r="J684">
        <v>12500</v>
      </c>
      <c r="K684">
        <v>11500</v>
      </c>
      <c r="L684">
        <v>7750</v>
      </c>
      <c r="M684">
        <v>894</v>
      </c>
      <c r="N684">
        <v>1024</v>
      </c>
      <c r="O684">
        <v>1832</v>
      </c>
      <c r="P684">
        <v>0.15930434782608699</v>
      </c>
      <c r="Q684" t="s">
        <v>39</v>
      </c>
    </row>
    <row r="685" spans="1:17">
      <c r="A685" t="s">
        <v>738</v>
      </c>
      <c r="B685" s="1">
        <v>45671</v>
      </c>
      <c r="C685" t="s">
        <v>46</v>
      </c>
      <c r="D685" t="s">
        <v>63</v>
      </c>
      <c r="E685" t="s">
        <v>20</v>
      </c>
      <c r="F685" t="s">
        <v>35</v>
      </c>
      <c r="G685">
        <v>1</v>
      </c>
      <c r="H685">
        <v>18000</v>
      </c>
      <c r="I685">
        <v>0.08</v>
      </c>
      <c r="J685">
        <v>18000</v>
      </c>
      <c r="K685">
        <v>16560</v>
      </c>
      <c r="L685">
        <v>14400</v>
      </c>
      <c r="M685">
        <v>1752</v>
      </c>
      <c r="N685">
        <v>2220</v>
      </c>
      <c r="O685">
        <v>-1812</v>
      </c>
      <c r="P685">
        <v>-0.1094202898550725</v>
      </c>
      <c r="Q685" t="s">
        <v>56</v>
      </c>
    </row>
    <row r="686" spans="1:17">
      <c r="A686" t="s">
        <v>739</v>
      </c>
      <c r="B686" s="1">
        <v>45922</v>
      </c>
      <c r="C686" t="s">
        <v>50</v>
      </c>
      <c r="D686" t="s">
        <v>51</v>
      </c>
      <c r="E686" t="s">
        <v>20</v>
      </c>
      <c r="F686" t="s">
        <v>21</v>
      </c>
      <c r="G686">
        <v>4</v>
      </c>
      <c r="H686">
        <v>2500</v>
      </c>
      <c r="I686">
        <v>0.08</v>
      </c>
      <c r="J686">
        <v>10000</v>
      </c>
      <c r="K686">
        <v>9200</v>
      </c>
      <c r="L686">
        <v>6200</v>
      </c>
      <c r="M686">
        <v>758</v>
      </c>
      <c r="N686">
        <v>2254</v>
      </c>
      <c r="O686">
        <v>-12</v>
      </c>
      <c r="P686">
        <v>-1.3043478260869571E-3</v>
      </c>
      <c r="Q686" t="s">
        <v>32</v>
      </c>
    </row>
    <row r="687" spans="1:17">
      <c r="A687" t="s">
        <v>740</v>
      </c>
      <c r="B687" s="1">
        <v>45811</v>
      </c>
      <c r="C687" t="s">
        <v>24</v>
      </c>
      <c r="D687" t="s">
        <v>25</v>
      </c>
      <c r="E687" t="s">
        <v>20</v>
      </c>
      <c r="F687" t="s">
        <v>21</v>
      </c>
      <c r="G687">
        <v>7</v>
      </c>
      <c r="H687">
        <v>3500</v>
      </c>
      <c r="I687">
        <v>0.1</v>
      </c>
      <c r="J687">
        <v>24500</v>
      </c>
      <c r="K687">
        <v>22050</v>
      </c>
      <c r="L687">
        <v>16660</v>
      </c>
      <c r="M687">
        <v>737</v>
      </c>
      <c r="N687">
        <v>828</v>
      </c>
      <c r="O687">
        <v>3825</v>
      </c>
      <c r="P687">
        <v>0.17346938775510201</v>
      </c>
      <c r="Q687" t="s">
        <v>39</v>
      </c>
    </row>
    <row r="688" spans="1:17">
      <c r="A688" t="s">
        <v>741</v>
      </c>
      <c r="B688" s="1">
        <v>45930</v>
      </c>
      <c r="C688" t="s">
        <v>46</v>
      </c>
      <c r="D688" t="s">
        <v>31</v>
      </c>
      <c r="E688" t="s">
        <v>26</v>
      </c>
      <c r="F688" t="s">
        <v>21</v>
      </c>
      <c r="G688">
        <v>1</v>
      </c>
      <c r="H688">
        <v>18000</v>
      </c>
      <c r="I688">
        <v>0.03</v>
      </c>
      <c r="J688">
        <v>18000</v>
      </c>
      <c r="K688">
        <v>17460</v>
      </c>
      <c r="L688">
        <v>14400</v>
      </c>
      <c r="M688">
        <v>1009</v>
      </c>
      <c r="N688">
        <v>886</v>
      </c>
      <c r="O688">
        <v>1165</v>
      </c>
      <c r="P688">
        <v>6.672394043528064E-2</v>
      </c>
      <c r="Q688" t="s">
        <v>32</v>
      </c>
    </row>
    <row r="689" spans="1:17">
      <c r="A689" t="s">
        <v>742</v>
      </c>
      <c r="B689" s="1">
        <v>46012</v>
      </c>
      <c r="C689" t="s">
        <v>18</v>
      </c>
      <c r="D689" t="s">
        <v>31</v>
      </c>
      <c r="E689" t="s">
        <v>26</v>
      </c>
      <c r="F689" t="s">
        <v>21</v>
      </c>
      <c r="G689">
        <v>3</v>
      </c>
      <c r="H689">
        <v>32000</v>
      </c>
      <c r="I689">
        <v>0.05</v>
      </c>
      <c r="J689">
        <v>96000</v>
      </c>
      <c r="K689">
        <v>91200</v>
      </c>
      <c r="L689">
        <v>78720</v>
      </c>
      <c r="M689">
        <v>766</v>
      </c>
      <c r="N689">
        <v>765</v>
      </c>
      <c r="O689">
        <v>10949</v>
      </c>
      <c r="P689">
        <v>0.1200548245614035</v>
      </c>
      <c r="Q689" t="s">
        <v>80</v>
      </c>
    </row>
    <row r="690" spans="1:17">
      <c r="A690" t="s">
        <v>743</v>
      </c>
      <c r="B690" s="1">
        <v>45786</v>
      </c>
      <c r="C690" t="s">
        <v>61</v>
      </c>
      <c r="D690" t="s">
        <v>63</v>
      </c>
      <c r="E690" t="s">
        <v>20</v>
      </c>
      <c r="F690" t="s">
        <v>35</v>
      </c>
      <c r="G690">
        <v>6</v>
      </c>
      <c r="H690">
        <v>4500</v>
      </c>
      <c r="I690">
        <v>0.08</v>
      </c>
      <c r="J690">
        <v>27000</v>
      </c>
      <c r="K690">
        <v>24840</v>
      </c>
      <c r="L690">
        <v>17550</v>
      </c>
      <c r="M690">
        <v>607</v>
      </c>
      <c r="N690">
        <v>1312</v>
      </c>
      <c r="O690">
        <v>5371</v>
      </c>
      <c r="P690">
        <v>0.21622383252818039</v>
      </c>
      <c r="Q690" t="s">
        <v>22</v>
      </c>
    </row>
    <row r="691" spans="1:17">
      <c r="A691" t="s">
        <v>744</v>
      </c>
      <c r="B691" s="1">
        <v>45791</v>
      </c>
      <c r="C691" t="s">
        <v>46</v>
      </c>
      <c r="D691" t="s">
        <v>31</v>
      </c>
      <c r="E691" t="s">
        <v>20</v>
      </c>
      <c r="F691" t="s">
        <v>21</v>
      </c>
      <c r="G691">
        <v>2</v>
      </c>
      <c r="H691">
        <v>18000</v>
      </c>
      <c r="I691">
        <v>0.08</v>
      </c>
      <c r="J691">
        <v>36000</v>
      </c>
      <c r="K691">
        <v>33120</v>
      </c>
      <c r="L691">
        <v>28800</v>
      </c>
      <c r="M691">
        <v>686</v>
      </c>
      <c r="N691">
        <v>959</v>
      </c>
      <c r="O691">
        <v>2675</v>
      </c>
      <c r="P691">
        <v>8.0766908212560384E-2</v>
      </c>
      <c r="Q691" t="s">
        <v>22</v>
      </c>
    </row>
    <row r="692" spans="1:17">
      <c r="A692" t="s">
        <v>745</v>
      </c>
      <c r="B692" s="1">
        <v>45778</v>
      </c>
      <c r="C692" t="s">
        <v>50</v>
      </c>
      <c r="D692" t="s">
        <v>51</v>
      </c>
      <c r="E692" t="s">
        <v>20</v>
      </c>
      <c r="F692" t="s">
        <v>35</v>
      </c>
      <c r="G692">
        <v>2</v>
      </c>
      <c r="H692">
        <v>2500</v>
      </c>
      <c r="I692">
        <v>0.03</v>
      </c>
      <c r="J692">
        <v>5000</v>
      </c>
      <c r="K692">
        <v>4850</v>
      </c>
      <c r="L692">
        <v>3100</v>
      </c>
      <c r="M692">
        <v>398</v>
      </c>
      <c r="N692">
        <v>637</v>
      </c>
      <c r="O692">
        <v>715</v>
      </c>
      <c r="P692">
        <v>0.14742268041237111</v>
      </c>
      <c r="Q692" t="s">
        <v>22</v>
      </c>
    </row>
    <row r="693" spans="1:17">
      <c r="A693" t="s">
        <v>746</v>
      </c>
      <c r="B693" s="1">
        <v>45943</v>
      </c>
      <c r="C693" t="s">
        <v>53</v>
      </c>
      <c r="D693" t="s">
        <v>63</v>
      </c>
      <c r="E693" t="s">
        <v>38</v>
      </c>
      <c r="F693" t="s">
        <v>21</v>
      </c>
      <c r="G693">
        <v>5</v>
      </c>
      <c r="H693">
        <v>1500</v>
      </c>
      <c r="I693">
        <v>0.05</v>
      </c>
      <c r="J693">
        <v>7500</v>
      </c>
      <c r="K693">
        <v>7125</v>
      </c>
      <c r="L693">
        <v>4125</v>
      </c>
      <c r="M693">
        <v>1737</v>
      </c>
      <c r="N693">
        <v>497</v>
      </c>
      <c r="O693">
        <v>766</v>
      </c>
      <c r="P693">
        <v>0.1075087719298246</v>
      </c>
      <c r="Q693" t="s">
        <v>88</v>
      </c>
    </row>
    <row r="694" spans="1:17">
      <c r="A694" t="s">
        <v>747</v>
      </c>
      <c r="B694" s="1">
        <v>46114</v>
      </c>
      <c r="C694" t="s">
        <v>24</v>
      </c>
      <c r="D694" t="s">
        <v>51</v>
      </c>
      <c r="E694" t="s">
        <v>26</v>
      </c>
      <c r="F694" t="s">
        <v>21</v>
      </c>
      <c r="G694">
        <v>6</v>
      </c>
      <c r="H694">
        <v>3500</v>
      </c>
      <c r="I694">
        <v>0.03</v>
      </c>
      <c r="J694">
        <v>21000</v>
      </c>
      <c r="K694">
        <v>20370</v>
      </c>
      <c r="L694">
        <v>14280</v>
      </c>
      <c r="M694">
        <v>809</v>
      </c>
      <c r="N694">
        <v>2429</v>
      </c>
      <c r="O694">
        <v>2851.9999999999982</v>
      </c>
      <c r="P694">
        <v>0.14000981836033369</v>
      </c>
      <c r="Q694" t="s">
        <v>65</v>
      </c>
    </row>
    <row r="695" spans="1:17">
      <c r="A695" t="s">
        <v>748</v>
      </c>
      <c r="B695" s="1">
        <v>45840</v>
      </c>
      <c r="C695" t="s">
        <v>53</v>
      </c>
      <c r="D695" t="s">
        <v>31</v>
      </c>
      <c r="E695" t="s">
        <v>26</v>
      </c>
      <c r="F695" t="s">
        <v>27</v>
      </c>
      <c r="G695">
        <v>2</v>
      </c>
      <c r="H695">
        <v>1500</v>
      </c>
      <c r="I695">
        <v>0.03</v>
      </c>
      <c r="J695">
        <v>3000</v>
      </c>
      <c r="K695">
        <v>2910</v>
      </c>
      <c r="L695">
        <v>1650</v>
      </c>
      <c r="M695">
        <v>757</v>
      </c>
      <c r="N695">
        <v>998</v>
      </c>
      <c r="O695">
        <v>-495.00000000000023</v>
      </c>
      <c r="P695">
        <v>-0.17010309278350519</v>
      </c>
      <c r="Q695" t="s">
        <v>36</v>
      </c>
    </row>
    <row r="696" spans="1:17">
      <c r="A696" t="s">
        <v>749</v>
      </c>
      <c r="B696" s="1">
        <v>45791</v>
      </c>
      <c r="C696" t="s">
        <v>61</v>
      </c>
      <c r="D696" t="s">
        <v>51</v>
      </c>
      <c r="E696" t="s">
        <v>38</v>
      </c>
      <c r="F696" t="s">
        <v>35</v>
      </c>
      <c r="G696">
        <v>3</v>
      </c>
      <c r="H696">
        <v>4500</v>
      </c>
      <c r="I696">
        <v>0.05</v>
      </c>
      <c r="J696">
        <v>13500</v>
      </c>
      <c r="K696">
        <v>12825</v>
      </c>
      <c r="L696">
        <v>8775</v>
      </c>
      <c r="M696">
        <v>1732</v>
      </c>
      <c r="N696">
        <v>337</v>
      </c>
      <c r="O696">
        <v>1981</v>
      </c>
      <c r="P696">
        <v>0.15446393762183239</v>
      </c>
      <c r="Q696" t="s">
        <v>22</v>
      </c>
    </row>
    <row r="697" spans="1:17">
      <c r="A697" t="s">
        <v>750</v>
      </c>
      <c r="B697" s="1">
        <v>46137</v>
      </c>
      <c r="C697" t="s">
        <v>53</v>
      </c>
      <c r="D697" t="s">
        <v>19</v>
      </c>
      <c r="E697" t="s">
        <v>20</v>
      </c>
      <c r="F697" t="s">
        <v>27</v>
      </c>
      <c r="G697">
        <v>4</v>
      </c>
      <c r="H697">
        <v>1500</v>
      </c>
      <c r="I697">
        <v>0.1</v>
      </c>
      <c r="J697">
        <v>6000</v>
      </c>
      <c r="K697">
        <v>5400</v>
      </c>
      <c r="L697">
        <v>3300</v>
      </c>
      <c r="M697">
        <v>1596</v>
      </c>
      <c r="N697">
        <v>1194</v>
      </c>
      <c r="O697">
        <v>-690.00000000000045</v>
      </c>
      <c r="P697">
        <v>-0.12777777777777791</v>
      </c>
      <c r="Q697" t="s">
        <v>65</v>
      </c>
    </row>
    <row r="698" spans="1:17">
      <c r="A698" t="s">
        <v>751</v>
      </c>
      <c r="B698" s="1">
        <v>45849</v>
      </c>
      <c r="C698" t="s">
        <v>50</v>
      </c>
      <c r="D698" t="s">
        <v>19</v>
      </c>
      <c r="E698" t="s">
        <v>20</v>
      </c>
      <c r="F698" t="s">
        <v>21</v>
      </c>
      <c r="G698">
        <v>5</v>
      </c>
      <c r="H698">
        <v>2500</v>
      </c>
      <c r="I698">
        <v>0.1</v>
      </c>
      <c r="J698">
        <v>12500</v>
      </c>
      <c r="K698">
        <v>11250</v>
      </c>
      <c r="L698">
        <v>7750</v>
      </c>
      <c r="M698">
        <v>642</v>
      </c>
      <c r="N698">
        <v>242</v>
      </c>
      <c r="O698">
        <v>2616</v>
      </c>
      <c r="P698">
        <v>0.23253333333333329</v>
      </c>
      <c r="Q698" t="s">
        <v>36</v>
      </c>
    </row>
    <row r="699" spans="1:17">
      <c r="A699" t="s">
        <v>752</v>
      </c>
      <c r="B699" s="1">
        <v>46186</v>
      </c>
      <c r="C699" t="s">
        <v>24</v>
      </c>
      <c r="D699" t="s">
        <v>25</v>
      </c>
      <c r="E699" t="s">
        <v>20</v>
      </c>
      <c r="F699" t="s">
        <v>35</v>
      </c>
      <c r="G699">
        <v>1</v>
      </c>
      <c r="H699">
        <v>3500</v>
      </c>
      <c r="I699">
        <v>0.08</v>
      </c>
      <c r="J699">
        <v>3500</v>
      </c>
      <c r="K699">
        <v>3220</v>
      </c>
      <c r="L699">
        <v>2380</v>
      </c>
      <c r="M699">
        <v>292</v>
      </c>
      <c r="N699">
        <v>2089</v>
      </c>
      <c r="O699">
        <v>-1541</v>
      </c>
      <c r="P699">
        <v>-0.47857142857142859</v>
      </c>
      <c r="Q699" t="s">
        <v>135</v>
      </c>
    </row>
    <row r="700" spans="1:17">
      <c r="A700" t="s">
        <v>753</v>
      </c>
      <c r="B700" s="1">
        <v>46183</v>
      </c>
      <c r="C700" t="s">
        <v>50</v>
      </c>
      <c r="D700" t="s">
        <v>34</v>
      </c>
      <c r="E700" t="s">
        <v>26</v>
      </c>
      <c r="F700" t="s">
        <v>35</v>
      </c>
      <c r="G700">
        <v>6</v>
      </c>
      <c r="H700">
        <v>2500</v>
      </c>
      <c r="I700">
        <v>0.15</v>
      </c>
      <c r="J700">
        <v>15000</v>
      </c>
      <c r="K700">
        <v>12750</v>
      </c>
      <c r="L700">
        <v>9300</v>
      </c>
      <c r="M700">
        <v>671</v>
      </c>
      <c r="N700">
        <v>646</v>
      </c>
      <c r="O700">
        <v>2133</v>
      </c>
      <c r="P700">
        <v>0.16729411764705879</v>
      </c>
      <c r="Q700" t="s">
        <v>135</v>
      </c>
    </row>
    <row r="701" spans="1:17">
      <c r="A701" t="s">
        <v>754</v>
      </c>
      <c r="B701" s="1">
        <v>46173</v>
      </c>
      <c r="C701" t="s">
        <v>18</v>
      </c>
      <c r="D701" t="s">
        <v>25</v>
      </c>
      <c r="E701" t="s">
        <v>20</v>
      </c>
      <c r="F701" t="s">
        <v>35</v>
      </c>
      <c r="G701">
        <v>2</v>
      </c>
      <c r="H701">
        <v>32000</v>
      </c>
      <c r="I701">
        <v>0.08</v>
      </c>
      <c r="J701">
        <v>64000</v>
      </c>
      <c r="K701">
        <v>58880</v>
      </c>
      <c r="L701">
        <v>52480</v>
      </c>
      <c r="M701">
        <v>721</v>
      </c>
      <c r="N701">
        <v>733</v>
      </c>
      <c r="O701">
        <v>4946</v>
      </c>
      <c r="P701">
        <v>8.4001358695652173E-2</v>
      </c>
      <c r="Q701" t="s">
        <v>73</v>
      </c>
    </row>
    <row r="702" spans="1:17">
      <c r="A702" t="s">
        <v>755</v>
      </c>
      <c r="B702" s="1">
        <v>45669</v>
      </c>
      <c r="C702" t="s">
        <v>61</v>
      </c>
      <c r="D702" t="s">
        <v>63</v>
      </c>
      <c r="E702" t="s">
        <v>26</v>
      </c>
      <c r="F702" t="s">
        <v>35</v>
      </c>
      <c r="G702">
        <v>1</v>
      </c>
      <c r="H702">
        <v>4500</v>
      </c>
      <c r="I702">
        <v>0.2</v>
      </c>
      <c r="J702">
        <v>4500</v>
      </c>
      <c r="K702">
        <v>3600</v>
      </c>
      <c r="L702">
        <v>2925</v>
      </c>
      <c r="M702">
        <v>396</v>
      </c>
      <c r="N702">
        <v>118</v>
      </c>
      <c r="O702">
        <v>161</v>
      </c>
      <c r="P702">
        <v>4.4722222222222219E-2</v>
      </c>
      <c r="Q702" t="s">
        <v>56</v>
      </c>
    </row>
    <row r="703" spans="1:17">
      <c r="A703" t="s">
        <v>756</v>
      </c>
      <c r="B703" s="1">
        <v>46177</v>
      </c>
      <c r="C703" t="s">
        <v>24</v>
      </c>
      <c r="D703" t="s">
        <v>25</v>
      </c>
      <c r="E703" t="s">
        <v>20</v>
      </c>
      <c r="F703" t="s">
        <v>21</v>
      </c>
      <c r="G703">
        <v>3</v>
      </c>
      <c r="H703">
        <v>3500</v>
      </c>
      <c r="I703">
        <v>0.05</v>
      </c>
      <c r="J703">
        <v>10500</v>
      </c>
      <c r="K703">
        <v>9975</v>
      </c>
      <c r="L703">
        <v>7140.0000000000009</v>
      </c>
      <c r="M703">
        <v>1664</v>
      </c>
      <c r="N703">
        <v>1125</v>
      </c>
      <c r="O703">
        <v>45.999999999999091</v>
      </c>
      <c r="P703">
        <v>4.6115288220550466E-3</v>
      </c>
      <c r="Q703" t="s">
        <v>135</v>
      </c>
    </row>
    <row r="704" spans="1:17">
      <c r="A704" t="s">
        <v>757</v>
      </c>
      <c r="B704" s="1">
        <v>46117</v>
      </c>
      <c r="C704" t="s">
        <v>30</v>
      </c>
      <c r="D704" t="s">
        <v>51</v>
      </c>
      <c r="E704" t="s">
        <v>26</v>
      </c>
      <c r="F704" t="s">
        <v>35</v>
      </c>
      <c r="G704">
        <v>1</v>
      </c>
      <c r="H704">
        <v>28000</v>
      </c>
      <c r="I704">
        <v>0.1</v>
      </c>
      <c r="J704">
        <v>28000</v>
      </c>
      <c r="K704">
        <v>25200</v>
      </c>
      <c r="L704">
        <v>21840</v>
      </c>
      <c r="M704">
        <v>1231</v>
      </c>
      <c r="N704">
        <v>973</v>
      </c>
      <c r="O704">
        <v>1156</v>
      </c>
      <c r="P704">
        <v>4.5873015873015871E-2</v>
      </c>
      <c r="Q704" t="s">
        <v>65</v>
      </c>
    </row>
    <row r="705" spans="1:17">
      <c r="A705" t="s">
        <v>758</v>
      </c>
      <c r="B705" s="1">
        <v>45677</v>
      </c>
      <c r="C705" t="s">
        <v>24</v>
      </c>
      <c r="D705" t="s">
        <v>63</v>
      </c>
      <c r="E705" t="s">
        <v>20</v>
      </c>
      <c r="F705" t="s">
        <v>21</v>
      </c>
      <c r="G705">
        <v>6</v>
      </c>
      <c r="H705">
        <v>3500</v>
      </c>
      <c r="I705">
        <v>0.08</v>
      </c>
      <c r="J705">
        <v>21000</v>
      </c>
      <c r="K705">
        <v>19320</v>
      </c>
      <c r="L705">
        <v>14280</v>
      </c>
      <c r="M705">
        <v>1529</v>
      </c>
      <c r="N705">
        <v>577</v>
      </c>
      <c r="O705">
        <v>2933.9999999999982</v>
      </c>
      <c r="P705">
        <v>0.151863354037267</v>
      </c>
      <c r="Q705" t="s">
        <v>56</v>
      </c>
    </row>
    <row r="706" spans="1:17">
      <c r="A706" t="s">
        <v>759</v>
      </c>
      <c r="B706" s="1">
        <v>46032</v>
      </c>
      <c r="C706" t="s">
        <v>61</v>
      </c>
      <c r="D706" t="s">
        <v>34</v>
      </c>
      <c r="E706" t="s">
        <v>20</v>
      </c>
      <c r="F706" t="s">
        <v>21</v>
      </c>
      <c r="G706">
        <v>5</v>
      </c>
      <c r="H706">
        <v>4500</v>
      </c>
      <c r="I706">
        <v>0.05</v>
      </c>
      <c r="J706">
        <v>22500</v>
      </c>
      <c r="K706">
        <v>21375</v>
      </c>
      <c r="L706">
        <v>14625</v>
      </c>
      <c r="M706">
        <v>755</v>
      </c>
      <c r="N706">
        <v>1965</v>
      </c>
      <c r="O706">
        <v>4030</v>
      </c>
      <c r="P706">
        <v>0.18853801169590639</v>
      </c>
      <c r="Q706" t="s">
        <v>43</v>
      </c>
    </row>
    <row r="707" spans="1:17">
      <c r="A707" t="s">
        <v>760</v>
      </c>
      <c r="B707" s="1">
        <v>45727</v>
      </c>
      <c r="C707" t="s">
        <v>30</v>
      </c>
      <c r="D707" t="s">
        <v>51</v>
      </c>
      <c r="E707" t="s">
        <v>20</v>
      </c>
      <c r="F707" t="s">
        <v>21</v>
      </c>
      <c r="G707">
        <v>2</v>
      </c>
      <c r="H707">
        <v>28000</v>
      </c>
      <c r="I707">
        <v>0.05</v>
      </c>
      <c r="J707">
        <v>56000</v>
      </c>
      <c r="K707">
        <v>53200</v>
      </c>
      <c r="L707">
        <v>43680</v>
      </c>
      <c r="M707">
        <v>465</v>
      </c>
      <c r="N707">
        <v>1371</v>
      </c>
      <c r="O707">
        <v>7684</v>
      </c>
      <c r="P707">
        <v>0.14443609022556389</v>
      </c>
      <c r="Q707" t="s">
        <v>68</v>
      </c>
    </row>
    <row r="708" spans="1:17">
      <c r="A708" t="s">
        <v>761</v>
      </c>
      <c r="B708" s="1">
        <v>46009</v>
      </c>
      <c r="C708" t="s">
        <v>75</v>
      </c>
      <c r="D708" t="s">
        <v>31</v>
      </c>
      <c r="E708" t="s">
        <v>20</v>
      </c>
      <c r="F708" t="s">
        <v>35</v>
      </c>
      <c r="G708">
        <v>3</v>
      </c>
      <c r="H708">
        <v>65000</v>
      </c>
      <c r="I708">
        <v>0.1</v>
      </c>
      <c r="J708">
        <v>195000</v>
      </c>
      <c r="K708">
        <v>175500</v>
      </c>
      <c r="L708">
        <v>163800</v>
      </c>
      <c r="M708">
        <v>931</v>
      </c>
      <c r="N708">
        <v>924</v>
      </c>
      <c r="O708">
        <v>9845</v>
      </c>
      <c r="P708">
        <v>5.6096866096866087E-2</v>
      </c>
      <c r="Q708" t="s">
        <v>80</v>
      </c>
    </row>
    <row r="709" spans="1:17">
      <c r="A709" t="s">
        <v>762</v>
      </c>
      <c r="B709" s="1">
        <v>45682</v>
      </c>
      <c r="C709" t="s">
        <v>61</v>
      </c>
      <c r="D709" t="s">
        <v>19</v>
      </c>
      <c r="E709" t="s">
        <v>26</v>
      </c>
      <c r="F709" t="s">
        <v>35</v>
      </c>
      <c r="G709">
        <v>1</v>
      </c>
      <c r="H709">
        <v>4500</v>
      </c>
      <c r="I709">
        <v>0.1</v>
      </c>
      <c r="J709">
        <v>4500</v>
      </c>
      <c r="K709">
        <v>4050</v>
      </c>
      <c r="L709">
        <v>2925</v>
      </c>
      <c r="M709">
        <v>743</v>
      </c>
      <c r="N709">
        <v>1869</v>
      </c>
      <c r="O709">
        <v>-1487</v>
      </c>
      <c r="P709">
        <v>-0.36716049382716048</v>
      </c>
      <c r="Q709" t="s">
        <v>56</v>
      </c>
    </row>
    <row r="710" spans="1:17">
      <c r="A710" t="s">
        <v>763</v>
      </c>
      <c r="B710" s="1">
        <v>45889</v>
      </c>
      <c r="C710" t="s">
        <v>46</v>
      </c>
      <c r="D710" t="s">
        <v>63</v>
      </c>
      <c r="E710" t="s">
        <v>38</v>
      </c>
      <c r="F710" t="s">
        <v>35</v>
      </c>
      <c r="G710">
        <v>2</v>
      </c>
      <c r="H710">
        <v>18000</v>
      </c>
      <c r="I710">
        <v>0.05</v>
      </c>
      <c r="J710">
        <v>36000</v>
      </c>
      <c r="K710">
        <v>34200</v>
      </c>
      <c r="L710">
        <v>28800</v>
      </c>
      <c r="M710">
        <v>775</v>
      </c>
      <c r="N710">
        <v>554</v>
      </c>
      <c r="O710">
        <v>4071</v>
      </c>
      <c r="P710">
        <v>0.1190350877192982</v>
      </c>
      <c r="Q710" t="s">
        <v>58</v>
      </c>
    </row>
    <row r="711" spans="1:17">
      <c r="A711" t="s">
        <v>764</v>
      </c>
      <c r="B711" s="1">
        <v>46059</v>
      </c>
      <c r="C711" t="s">
        <v>75</v>
      </c>
      <c r="D711" t="s">
        <v>34</v>
      </c>
      <c r="E711" t="s">
        <v>20</v>
      </c>
      <c r="F711" t="s">
        <v>21</v>
      </c>
      <c r="G711">
        <v>1</v>
      </c>
      <c r="H711">
        <v>65000</v>
      </c>
      <c r="I711">
        <v>0</v>
      </c>
      <c r="J711">
        <v>65000</v>
      </c>
      <c r="K711">
        <v>65000</v>
      </c>
      <c r="L711">
        <v>54600</v>
      </c>
      <c r="M711">
        <v>634</v>
      </c>
      <c r="N711">
        <v>981</v>
      </c>
      <c r="O711">
        <v>8785</v>
      </c>
      <c r="P711">
        <v>0.13515384615384621</v>
      </c>
      <c r="Q711" t="s">
        <v>54</v>
      </c>
    </row>
    <row r="712" spans="1:17">
      <c r="A712" t="s">
        <v>765</v>
      </c>
      <c r="B712" s="1">
        <v>45834</v>
      </c>
      <c r="C712" t="s">
        <v>61</v>
      </c>
      <c r="D712" t="s">
        <v>19</v>
      </c>
      <c r="E712" t="s">
        <v>38</v>
      </c>
      <c r="F712" t="s">
        <v>21</v>
      </c>
      <c r="G712">
        <v>4</v>
      </c>
      <c r="H712">
        <v>4500</v>
      </c>
      <c r="I712">
        <v>0.03</v>
      </c>
      <c r="J712">
        <v>18000</v>
      </c>
      <c r="K712">
        <v>17460</v>
      </c>
      <c r="L712">
        <v>11700</v>
      </c>
      <c r="M712">
        <v>542</v>
      </c>
      <c r="N712">
        <v>535</v>
      </c>
      <c r="O712">
        <v>4683</v>
      </c>
      <c r="P712">
        <v>0.26821305841924398</v>
      </c>
      <c r="Q712" t="s">
        <v>39</v>
      </c>
    </row>
    <row r="713" spans="1:17">
      <c r="A713" t="s">
        <v>766</v>
      </c>
      <c r="B713" s="1">
        <v>45932</v>
      </c>
      <c r="C713" t="s">
        <v>75</v>
      </c>
      <c r="D713" t="s">
        <v>25</v>
      </c>
      <c r="E713" t="s">
        <v>26</v>
      </c>
      <c r="F713" t="s">
        <v>35</v>
      </c>
      <c r="G713">
        <v>3</v>
      </c>
      <c r="H713">
        <v>65000</v>
      </c>
      <c r="I713">
        <v>0.05</v>
      </c>
      <c r="J713">
        <v>195000</v>
      </c>
      <c r="K713">
        <v>185250</v>
      </c>
      <c r="L713">
        <v>163800</v>
      </c>
      <c r="M713">
        <v>1265</v>
      </c>
      <c r="N713">
        <v>2357</v>
      </c>
      <c r="O713">
        <v>17828</v>
      </c>
      <c r="P713">
        <v>9.6237516869095818E-2</v>
      </c>
      <c r="Q713" t="s">
        <v>88</v>
      </c>
    </row>
    <row r="714" spans="1:17">
      <c r="A714" t="s">
        <v>767</v>
      </c>
      <c r="B714" s="1">
        <v>45769</v>
      </c>
      <c r="C714" t="s">
        <v>75</v>
      </c>
      <c r="D714" t="s">
        <v>51</v>
      </c>
      <c r="E714" t="s">
        <v>20</v>
      </c>
      <c r="F714" t="s">
        <v>35</v>
      </c>
      <c r="G714">
        <v>2</v>
      </c>
      <c r="H714">
        <v>65000</v>
      </c>
      <c r="I714">
        <v>0</v>
      </c>
      <c r="J714">
        <v>130000</v>
      </c>
      <c r="K714">
        <v>130000</v>
      </c>
      <c r="L714">
        <v>109200</v>
      </c>
      <c r="M714">
        <v>1753</v>
      </c>
      <c r="N714">
        <v>156</v>
      </c>
      <c r="O714">
        <v>18891</v>
      </c>
      <c r="P714">
        <v>0.1453153846153846</v>
      </c>
      <c r="Q714" t="s">
        <v>41</v>
      </c>
    </row>
    <row r="715" spans="1:17">
      <c r="A715" t="s">
        <v>768</v>
      </c>
      <c r="B715" s="1">
        <v>45912</v>
      </c>
      <c r="C715" t="s">
        <v>50</v>
      </c>
      <c r="D715" t="s">
        <v>31</v>
      </c>
      <c r="E715" t="s">
        <v>38</v>
      </c>
      <c r="F715" t="s">
        <v>21</v>
      </c>
      <c r="G715">
        <v>5</v>
      </c>
      <c r="H715">
        <v>2500</v>
      </c>
      <c r="I715">
        <v>0.03</v>
      </c>
      <c r="J715">
        <v>12500</v>
      </c>
      <c r="K715">
        <v>12125</v>
      </c>
      <c r="L715">
        <v>7750</v>
      </c>
      <c r="M715">
        <v>815</v>
      </c>
      <c r="N715">
        <v>1373</v>
      </c>
      <c r="O715">
        <v>2187</v>
      </c>
      <c r="P715">
        <v>0.18037113402061861</v>
      </c>
      <c r="Q715" t="s">
        <v>32</v>
      </c>
    </row>
    <row r="716" spans="1:17">
      <c r="A716" t="s">
        <v>769</v>
      </c>
      <c r="B716" s="1">
        <v>45939</v>
      </c>
      <c r="C716" t="s">
        <v>30</v>
      </c>
      <c r="D716" t="s">
        <v>25</v>
      </c>
      <c r="E716" t="s">
        <v>26</v>
      </c>
      <c r="F716" t="s">
        <v>35</v>
      </c>
      <c r="G716">
        <v>1</v>
      </c>
      <c r="H716">
        <v>28000</v>
      </c>
      <c r="I716">
        <v>0.15</v>
      </c>
      <c r="J716">
        <v>28000</v>
      </c>
      <c r="K716">
        <v>23800</v>
      </c>
      <c r="L716">
        <v>21840</v>
      </c>
      <c r="M716">
        <v>1171</v>
      </c>
      <c r="N716">
        <v>1381</v>
      </c>
      <c r="O716">
        <v>-592</v>
      </c>
      <c r="P716">
        <v>-2.4873949579831928E-2</v>
      </c>
      <c r="Q716" t="s">
        <v>88</v>
      </c>
    </row>
    <row r="717" spans="1:17">
      <c r="A717" t="s">
        <v>770</v>
      </c>
      <c r="B717" s="1">
        <v>46174</v>
      </c>
      <c r="C717" t="s">
        <v>46</v>
      </c>
      <c r="D717" t="s">
        <v>19</v>
      </c>
      <c r="E717" t="s">
        <v>38</v>
      </c>
      <c r="F717" t="s">
        <v>21</v>
      </c>
      <c r="G717">
        <v>2</v>
      </c>
      <c r="H717">
        <v>18000</v>
      </c>
      <c r="I717">
        <v>0.1</v>
      </c>
      <c r="J717">
        <v>36000</v>
      </c>
      <c r="K717">
        <v>32400</v>
      </c>
      <c r="L717">
        <v>28800</v>
      </c>
      <c r="M717">
        <v>743</v>
      </c>
      <c r="N717">
        <v>1520</v>
      </c>
      <c r="O717">
        <v>1337</v>
      </c>
      <c r="P717">
        <v>4.1265432098765431E-2</v>
      </c>
      <c r="Q717" t="s">
        <v>135</v>
      </c>
    </row>
    <row r="718" spans="1:17">
      <c r="A718" t="s">
        <v>771</v>
      </c>
      <c r="B718" s="1">
        <v>45697</v>
      </c>
      <c r="C718" t="s">
        <v>24</v>
      </c>
      <c r="D718" t="s">
        <v>31</v>
      </c>
      <c r="E718" t="s">
        <v>26</v>
      </c>
      <c r="F718" t="s">
        <v>35</v>
      </c>
      <c r="G718">
        <v>6</v>
      </c>
      <c r="H718">
        <v>3500</v>
      </c>
      <c r="I718">
        <v>0.05</v>
      </c>
      <c r="J718">
        <v>21000</v>
      </c>
      <c r="K718">
        <v>19950</v>
      </c>
      <c r="L718">
        <v>14280</v>
      </c>
      <c r="M718">
        <v>1585</v>
      </c>
      <c r="N718">
        <v>859</v>
      </c>
      <c r="O718">
        <v>3225.9999999999982</v>
      </c>
      <c r="P718">
        <v>0.16170426065162899</v>
      </c>
      <c r="Q718" t="s">
        <v>47</v>
      </c>
    </row>
    <row r="719" spans="1:17">
      <c r="A719" t="s">
        <v>772</v>
      </c>
      <c r="B719" s="1">
        <v>45683</v>
      </c>
      <c r="C719" t="s">
        <v>46</v>
      </c>
      <c r="D719" t="s">
        <v>51</v>
      </c>
      <c r="E719" t="s">
        <v>20</v>
      </c>
      <c r="F719" t="s">
        <v>35</v>
      </c>
      <c r="G719">
        <v>1</v>
      </c>
      <c r="H719">
        <v>18000</v>
      </c>
      <c r="I719">
        <v>0.05</v>
      </c>
      <c r="J719">
        <v>18000</v>
      </c>
      <c r="K719">
        <v>17100</v>
      </c>
      <c r="L719">
        <v>14400</v>
      </c>
      <c r="M719">
        <v>1099</v>
      </c>
      <c r="N719">
        <v>2158</v>
      </c>
      <c r="O719">
        <v>-557</v>
      </c>
      <c r="P719">
        <v>-3.2573099415204677E-2</v>
      </c>
      <c r="Q719" t="s">
        <v>56</v>
      </c>
    </row>
    <row r="720" spans="1:17">
      <c r="A720" t="s">
        <v>773</v>
      </c>
      <c r="B720" s="1">
        <v>46118</v>
      </c>
      <c r="C720" t="s">
        <v>46</v>
      </c>
      <c r="D720" t="s">
        <v>19</v>
      </c>
      <c r="E720" t="s">
        <v>20</v>
      </c>
      <c r="F720" t="s">
        <v>21</v>
      </c>
      <c r="G720">
        <v>1</v>
      </c>
      <c r="H720">
        <v>18000</v>
      </c>
      <c r="I720">
        <v>0</v>
      </c>
      <c r="J720">
        <v>18000</v>
      </c>
      <c r="K720">
        <v>18000</v>
      </c>
      <c r="L720">
        <v>14400</v>
      </c>
      <c r="M720">
        <v>418</v>
      </c>
      <c r="N720">
        <v>1610</v>
      </c>
      <c r="O720">
        <v>1572</v>
      </c>
      <c r="P720">
        <v>8.7333333333333332E-2</v>
      </c>
      <c r="Q720" t="s">
        <v>65</v>
      </c>
    </row>
    <row r="721" spans="1:17">
      <c r="A721" t="s">
        <v>774</v>
      </c>
      <c r="B721" s="1">
        <v>46014</v>
      </c>
      <c r="C721" t="s">
        <v>53</v>
      </c>
      <c r="D721" t="s">
        <v>63</v>
      </c>
      <c r="E721" t="s">
        <v>20</v>
      </c>
      <c r="F721" t="s">
        <v>21</v>
      </c>
      <c r="G721">
        <v>7</v>
      </c>
      <c r="H721">
        <v>1500</v>
      </c>
      <c r="I721">
        <v>0</v>
      </c>
      <c r="J721">
        <v>10500</v>
      </c>
      <c r="K721">
        <v>10500</v>
      </c>
      <c r="L721">
        <v>5775.0000000000009</v>
      </c>
      <c r="M721">
        <v>1632</v>
      </c>
      <c r="N721">
        <v>2447</v>
      </c>
      <c r="O721">
        <v>645.99999999999909</v>
      </c>
      <c r="P721">
        <v>6.1523809523809439E-2</v>
      </c>
      <c r="Q721" t="s">
        <v>80</v>
      </c>
    </row>
    <row r="722" spans="1:17">
      <c r="A722" t="s">
        <v>775</v>
      </c>
      <c r="B722" s="1">
        <v>45854</v>
      </c>
      <c r="C722" t="s">
        <v>61</v>
      </c>
      <c r="D722" t="s">
        <v>25</v>
      </c>
      <c r="E722" t="s">
        <v>38</v>
      </c>
      <c r="F722" t="s">
        <v>21</v>
      </c>
      <c r="G722">
        <v>4</v>
      </c>
      <c r="H722">
        <v>4500</v>
      </c>
      <c r="I722">
        <v>0.05</v>
      </c>
      <c r="J722">
        <v>18000</v>
      </c>
      <c r="K722">
        <v>17100</v>
      </c>
      <c r="L722">
        <v>11700</v>
      </c>
      <c r="M722">
        <v>1535</v>
      </c>
      <c r="N722">
        <v>198</v>
      </c>
      <c r="O722">
        <v>3667</v>
      </c>
      <c r="P722">
        <v>0.21444444444444441</v>
      </c>
      <c r="Q722" t="s">
        <v>36</v>
      </c>
    </row>
    <row r="723" spans="1:17">
      <c r="A723" t="s">
        <v>776</v>
      </c>
      <c r="B723" s="1">
        <v>46079</v>
      </c>
      <c r="C723" t="s">
        <v>30</v>
      </c>
      <c r="D723" t="s">
        <v>31</v>
      </c>
      <c r="E723" t="s">
        <v>26</v>
      </c>
      <c r="F723" t="s">
        <v>35</v>
      </c>
      <c r="G723">
        <v>1</v>
      </c>
      <c r="H723">
        <v>28000</v>
      </c>
      <c r="I723">
        <v>0.08</v>
      </c>
      <c r="J723">
        <v>28000</v>
      </c>
      <c r="K723">
        <v>25760</v>
      </c>
      <c r="L723">
        <v>21840</v>
      </c>
      <c r="M723">
        <v>789</v>
      </c>
      <c r="N723">
        <v>1165</v>
      </c>
      <c r="O723">
        <v>1966</v>
      </c>
      <c r="P723">
        <v>7.6319875776397511E-2</v>
      </c>
      <c r="Q723" t="s">
        <v>54</v>
      </c>
    </row>
    <row r="724" spans="1:17">
      <c r="A724" t="s">
        <v>777</v>
      </c>
      <c r="B724" s="1">
        <v>46056</v>
      </c>
      <c r="C724" t="s">
        <v>75</v>
      </c>
      <c r="D724" t="s">
        <v>51</v>
      </c>
      <c r="E724" t="s">
        <v>20</v>
      </c>
      <c r="F724" t="s">
        <v>35</v>
      </c>
      <c r="G724">
        <v>1</v>
      </c>
      <c r="H724">
        <v>65000</v>
      </c>
      <c r="I724">
        <v>0.15</v>
      </c>
      <c r="J724">
        <v>65000</v>
      </c>
      <c r="K724">
        <v>55250</v>
      </c>
      <c r="L724">
        <v>54600</v>
      </c>
      <c r="M724">
        <v>576</v>
      </c>
      <c r="N724">
        <v>754</v>
      </c>
      <c r="O724">
        <v>-680</v>
      </c>
      <c r="P724">
        <v>-1.2307692307692309E-2</v>
      </c>
      <c r="Q724" t="s">
        <v>54</v>
      </c>
    </row>
    <row r="725" spans="1:17">
      <c r="A725" t="s">
        <v>778</v>
      </c>
      <c r="B725" s="1">
        <v>45938</v>
      </c>
      <c r="C725" t="s">
        <v>30</v>
      </c>
      <c r="D725" t="s">
        <v>31</v>
      </c>
      <c r="E725" t="s">
        <v>20</v>
      </c>
      <c r="F725" t="s">
        <v>21</v>
      </c>
      <c r="G725">
        <v>2</v>
      </c>
      <c r="H725">
        <v>28000</v>
      </c>
      <c r="I725">
        <v>0.2</v>
      </c>
      <c r="J725">
        <v>56000</v>
      </c>
      <c r="K725">
        <v>44800</v>
      </c>
      <c r="L725">
        <v>43680</v>
      </c>
      <c r="M725">
        <v>1047</v>
      </c>
      <c r="N725">
        <v>903</v>
      </c>
      <c r="O725">
        <v>-830</v>
      </c>
      <c r="P725">
        <v>-1.8526785714285711E-2</v>
      </c>
      <c r="Q725" t="s">
        <v>88</v>
      </c>
    </row>
    <row r="726" spans="1:17">
      <c r="A726" t="s">
        <v>779</v>
      </c>
      <c r="B726" s="1">
        <v>45720</v>
      </c>
      <c r="C726" t="s">
        <v>75</v>
      </c>
      <c r="D726" t="s">
        <v>63</v>
      </c>
      <c r="E726" t="s">
        <v>20</v>
      </c>
      <c r="F726" t="s">
        <v>21</v>
      </c>
      <c r="G726">
        <v>1</v>
      </c>
      <c r="H726">
        <v>65000</v>
      </c>
      <c r="I726">
        <v>0.15</v>
      </c>
      <c r="J726">
        <v>65000</v>
      </c>
      <c r="K726">
        <v>55250</v>
      </c>
      <c r="L726">
        <v>54600</v>
      </c>
      <c r="M726">
        <v>1138</v>
      </c>
      <c r="N726">
        <v>1633</v>
      </c>
      <c r="O726">
        <v>-2121</v>
      </c>
      <c r="P726">
        <v>-3.8389140271493212E-2</v>
      </c>
      <c r="Q726" t="s">
        <v>68</v>
      </c>
    </row>
    <row r="727" spans="1:17">
      <c r="A727" t="s">
        <v>780</v>
      </c>
      <c r="B727" s="1">
        <v>45864</v>
      </c>
      <c r="C727" t="s">
        <v>53</v>
      </c>
      <c r="D727" t="s">
        <v>31</v>
      </c>
      <c r="E727" t="s">
        <v>20</v>
      </c>
      <c r="F727" t="s">
        <v>35</v>
      </c>
      <c r="G727">
        <v>5</v>
      </c>
      <c r="H727">
        <v>1500</v>
      </c>
      <c r="I727">
        <v>0.08</v>
      </c>
      <c r="J727">
        <v>7500</v>
      </c>
      <c r="K727">
        <v>6900</v>
      </c>
      <c r="L727">
        <v>4125</v>
      </c>
      <c r="M727">
        <v>628</v>
      </c>
      <c r="N727">
        <v>533</v>
      </c>
      <c r="O727">
        <v>1614</v>
      </c>
      <c r="P727">
        <v>0.23391304347826089</v>
      </c>
      <c r="Q727" t="s">
        <v>36</v>
      </c>
    </row>
    <row r="728" spans="1:17">
      <c r="A728" t="s">
        <v>781</v>
      </c>
      <c r="B728" s="1">
        <v>45827</v>
      </c>
      <c r="C728" t="s">
        <v>24</v>
      </c>
      <c r="D728" t="s">
        <v>34</v>
      </c>
      <c r="E728" t="s">
        <v>20</v>
      </c>
      <c r="F728" t="s">
        <v>21</v>
      </c>
      <c r="G728">
        <v>2</v>
      </c>
      <c r="H728">
        <v>3500</v>
      </c>
      <c r="I728">
        <v>0.05</v>
      </c>
      <c r="J728">
        <v>7000</v>
      </c>
      <c r="K728">
        <v>6650</v>
      </c>
      <c r="L728">
        <v>4760</v>
      </c>
      <c r="M728">
        <v>1390</v>
      </c>
      <c r="N728">
        <v>350</v>
      </c>
      <c r="O728">
        <v>150</v>
      </c>
      <c r="P728">
        <v>2.2556390977443611E-2</v>
      </c>
      <c r="Q728" t="s">
        <v>39</v>
      </c>
    </row>
    <row r="729" spans="1:17">
      <c r="A729" t="s">
        <v>782</v>
      </c>
      <c r="B729" s="1">
        <v>45856</v>
      </c>
      <c r="C729" t="s">
        <v>61</v>
      </c>
      <c r="D729" t="s">
        <v>25</v>
      </c>
      <c r="E729" t="s">
        <v>38</v>
      </c>
      <c r="F729" t="s">
        <v>35</v>
      </c>
      <c r="G729">
        <v>7</v>
      </c>
      <c r="H729">
        <v>4500</v>
      </c>
      <c r="I729">
        <v>0.05</v>
      </c>
      <c r="J729">
        <v>31500</v>
      </c>
      <c r="K729">
        <v>29925</v>
      </c>
      <c r="L729">
        <v>20475</v>
      </c>
      <c r="M729">
        <v>632</v>
      </c>
      <c r="N729">
        <v>2206</v>
      </c>
      <c r="O729">
        <v>6612</v>
      </c>
      <c r="P729">
        <v>0.22095238095238101</v>
      </c>
      <c r="Q729" t="s">
        <v>36</v>
      </c>
    </row>
    <row r="730" spans="1:17">
      <c r="A730" t="s">
        <v>783</v>
      </c>
      <c r="B730" s="1">
        <v>45708</v>
      </c>
      <c r="C730" t="s">
        <v>61</v>
      </c>
      <c r="D730" t="s">
        <v>19</v>
      </c>
      <c r="E730" t="s">
        <v>26</v>
      </c>
      <c r="F730" t="s">
        <v>27</v>
      </c>
      <c r="G730">
        <v>7</v>
      </c>
      <c r="H730">
        <v>4500</v>
      </c>
      <c r="I730">
        <v>0.08</v>
      </c>
      <c r="J730">
        <v>31500</v>
      </c>
      <c r="K730">
        <v>28980</v>
      </c>
      <c r="L730">
        <v>20475</v>
      </c>
      <c r="M730">
        <v>1590</v>
      </c>
      <c r="N730">
        <v>1291</v>
      </c>
      <c r="O730">
        <v>5624</v>
      </c>
      <c r="P730">
        <v>0.19406487232574191</v>
      </c>
      <c r="Q730" t="s">
        <v>47</v>
      </c>
    </row>
    <row r="731" spans="1:17">
      <c r="A731" t="s">
        <v>784</v>
      </c>
      <c r="B731" s="1">
        <v>46196</v>
      </c>
      <c r="C731" t="s">
        <v>53</v>
      </c>
      <c r="D731" t="s">
        <v>31</v>
      </c>
      <c r="E731" t="s">
        <v>38</v>
      </c>
      <c r="F731" t="s">
        <v>35</v>
      </c>
      <c r="G731">
        <v>2</v>
      </c>
      <c r="H731">
        <v>1500</v>
      </c>
      <c r="I731">
        <v>0.08</v>
      </c>
      <c r="J731">
        <v>3000</v>
      </c>
      <c r="K731">
        <v>2760</v>
      </c>
      <c r="L731">
        <v>1650</v>
      </c>
      <c r="M731">
        <v>1590</v>
      </c>
      <c r="N731">
        <v>1584</v>
      </c>
      <c r="O731">
        <v>-2064</v>
      </c>
      <c r="P731">
        <v>-0.74782608695652175</v>
      </c>
      <c r="Q731" t="s">
        <v>135</v>
      </c>
    </row>
    <row r="732" spans="1:17">
      <c r="A732" t="s">
        <v>785</v>
      </c>
      <c r="B732" s="1">
        <v>46160</v>
      </c>
      <c r="C732" t="s">
        <v>61</v>
      </c>
      <c r="D732" t="s">
        <v>31</v>
      </c>
      <c r="E732" t="s">
        <v>20</v>
      </c>
      <c r="F732" t="s">
        <v>21</v>
      </c>
      <c r="G732">
        <v>4</v>
      </c>
      <c r="H732">
        <v>4500</v>
      </c>
      <c r="I732">
        <v>0.1</v>
      </c>
      <c r="J732">
        <v>18000</v>
      </c>
      <c r="K732">
        <v>16200</v>
      </c>
      <c r="L732">
        <v>11700</v>
      </c>
      <c r="M732">
        <v>1592</v>
      </c>
      <c r="N732">
        <v>1237</v>
      </c>
      <c r="O732">
        <v>1671</v>
      </c>
      <c r="P732">
        <v>0.1031481481481481</v>
      </c>
      <c r="Q732" t="s">
        <v>73</v>
      </c>
    </row>
    <row r="733" spans="1:17">
      <c r="A733" t="s">
        <v>786</v>
      </c>
      <c r="B733" s="1">
        <v>45808</v>
      </c>
      <c r="C733" t="s">
        <v>46</v>
      </c>
      <c r="D733" t="s">
        <v>31</v>
      </c>
      <c r="E733" t="s">
        <v>20</v>
      </c>
      <c r="F733" t="s">
        <v>35</v>
      </c>
      <c r="G733">
        <v>3</v>
      </c>
      <c r="H733">
        <v>18000</v>
      </c>
      <c r="I733">
        <v>0.15</v>
      </c>
      <c r="J733">
        <v>54000</v>
      </c>
      <c r="K733">
        <v>45900</v>
      </c>
      <c r="L733">
        <v>43200</v>
      </c>
      <c r="M733">
        <v>1469</v>
      </c>
      <c r="N733">
        <v>306</v>
      </c>
      <c r="O733">
        <v>925</v>
      </c>
      <c r="P733">
        <v>2.015250544662309E-2</v>
      </c>
      <c r="Q733" t="s">
        <v>22</v>
      </c>
    </row>
    <row r="734" spans="1:17">
      <c r="A734" t="s">
        <v>787</v>
      </c>
      <c r="B734" s="1">
        <v>45702</v>
      </c>
      <c r="C734" t="s">
        <v>75</v>
      </c>
      <c r="D734" t="s">
        <v>25</v>
      </c>
      <c r="E734" t="s">
        <v>20</v>
      </c>
      <c r="F734" t="s">
        <v>21</v>
      </c>
      <c r="G734">
        <v>2</v>
      </c>
      <c r="H734">
        <v>65000</v>
      </c>
      <c r="I734">
        <v>0.1</v>
      </c>
      <c r="J734">
        <v>130000</v>
      </c>
      <c r="K734">
        <v>117000</v>
      </c>
      <c r="L734">
        <v>109200</v>
      </c>
      <c r="M734">
        <v>602</v>
      </c>
      <c r="N734">
        <v>513</v>
      </c>
      <c r="O734">
        <v>6685</v>
      </c>
      <c r="P734">
        <v>5.7136752136752143E-2</v>
      </c>
      <c r="Q734" t="s">
        <v>47</v>
      </c>
    </row>
    <row r="735" spans="1:17">
      <c r="A735" t="s">
        <v>788</v>
      </c>
      <c r="B735" s="1">
        <v>46164</v>
      </c>
      <c r="C735" t="s">
        <v>53</v>
      </c>
      <c r="D735" t="s">
        <v>25</v>
      </c>
      <c r="E735" t="s">
        <v>38</v>
      </c>
      <c r="F735" t="s">
        <v>35</v>
      </c>
      <c r="G735">
        <v>4</v>
      </c>
      <c r="H735">
        <v>1500</v>
      </c>
      <c r="I735">
        <v>0.2</v>
      </c>
      <c r="J735">
        <v>6000</v>
      </c>
      <c r="K735">
        <v>4800</v>
      </c>
      <c r="L735">
        <v>3300</v>
      </c>
      <c r="M735">
        <v>1523</v>
      </c>
      <c r="N735">
        <v>1240</v>
      </c>
      <c r="O735">
        <v>-1263</v>
      </c>
      <c r="P735">
        <v>-0.26312500000000011</v>
      </c>
      <c r="Q735" t="s">
        <v>73</v>
      </c>
    </row>
    <row r="736" spans="1:17">
      <c r="A736" t="s">
        <v>789</v>
      </c>
      <c r="B736" s="1">
        <v>46051</v>
      </c>
      <c r="C736" t="s">
        <v>46</v>
      </c>
      <c r="D736" t="s">
        <v>25</v>
      </c>
      <c r="E736" t="s">
        <v>26</v>
      </c>
      <c r="F736" t="s">
        <v>27</v>
      </c>
      <c r="G736">
        <v>2</v>
      </c>
      <c r="H736">
        <v>18000</v>
      </c>
      <c r="I736">
        <v>0.05</v>
      </c>
      <c r="J736">
        <v>36000</v>
      </c>
      <c r="K736">
        <v>34200</v>
      </c>
      <c r="L736">
        <v>28800</v>
      </c>
      <c r="M736">
        <v>430</v>
      </c>
      <c r="N736">
        <v>552</v>
      </c>
      <c r="O736">
        <v>4418</v>
      </c>
      <c r="P736">
        <v>0.12918128654970759</v>
      </c>
      <c r="Q736" t="s">
        <v>43</v>
      </c>
    </row>
    <row r="737" spans="1:17">
      <c r="A737" t="s">
        <v>790</v>
      </c>
      <c r="B737" s="1">
        <v>45735</v>
      </c>
      <c r="C737" t="s">
        <v>50</v>
      </c>
      <c r="D737" t="s">
        <v>51</v>
      </c>
      <c r="E737" t="s">
        <v>26</v>
      </c>
      <c r="F737" t="s">
        <v>35</v>
      </c>
      <c r="G737">
        <v>5</v>
      </c>
      <c r="H737">
        <v>2500</v>
      </c>
      <c r="I737">
        <v>0</v>
      </c>
      <c r="J737">
        <v>12500</v>
      </c>
      <c r="K737">
        <v>12500</v>
      </c>
      <c r="L737">
        <v>7750</v>
      </c>
      <c r="M737">
        <v>803</v>
      </c>
      <c r="N737">
        <v>980</v>
      </c>
      <c r="O737">
        <v>2967</v>
      </c>
      <c r="P737">
        <v>0.23735999999999999</v>
      </c>
      <c r="Q737" t="s">
        <v>68</v>
      </c>
    </row>
    <row r="738" spans="1:17">
      <c r="A738" t="s">
        <v>791</v>
      </c>
      <c r="B738" s="1">
        <v>45828</v>
      </c>
      <c r="C738" t="s">
        <v>75</v>
      </c>
      <c r="D738" t="s">
        <v>19</v>
      </c>
      <c r="E738" t="s">
        <v>26</v>
      </c>
      <c r="F738" t="s">
        <v>35</v>
      </c>
      <c r="G738">
        <v>1</v>
      </c>
      <c r="H738">
        <v>65000</v>
      </c>
      <c r="I738">
        <v>0</v>
      </c>
      <c r="J738">
        <v>65000</v>
      </c>
      <c r="K738">
        <v>65000</v>
      </c>
      <c r="L738">
        <v>54600</v>
      </c>
      <c r="M738">
        <v>1797</v>
      </c>
      <c r="N738">
        <v>1801</v>
      </c>
      <c r="O738">
        <v>6802</v>
      </c>
      <c r="P738">
        <v>0.10464615384615381</v>
      </c>
      <c r="Q738" t="s">
        <v>39</v>
      </c>
    </row>
    <row r="739" spans="1:17">
      <c r="A739" t="s">
        <v>792</v>
      </c>
      <c r="B739" s="1">
        <v>45923</v>
      </c>
      <c r="C739" t="s">
        <v>61</v>
      </c>
      <c r="D739" t="s">
        <v>34</v>
      </c>
      <c r="E739" t="s">
        <v>38</v>
      </c>
      <c r="F739" t="s">
        <v>21</v>
      </c>
      <c r="G739">
        <v>1</v>
      </c>
      <c r="H739">
        <v>4500</v>
      </c>
      <c r="I739">
        <v>0.08</v>
      </c>
      <c r="J739">
        <v>4500</v>
      </c>
      <c r="K739">
        <v>4140</v>
      </c>
      <c r="L739">
        <v>2925</v>
      </c>
      <c r="M739">
        <v>1778</v>
      </c>
      <c r="N739">
        <v>1501</v>
      </c>
      <c r="O739">
        <v>-2064</v>
      </c>
      <c r="P739">
        <v>-0.49855072463768119</v>
      </c>
      <c r="Q739" t="s">
        <v>32</v>
      </c>
    </row>
    <row r="740" spans="1:17">
      <c r="A740" t="s">
        <v>793</v>
      </c>
      <c r="B740" s="1">
        <v>45895</v>
      </c>
      <c r="C740" t="s">
        <v>50</v>
      </c>
      <c r="D740" t="s">
        <v>31</v>
      </c>
      <c r="E740" t="s">
        <v>20</v>
      </c>
      <c r="F740" t="s">
        <v>35</v>
      </c>
      <c r="G740">
        <v>5</v>
      </c>
      <c r="H740">
        <v>2500</v>
      </c>
      <c r="I740">
        <v>0.15</v>
      </c>
      <c r="J740">
        <v>12500</v>
      </c>
      <c r="K740">
        <v>10625</v>
      </c>
      <c r="L740">
        <v>7750</v>
      </c>
      <c r="M740">
        <v>279</v>
      </c>
      <c r="N740">
        <v>1947</v>
      </c>
      <c r="O740">
        <v>649</v>
      </c>
      <c r="P740">
        <v>6.108235294117647E-2</v>
      </c>
      <c r="Q740" t="s">
        <v>58</v>
      </c>
    </row>
    <row r="741" spans="1:17">
      <c r="A741" t="s">
        <v>794</v>
      </c>
      <c r="B741" s="1">
        <v>45714</v>
      </c>
      <c r="C741" t="s">
        <v>53</v>
      </c>
      <c r="D741" t="s">
        <v>51</v>
      </c>
      <c r="E741" t="s">
        <v>38</v>
      </c>
      <c r="F741" t="s">
        <v>21</v>
      </c>
      <c r="G741">
        <v>5</v>
      </c>
      <c r="H741">
        <v>1500</v>
      </c>
      <c r="I741">
        <v>0</v>
      </c>
      <c r="J741">
        <v>7500</v>
      </c>
      <c r="K741">
        <v>7500</v>
      </c>
      <c r="L741">
        <v>4125</v>
      </c>
      <c r="M741">
        <v>1753</v>
      </c>
      <c r="N741">
        <v>2066</v>
      </c>
      <c r="O741">
        <v>-444</v>
      </c>
      <c r="P741">
        <v>-5.9200000000000003E-2</v>
      </c>
      <c r="Q741" t="s">
        <v>47</v>
      </c>
    </row>
    <row r="742" spans="1:17">
      <c r="A742" t="s">
        <v>795</v>
      </c>
      <c r="B742" s="1">
        <v>45980</v>
      </c>
      <c r="C742" t="s">
        <v>24</v>
      </c>
      <c r="D742" t="s">
        <v>63</v>
      </c>
      <c r="E742" t="s">
        <v>20</v>
      </c>
      <c r="F742" t="s">
        <v>21</v>
      </c>
      <c r="G742">
        <v>3</v>
      </c>
      <c r="H742">
        <v>3500</v>
      </c>
      <c r="I742">
        <v>0.1</v>
      </c>
      <c r="J742">
        <v>10500</v>
      </c>
      <c r="K742">
        <v>9450</v>
      </c>
      <c r="L742">
        <v>7140.0000000000009</v>
      </c>
      <c r="M742">
        <v>1450</v>
      </c>
      <c r="N742">
        <v>844</v>
      </c>
      <c r="O742">
        <v>15.999999999999091</v>
      </c>
      <c r="P742">
        <v>1.6931216931215969E-3</v>
      </c>
      <c r="Q742" t="s">
        <v>28</v>
      </c>
    </row>
    <row r="743" spans="1:17">
      <c r="A743" t="s">
        <v>796</v>
      </c>
      <c r="B743" s="1">
        <v>45855</v>
      </c>
      <c r="C743" t="s">
        <v>18</v>
      </c>
      <c r="D743" t="s">
        <v>19</v>
      </c>
      <c r="E743" t="s">
        <v>20</v>
      </c>
      <c r="F743" t="s">
        <v>35</v>
      </c>
      <c r="G743">
        <v>1</v>
      </c>
      <c r="H743">
        <v>32000</v>
      </c>
      <c r="I743">
        <v>0.15</v>
      </c>
      <c r="J743">
        <v>32000</v>
      </c>
      <c r="K743">
        <v>27200</v>
      </c>
      <c r="L743">
        <v>26240</v>
      </c>
      <c r="M743">
        <v>1407</v>
      </c>
      <c r="N743">
        <v>1491</v>
      </c>
      <c r="O743">
        <v>-1938</v>
      </c>
      <c r="P743">
        <v>-7.1249999999999994E-2</v>
      </c>
      <c r="Q743" t="s">
        <v>36</v>
      </c>
    </row>
    <row r="744" spans="1:17">
      <c r="A744" t="s">
        <v>797</v>
      </c>
      <c r="B744" s="1">
        <v>46161</v>
      </c>
      <c r="C744" t="s">
        <v>75</v>
      </c>
      <c r="D744" t="s">
        <v>34</v>
      </c>
      <c r="E744" t="s">
        <v>20</v>
      </c>
      <c r="F744" t="s">
        <v>27</v>
      </c>
      <c r="G744">
        <v>1</v>
      </c>
      <c r="H744">
        <v>65000</v>
      </c>
      <c r="I744">
        <v>0.08</v>
      </c>
      <c r="J744">
        <v>65000</v>
      </c>
      <c r="K744">
        <v>59800</v>
      </c>
      <c r="L744">
        <v>54600</v>
      </c>
      <c r="M744">
        <v>474</v>
      </c>
      <c r="N744">
        <v>2358</v>
      </c>
      <c r="O744">
        <v>2368</v>
      </c>
      <c r="P744">
        <v>3.959866220735786E-2</v>
      </c>
      <c r="Q744" t="s">
        <v>73</v>
      </c>
    </row>
    <row r="745" spans="1:17">
      <c r="A745" t="s">
        <v>798</v>
      </c>
      <c r="B745" s="1">
        <v>45676</v>
      </c>
      <c r="C745" t="s">
        <v>53</v>
      </c>
      <c r="D745" t="s">
        <v>63</v>
      </c>
      <c r="E745" t="s">
        <v>20</v>
      </c>
      <c r="F745" t="s">
        <v>27</v>
      </c>
      <c r="G745">
        <v>1</v>
      </c>
      <c r="H745">
        <v>1500</v>
      </c>
      <c r="I745">
        <v>0</v>
      </c>
      <c r="J745">
        <v>1500</v>
      </c>
      <c r="K745">
        <v>1500</v>
      </c>
      <c r="L745">
        <v>825.00000000000011</v>
      </c>
      <c r="M745">
        <v>1142</v>
      </c>
      <c r="N745">
        <v>357</v>
      </c>
      <c r="O745">
        <v>-824.00000000000011</v>
      </c>
      <c r="P745">
        <v>-0.54933333333333345</v>
      </c>
      <c r="Q745" t="s">
        <v>56</v>
      </c>
    </row>
    <row r="746" spans="1:17">
      <c r="A746" t="s">
        <v>799</v>
      </c>
      <c r="B746" s="1">
        <v>46045</v>
      </c>
      <c r="C746" t="s">
        <v>61</v>
      </c>
      <c r="D746" t="s">
        <v>34</v>
      </c>
      <c r="E746" t="s">
        <v>20</v>
      </c>
      <c r="F746" t="s">
        <v>35</v>
      </c>
      <c r="G746">
        <v>3</v>
      </c>
      <c r="H746">
        <v>4500</v>
      </c>
      <c r="I746">
        <v>0.03</v>
      </c>
      <c r="J746">
        <v>13500</v>
      </c>
      <c r="K746">
        <v>13095</v>
      </c>
      <c r="L746">
        <v>8775</v>
      </c>
      <c r="M746">
        <v>1774</v>
      </c>
      <c r="N746">
        <v>528</v>
      </c>
      <c r="O746">
        <v>2018</v>
      </c>
      <c r="P746">
        <v>0.1541046200840015</v>
      </c>
      <c r="Q746" t="s">
        <v>43</v>
      </c>
    </row>
    <row r="747" spans="1:17">
      <c r="A747" t="s">
        <v>800</v>
      </c>
      <c r="B747" s="1">
        <v>45671</v>
      </c>
      <c r="C747" t="s">
        <v>53</v>
      </c>
      <c r="D747" t="s">
        <v>51</v>
      </c>
      <c r="E747" t="s">
        <v>26</v>
      </c>
      <c r="F747" t="s">
        <v>27</v>
      </c>
      <c r="G747">
        <v>5</v>
      </c>
      <c r="H747">
        <v>1500</v>
      </c>
      <c r="I747">
        <v>0.03</v>
      </c>
      <c r="J747">
        <v>7500</v>
      </c>
      <c r="K747">
        <v>7275</v>
      </c>
      <c r="L747">
        <v>4125</v>
      </c>
      <c r="M747">
        <v>506</v>
      </c>
      <c r="N747">
        <v>1787</v>
      </c>
      <c r="O747">
        <v>857</v>
      </c>
      <c r="P747">
        <v>0.1178006872852234</v>
      </c>
      <c r="Q747" t="s">
        <v>56</v>
      </c>
    </row>
    <row r="748" spans="1:17">
      <c r="A748" t="s">
        <v>801</v>
      </c>
      <c r="B748" s="1">
        <v>45866</v>
      </c>
      <c r="C748" t="s">
        <v>53</v>
      </c>
      <c r="D748" t="s">
        <v>63</v>
      </c>
      <c r="E748" t="s">
        <v>20</v>
      </c>
      <c r="F748" t="s">
        <v>35</v>
      </c>
      <c r="G748">
        <v>2</v>
      </c>
      <c r="H748">
        <v>1500</v>
      </c>
      <c r="I748">
        <v>0.05</v>
      </c>
      <c r="J748">
        <v>3000</v>
      </c>
      <c r="K748">
        <v>2850</v>
      </c>
      <c r="L748">
        <v>1650</v>
      </c>
      <c r="M748">
        <v>543</v>
      </c>
      <c r="N748">
        <v>1402</v>
      </c>
      <c r="O748">
        <v>-745.00000000000023</v>
      </c>
      <c r="P748">
        <v>-0.26140350877192992</v>
      </c>
      <c r="Q748" t="s">
        <v>36</v>
      </c>
    </row>
    <row r="749" spans="1:17">
      <c r="A749" t="s">
        <v>802</v>
      </c>
      <c r="B749" s="1">
        <v>45733</v>
      </c>
      <c r="C749" t="s">
        <v>18</v>
      </c>
      <c r="D749" t="s">
        <v>31</v>
      </c>
      <c r="E749" t="s">
        <v>20</v>
      </c>
      <c r="F749" t="s">
        <v>35</v>
      </c>
      <c r="G749">
        <v>1</v>
      </c>
      <c r="H749">
        <v>32000</v>
      </c>
      <c r="I749">
        <v>0.08</v>
      </c>
      <c r="J749">
        <v>32000</v>
      </c>
      <c r="K749">
        <v>29440</v>
      </c>
      <c r="L749">
        <v>26240</v>
      </c>
      <c r="M749">
        <v>994</v>
      </c>
      <c r="N749">
        <v>1488</v>
      </c>
      <c r="O749">
        <v>718</v>
      </c>
      <c r="P749">
        <v>2.4388586956521741E-2</v>
      </c>
      <c r="Q749" t="s">
        <v>68</v>
      </c>
    </row>
    <row r="750" spans="1:17">
      <c r="A750" t="s">
        <v>803</v>
      </c>
      <c r="B750" s="1">
        <v>45760</v>
      </c>
      <c r="C750" t="s">
        <v>75</v>
      </c>
      <c r="D750" t="s">
        <v>31</v>
      </c>
      <c r="E750" t="s">
        <v>26</v>
      </c>
      <c r="F750" t="s">
        <v>21</v>
      </c>
      <c r="G750">
        <v>2</v>
      </c>
      <c r="H750">
        <v>65000</v>
      </c>
      <c r="I750">
        <v>0.03</v>
      </c>
      <c r="J750">
        <v>130000</v>
      </c>
      <c r="K750">
        <v>126100</v>
      </c>
      <c r="L750">
        <v>109200</v>
      </c>
      <c r="M750">
        <v>1319</v>
      </c>
      <c r="N750">
        <v>1057</v>
      </c>
      <c r="O750">
        <v>14524</v>
      </c>
      <c r="P750">
        <v>0.11517842981760509</v>
      </c>
      <c r="Q750" t="s">
        <v>41</v>
      </c>
    </row>
    <row r="751" spans="1:17">
      <c r="A751" t="s">
        <v>804</v>
      </c>
      <c r="B751" s="1">
        <v>45739</v>
      </c>
      <c r="C751" t="s">
        <v>46</v>
      </c>
      <c r="D751" t="s">
        <v>31</v>
      </c>
      <c r="E751" t="s">
        <v>20</v>
      </c>
      <c r="F751" t="s">
        <v>27</v>
      </c>
      <c r="G751">
        <v>3</v>
      </c>
      <c r="H751">
        <v>18000</v>
      </c>
      <c r="I751">
        <v>0.1</v>
      </c>
      <c r="J751">
        <v>54000</v>
      </c>
      <c r="K751">
        <v>48600</v>
      </c>
      <c r="L751">
        <v>43200</v>
      </c>
      <c r="M751">
        <v>878</v>
      </c>
      <c r="N751">
        <v>2068</v>
      </c>
      <c r="O751">
        <v>2454</v>
      </c>
      <c r="P751">
        <v>5.0493827160493818E-2</v>
      </c>
      <c r="Q751" t="s">
        <v>68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C7" sqref="C7"/>
    </sheetView>
  </sheetViews>
  <sheetFormatPr defaultRowHeight="15"/>
  <cols>
    <col min="1" max="1" width="12.140625" bestFit="1" customWidth="1"/>
    <col min="2" max="2" width="16.7109375" bestFit="1" customWidth="1"/>
    <col min="3" max="3" width="24.7109375" customWidth="1"/>
    <col min="4" max="4" width="18.5703125" bestFit="1" customWidth="1"/>
  </cols>
  <sheetData>
    <row r="1" spans="1:4">
      <c r="A1" s="2" t="s">
        <v>2</v>
      </c>
      <c r="B1" s="2" t="s">
        <v>805</v>
      </c>
      <c r="C1" s="2" t="s">
        <v>806</v>
      </c>
      <c r="D1" s="2" t="s">
        <v>807</v>
      </c>
    </row>
    <row r="2" spans="1:4">
      <c r="A2" t="s">
        <v>75</v>
      </c>
      <c r="B2" t="s">
        <v>808</v>
      </c>
      <c r="C2">
        <v>54600</v>
      </c>
      <c r="D2">
        <v>0.12</v>
      </c>
    </row>
    <row r="3" spans="1:4">
      <c r="A3" t="s">
        <v>30</v>
      </c>
      <c r="B3" t="s">
        <v>809</v>
      </c>
      <c r="C3">
        <v>21840</v>
      </c>
      <c r="D3">
        <v>0.18</v>
      </c>
    </row>
    <row r="4" spans="1:4">
      <c r="A4" t="s">
        <v>50</v>
      </c>
      <c r="B4" t="s">
        <v>810</v>
      </c>
      <c r="C4">
        <v>1550</v>
      </c>
      <c r="D4">
        <v>0.25</v>
      </c>
    </row>
    <row r="5" spans="1:4">
      <c r="A5" t="s">
        <v>53</v>
      </c>
      <c r="B5" t="s">
        <v>810</v>
      </c>
      <c r="C5">
        <v>825</v>
      </c>
      <c r="D5">
        <v>0.3</v>
      </c>
    </row>
    <row r="6" spans="1:4">
      <c r="A6" t="s">
        <v>24</v>
      </c>
      <c r="B6" t="s">
        <v>810</v>
      </c>
      <c r="C6">
        <v>2380</v>
      </c>
      <c r="D6">
        <v>0.2</v>
      </c>
    </row>
    <row r="7" spans="1:4">
      <c r="A7" t="s">
        <v>61</v>
      </c>
      <c r="B7" t="s">
        <v>810</v>
      </c>
      <c r="C7">
        <v>2925</v>
      </c>
      <c r="D7">
        <v>0.22</v>
      </c>
    </row>
    <row r="8" spans="1:4">
      <c r="A8" t="s">
        <v>18</v>
      </c>
      <c r="B8" t="s">
        <v>808</v>
      </c>
      <c r="C8">
        <v>26240</v>
      </c>
      <c r="D8">
        <v>0.12</v>
      </c>
    </row>
    <row r="9" spans="1:4">
      <c r="A9" t="s">
        <v>46</v>
      </c>
      <c r="B9" t="s">
        <v>811</v>
      </c>
      <c r="C9">
        <v>14400</v>
      </c>
      <c r="D9">
        <v>0.15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activeCell="B4" sqref="B4"/>
    </sheetView>
  </sheetViews>
  <sheetFormatPr defaultRowHeight="15"/>
  <cols>
    <col min="1" max="1" width="24" bestFit="1" customWidth="1"/>
    <col min="2" max="2" width="8.28515625" customWidth="1"/>
  </cols>
  <sheetData>
    <row r="1" spans="1:2">
      <c r="A1" s="2" t="s">
        <v>812</v>
      </c>
      <c r="B1" s="2" t="s">
        <v>813</v>
      </c>
    </row>
    <row r="2" spans="1:2">
      <c r="A2" t="s">
        <v>814</v>
      </c>
      <c r="B2">
        <v>0.25</v>
      </c>
    </row>
    <row r="3" spans="1:2">
      <c r="A3" t="s">
        <v>815</v>
      </c>
      <c r="B3">
        <v>0.2</v>
      </c>
    </row>
    <row r="4" spans="1:2">
      <c r="A4" t="s">
        <v>816</v>
      </c>
      <c r="B4">
        <v>0.15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BADA27-2EED-4FC2-AB5A-24DDD871E7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Business_Analysis</vt:lpstr>
      <vt:lpstr>Cleaned_Sales_Data (Part A &amp; B)</vt:lpstr>
      <vt:lpstr>Raw_Sales_Data</vt:lpstr>
      <vt:lpstr>Raw_Product_Master</vt:lpstr>
      <vt:lpstr>Raw_Assumptions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Keshav</cp:lastModifiedBy>
  <dcterms:created xsi:type="dcterms:W3CDTF">2026-08-18T09:55:22Z</dcterms:created>
  <dcterms:modified xsi:type="dcterms:W3CDTF">2026-08-20T11:07:54Z</dcterms:modified>
</cp:coreProperties>
</file>